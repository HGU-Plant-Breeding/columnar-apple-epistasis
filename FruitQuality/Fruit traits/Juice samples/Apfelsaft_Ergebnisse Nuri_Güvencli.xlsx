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evenc\Desktop\R_Working_Directory\Fruit traits\Juice samples\"/>
    </mc:Choice>
  </mc:AlternateContent>
  <xr:revisionPtr revIDLastSave="0" documentId="13_ncr:1_{C0F98DD3-8556-45AF-AC51-6F42E0D844DE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Ergebnisse" sheetId="1" r:id="rId1"/>
    <sheet name="Methoden " sheetId="2" r:id="rId2"/>
  </sheets>
  <definedNames>
    <definedName name="_xlnm.Print_Titles" localSheetId="0">Ergebnisse!$A:$B,Ergebnisse!$1:$2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43" i="1" l="1"/>
  <c r="J443" i="1"/>
  <c r="I443" i="1"/>
  <c r="K438" i="1"/>
  <c r="J438" i="1"/>
  <c r="I438" i="1"/>
  <c r="K437" i="1"/>
  <c r="J437" i="1"/>
  <c r="I437" i="1"/>
  <c r="H303" i="1" l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 l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K250" i="1" l="1"/>
  <c r="J250" i="1"/>
  <c r="I250" i="1"/>
  <c r="K249" i="1"/>
  <c r="J249" i="1"/>
  <c r="I249" i="1"/>
  <c r="K248" i="1"/>
  <c r="J248" i="1"/>
  <c r="I248" i="1"/>
  <c r="K247" i="1"/>
  <c r="J247" i="1"/>
  <c r="I247" i="1"/>
  <c r="K246" i="1"/>
  <c r="J246" i="1"/>
  <c r="I246" i="1"/>
  <c r="K245" i="1"/>
  <c r="J245" i="1"/>
  <c r="I245" i="1"/>
  <c r="K244" i="1"/>
  <c r="J244" i="1"/>
  <c r="I244" i="1"/>
  <c r="K243" i="1"/>
  <c r="J243" i="1"/>
  <c r="I243" i="1"/>
  <c r="K242" i="1"/>
  <c r="J242" i="1"/>
  <c r="I242" i="1"/>
  <c r="K241" i="1"/>
  <c r="J241" i="1"/>
  <c r="I241" i="1"/>
  <c r="K240" i="1"/>
  <c r="J240" i="1"/>
  <c r="I240" i="1"/>
  <c r="K239" i="1"/>
  <c r="J239" i="1"/>
  <c r="I239" i="1"/>
  <c r="K238" i="1"/>
  <c r="J238" i="1"/>
  <c r="I238" i="1"/>
  <c r="K237" i="1"/>
  <c r="J237" i="1"/>
  <c r="I237" i="1"/>
  <c r="K236" i="1"/>
  <c r="J236" i="1"/>
  <c r="I236" i="1"/>
  <c r="K235" i="1"/>
  <c r="J235" i="1"/>
  <c r="I235" i="1"/>
  <c r="K234" i="1"/>
  <c r="J234" i="1"/>
  <c r="I234" i="1"/>
  <c r="K233" i="1"/>
  <c r="J233" i="1"/>
  <c r="I233" i="1"/>
  <c r="K232" i="1"/>
  <c r="J232" i="1"/>
  <c r="I232" i="1"/>
  <c r="K231" i="1"/>
  <c r="J231" i="1"/>
  <c r="I231" i="1"/>
  <c r="H250" i="1" l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 l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K96" i="1" l="1"/>
  <c r="J96" i="1"/>
  <c r="I96" i="1"/>
  <c r="K90" i="1"/>
  <c r="J90" i="1"/>
  <c r="I90" i="1"/>
  <c r="K88" i="1"/>
  <c r="J88" i="1"/>
  <c r="I88" i="1"/>
</calcChain>
</file>

<file path=xl/sharedStrings.xml><?xml version="1.0" encoding="utf-8"?>
<sst xmlns="http://schemas.openxmlformats.org/spreadsheetml/2006/main" count="494" uniqueCount="479">
  <si>
    <t xml:space="preserve">Dichte </t>
  </si>
  <si>
    <t xml:space="preserve">Brix </t>
  </si>
  <si>
    <t>Farbe 420</t>
  </si>
  <si>
    <t>Farbe 520</t>
  </si>
  <si>
    <t>Farbe 620</t>
  </si>
  <si>
    <t>L</t>
  </si>
  <si>
    <t>a</t>
  </si>
  <si>
    <t>b</t>
  </si>
  <si>
    <t xml:space="preserve">Gesamtphenole </t>
  </si>
  <si>
    <t>FBR2N61</t>
  </si>
  <si>
    <t>FBR2N90</t>
  </si>
  <si>
    <t>FBR2N93</t>
  </si>
  <si>
    <t>LAR1N26</t>
  </si>
  <si>
    <t>LAR1N43</t>
  </si>
  <si>
    <t>LAR1N59</t>
  </si>
  <si>
    <t>LAR3N53</t>
  </si>
  <si>
    <t>LAR5107</t>
  </si>
  <si>
    <t>LAR5N108</t>
  </si>
  <si>
    <t>LAR5N74</t>
  </si>
  <si>
    <t xml:space="preserve">15 ml </t>
  </si>
  <si>
    <t xml:space="preserve">für AR </t>
  </si>
  <si>
    <t xml:space="preserve">50 mL </t>
  </si>
  <si>
    <t xml:space="preserve">Zentrifugieren für FTIR und Farbe </t>
  </si>
  <si>
    <t>20/20</t>
  </si>
  <si>
    <t xml:space="preserve">g/L </t>
  </si>
  <si>
    <t xml:space="preserve">Gesamtsäure (pH 8,1 ber. CS) </t>
  </si>
  <si>
    <t>pH - Wert</t>
  </si>
  <si>
    <t xml:space="preserve">mg/L </t>
  </si>
  <si>
    <t>Bitte einen Rest lassen und wieder einfrieren!</t>
  </si>
  <si>
    <t>FBR1N67</t>
  </si>
  <si>
    <t>FBR2N9</t>
  </si>
  <si>
    <t>FBR2N13</t>
  </si>
  <si>
    <t>FBR2N50</t>
  </si>
  <si>
    <t>FBR2N89</t>
  </si>
  <si>
    <t>FBR3N26</t>
  </si>
  <si>
    <t>FBR3N39</t>
  </si>
  <si>
    <t>FBR3N47</t>
  </si>
  <si>
    <t>LAR1N19</t>
  </si>
  <si>
    <t>LAR1N21</t>
  </si>
  <si>
    <t>LAR2N115</t>
  </si>
  <si>
    <t>LAR3N2</t>
  </si>
  <si>
    <t>LAR3N3</t>
  </si>
  <si>
    <t>LAR3N17</t>
  </si>
  <si>
    <t>LAR3N32</t>
  </si>
  <si>
    <t>LAR3N67</t>
  </si>
  <si>
    <t>LAR3N100</t>
  </si>
  <si>
    <t>LAR4N38</t>
  </si>
  <si>
    <t>LAR5N118</t>
  </si>
  <si>
    <t xml:space="preserve">Datum </t>
  </si>
  <si>
    <t>FBR3N33</t>
  </si>
  <si>
    <t>FBR3N1</t>
  </si>
  <si>
    <t>FBR3N35</t>
  </si>
  <si>
    <t>LAR2N101</t>
  </si>
  <si>
    <t>LAR2N112</t>
  </si>
  <si>
    <t>LAR3N39</t>
  </si>
  <si>
    <t>LAR3N95</t>
  </si>
  <si>
    <t>LAR4N65</t>
  </si>
  <si>
    <t>LAR4N90</t>
  </si>
  <si>
    <t>LAR5N17</t>
  </si>
  <si>
    <t>LAR5N68</t>
  </si>
  <si>
    <t>FBR1N12</t>
  </si>
  <si>
    <t>FBR1N54</t>
  </si>
  <si>
    <t>FBR1N56</t>
  </si>
  <si>
    <t>FBR1N58</t>
  </si>
  <si>
    <t>FBR2N4</t>
  </si>
  <si>
    <t>FBR2N40</t>
  </si>
  <si>
    <t>FBR2N73</t>
  </si>
  <si>
    <t>FBR3N52</t>
  </si>
  <si>
    <t>LAR1N39</t>
  </si>
  <si>
    <t>LAR1N52</t>
  </si>
  <si>
    <t>LAR3N54</t>
  </si>
  <si>
    <t>LAR4N21</t>
  </si>
  <si>
    <t>LAR5N69</t>
  </si>
  <si>
    <t>LAR5N72</t>
  </si>
  <si>
    <t>LAR5N75</t>
  </si>
  <si>
    <t>LAR5N112</t>
  </si>
  <si>
    <t>LAR6N4</t>
  </si>
  <si>
    <t>LAR6N5</t>
  </si>
  <si>
    <t>LAR6N8</t>
  </si>
  <si>
    <t>LAR6N49</t>
  </si>
  <si>
    <t>Extrakt</t>
  </si>
  <si>
    <t>LAR1N2</t>
  </si>
  <si>
    <t>LAR1N5</t>
  </si>
  <si>
    <t>LAR1N6</t>
  </si>
  <si>
    <t>LAR1N15</t>
  </si>
  <si>
    <t>LAR1N24</t>
  </si>
  <si>
    <t>LAR1N41</t>
  </si>
  <si>
    <t>LAR1N51</t>
  </si>
  <si>
    <t>LAR1N53</t>
  </si>
  <si>
    <t>LAR1N62</t>
  </si>
  <si>
    <t>LAR1N77</t>
  </si>
  <si>
    <t>LAR4N57</t>
  </si>
  <si>
    <t>LAR4N94</t>
  </si>
  <si>
    <t>LAR5N99</t>
  </si>
  <si>
    <t>LAR5N111</t>
  </si>
  <si>
    <t>LAR5N113</t>
  </si>
  <si>
    <t>LAR5N123</t>
  </si>
  <si>
    <t>LAR6N14</t>
  </si>
  <si>
    <t>LAR6N22</t>
  </si>
  <si>
    <t>LAR6N31</t>
  </si>
  <si>
    <t>LAR6N44</t>
  </si>
  <si>
    <t>BIR1N91</t>
  </si>
  <si>
    <t>BIR1N148</t>
  </si>
  <si>
    <t>BIR1N167</t>
  </si>
  <si>
    <t>BIR2N15</t>
  </si>
  <si>
    <t>BIR2N112</t>
  </si>
  <si>
    <t>BIR2N186</t>
  </si>
  <si>
    <t>FBR1N7</t>
  </si>
  <si>
    <t>FBR1N47</t>
  </si>
  <si>
    <t>FBR2N59</t>
  </si>
  <si>
    <t>FBR2N88</t>
  </si>
  <si>
    <t>FBR3N69</t>
  </si>
  <si>
    <t>LAR1N20</t>
  </si>
  <si>
    <t>LAR1N22</t>
  </si>
  <si>
    <t>LAR1N38</t>
  </si>
  <si>
    <t>LAR1N58</t>
  </si>
  <si>
    <t>LAR4N64</t>
  </si>
  <si>
    <t>LAR4N71</t>
  </si>
  <si>
    <t>LAR5N88</t>
  </si>
  <si>
    <t>LAR5N119</t>
  </si>
  <si>
    <t>LAR5N120</t>
  </si>
  <si>
    <t>LAR6N3</t>
  </si>
  <si>
    <t>LAR6N9</t>
  </si>
  <si>
    <t>LAR6N13</t>
  </si>
  <si>
    <t>LAR6N43</t>
  </si>
  <si>
    <t>LAR6N47</t>
  </si>
  <si>
    <t>FBR1N38</t>
  </si>
  <si>
    <t>FBR1N41</t>
  </si>
  <si>
    <t>FBR1N63</t>
  </si>
  <si>
    <t>FBR1N73</t>
  </si>
  <si>
    <t>FBR1N77</t>
  </si>
  <si>
    <t>FBR1N98</t>
  </si>
  <si>
    <t>FBR1N100</t>
  </si>
  <si>
    <t>FBR2N8</t>
  </si>
  <si>
    <t>FBR2N48</t>
  </si>
  <si>
    <t>FBR2N67</t>
  </si>
  <si>
    <t>FBR2N80</t>
  </si>
  <si>
    <t>FBR2N86</t>
  </si>
  <si>
    <t>FBR2N87</t>
  </si>
  <si>
    <t>FBR3N20</t>
  </si>
  <si>
    <t>FBR3N59</t>
  </si>
  <si>
    <t>LAR2N120</t>
  </si>
  <si>
    <t>LAR3N60</t>
  </si>
  <si>
    <t>LAR3N98</t>
  </si>
  <si>
    <t>LAR3N108</t>
  </si>
  <si>
    <t>LAR4N1</t>
  </si>
  <si>
    <t>FBR1N94</t>
  </si>
  <si>
    <t>FBR1N101</t>
  </si>
  <si>
    <t>FBR2N2</t>
  </si>
  <si>
    <t>FBR2N46</t>
  </si>
  <si>
    <t>FBR3N90</t>
  </si>
  <si>
    <t>LAR2N73</t>
  </si>
  <si>
    <t>LAR2N97</t>
  </si>
  <si>
    <t>LAR2N110</t>
  </si>
  <si>
    <t>LAR2N119</t>
  </si>
  <si>
    <t>LAR3N44</t>
  </si>
  <si>
    <t>LAR3N76</t>
  </si>
  <si>
    <t>LAR3N82</t>
  </si>
  <si>
    <t>LAR3N97</t>
  </si>
  <si>
    <t>LAR3N101</t>
  </si>
  <si>
    <t>LAR3N123</t>
  </si>
  <si>
    <t>LAR3N124</t>
  </si>
  <si>
    <t>LAR4N14</t>
  </si>
  <si>
    <t>LAR4N43</t>
  </si>
  <si>
    <t>LAR2N121/123</t>
  </si>
  <si>
    <t>FBR1N69</t>
  </si>
  <si>
    <t>LAR2N58</t>
  </si>
  <si>
    <t>LAR2N68</t>
  </si>
  <si>
    <t>LAR2N69</t>
  </si>
  <si>
    <t>LAR2N77</t>
  </si>
  <si>
    <t>LAR2N84</t>
  </si>
  <si>
    <t>LAR2N86</t>
  </si>
  <si>
    <t>LAR2N88</t>
  </si>
  <si>
    <t>LAR2N90</t>
  </si>
  <si>
    <t>LAR3N14</t>
  </si>
  <si>
    <t>LAR3N30</t>
  </si>
  <si>
    <t>LAR3N36</t>
  </si>
  <si>
    <t>LAR3N41</t>
  </si>
  <si>
    <t>LAR3N43</t>
  </si>
  <si>
    <t>LAR3N45</t>
  </si>
  <si>
    <t>LAR3N49</t>
  </si>
  <si>
    <t>LAR3N57</t>
  </si>
  <si>
    <t>LAR3N65</t>
  </si>
  <si>
    <t>LAR3N113</t>
  </si>
  <si>
    <t>LAR4N39</t>
  </si>
  <si>
    <t>LAR2N62</t>
  </si>
  <si>
    <t>LAR2N63</t>
  </si>
  <si>
    <t>LAR2N65</t>
  </si>
  <si>
    <t>LAR2N72</t>
  </si>
  <si>
    <t>LAR2N76</t>
  </si>
  <si>
    <t>LAR2N79</t>
  </si>
  <si>
    <t>LAR2N92</t>
  </si>
  <si>
    <t>LAR2N94</t>
  </si>
  <si>
    <t>LAR3N26</t>
  </si>
  <si>
    <t>LAR3N40</t>
  </si>
  <si>
    <t>LAR3N112</t>
  </si>
  <si>
    <t>LAR4N101</t>
  </si>
  <si>
    <t>LAR5N32</t>
  </si>
  <si>
    <t>LAR5N39</t>
  </si>
  <si>
    <t>LAR5N70</t>
  </si>
  <si>
    <t>LAR4N86</t>
  </si>
  <si>
    <t>LAR4N88</t>
  </si>
  <si>
    <t>LAR4N89</t>
  </si>
  <si>
    <t>LAR4N92</t>
  </si>
  <si>
    <t>LAR4N100</t>
  </si>
  <si>
    <t>LAR4N105</t>
  </si>
  <si>
    <t>LAR4N109</t>
  </si>
  <si>
    <t>LAR4N119</t>
  </si>
  <si>
    <t>LAR5N3</t>
  </si>
  <si>
    <t>LAR5N15</t>
  </si>
  <si>
    <t>LAR5N24</t>
  </si>
  <si>
    <t>LAR5N28</t>
  </si>
  <si>
    <t>LAR5N35</t>
  </si>
  <si>
    <t>LAR5N41</t>
  </si>
  <si>
    <t>LAR5N42</t>
  </si>
  <si>
    <t>LAR5N57</t>
  </si>
  <si>
    <t>LAR5N58</t>
  </si>
  <si>
    <t>LAR5N63</t>
  </si>
  <si>
    <t>LAR6N17</t>
  </si>
  <si>
    <t>LAR1N17</t>
  </si>
  <si>
    <t>B1R1N24</t>
  </si>
  <si>
    <t>B1R1N80</t>
  </si>
  <si>
    <t>FBR1N35</t>
  </si>
  <si>
    <t>FBR2N7</t>
  </si>
  <si>
    <t>FBR2N21</t>
  </si>
  <si>
    <t>FBR2N28</t>
  </si>
  <si>
    <t>FBR2N32</t>
  </si>
  <si>
    <t>FBR3N31</t>
  </si>
  <si>
    <t>FBR3N44</t>
  </si>
  <si>
    <t>FBR3N60</t>
  </si>
  <si>
    <t>LAR3N74</t>
  </si>
  <si>
    <t>LAR3N79</t>
  </si>
  <si>
    <t>LAR3N118</t>
  </si>
  <si>
    <t>LAR4N18</t>
  </si>
  <si>
    <t>LAR4N41</t>
  </si>
  <si>
    <t>LAR4N60</t>
  </si>
  <si>
    <t>LAR4N114</t>
  </si>
  <si>
    <t>LAR4N122</t>
  </si>
  <si>
    <t>LAR5N20</t>
  </si>
  <si>
    <t>LAR6N60</t>
  </si>
  <si>
    <t>LaR2N113</t>
  </si>
  <si>
    <t>LAR3N23</t>
  </si>
  <si>
    <t>LAR3N55</t>
  </si>
  <si>
    <t>LAR3N63</t>
  </si>
  <si>
    <t>LAR3N77</t>
  </si>
  <si>
    <t>LAR3N83</t>
  </si>
  <si>
    <t>LAR3N107</t>
  </si>
  <si>
    <t>LAR3N120</t>
  </si>
  <si>
    <t>LAR4N6</t>
  </si>
  <si>
    <t>LAR4N7</t>
  </si>
  <si>
    <t>LAR4N8</t>
  </si>
  <si>
    <t>LAR4N10</t>
  </si>
  <si>
    <t>LAR4N11</t>
  </si>
  <si>
    <t>LAR4N16</t>
  </si>
  <si>
    <t>LAR4N17</t>
  </si>
  <si>
    <t>LAR4N30</t>
  </si>
  <si>
    <t>LAR4N31</t>
  </si>
  <si>
    <t>LAR4N34</t>
  </si>
  <si>
    <t>LAR4N37</t>
  </si>
  <si>
    <t>LAR6N74</t>
  </si>
  <si>
    <t>FBR1N75</t>
  </si>
  <si>
    <t>FBR3N12</t>
  </si>
  <si>
    <t>FBR3N25</t>
  </si>
  <si>
    <t>FBR3N104</t>
  </si>
  <si>
    <t>LAR2N102</t>
  </si>
  <si>
    <t>LAR3N5</t>
  </si>
  <si>
    <t>LAR3N9</t>
  </si>
  <si>
    <t>LAR3N12</t>
  </si>
  <si>
    <t>LAR3N15</t>
  </si>
  <si>
    <t>LAR3N28</t>
  </si>
  <si>
    <t>LAR3N31</t>
  </si>
  <si>
    <t>LAR3N34</t>
  </si>
  <si>
    <t>LAR3N38</t>
  </si>
  <si>
    <t>LAR3N90</t>
  </si>
  <si>
    <t>LAR3N109</t>
  </si>
  <si>
    <t>LAR4N12</t>
  </si>
  <si>
    <t>LAR4N25</t>
  </si>
  <si>
    <t>LAR4N28</t>
  </si>
  <si>
    <t>LAR4N32</t>
  </si>
  <si>
    <t>FBR1N97</t>
  </si>
  <si>
    <t>FBR2N71</t>
  </si>
  <si>
    <t>FBR3N13</t>
  </si>
  <si>
    <t>FBR3N22</t>
  </si>
  <si>
    <t>FBR3N77</t>
  </si>
  <si>
    <t>LAR3N81</t>
  </si>
  <si>
    <t>LAR4N40</t>
  </si>
  <si>
    <t>LAR4N84</t>
  </si>
  <si>
    <t>LAR5N2</t>
  </si>
  <si>
    <t>LAR5N5</t>
  </si>
  <si>
    <t>LAR5N8</t>
  </si>
  <si>
    <t>LAR5N9</t>
  </si>
  <si>
    <t>LAR5N14</t>
  </si>
  <si>
    <t>LAR5N18</t>
  </si>
  <si>
    <t>LAR5N38</t>
  </si>
  <si>
    <t>LAR5N50</t>
  </si>
  <si>
    <t>LAR5N4</t>
  </si>
  <si>
    <t>LAR5N56</t>
  </si>
  <si>
    <t>LAR5N62</t>
  </si>
  <si>
    <t>LAR6N89</t>
  </si>
  <si>
    <t>FBR2N66</t>
  </si>
  <si>
    <t>FBR3N9</t>
  </si>
  <si>
    <t>LAR3N71</t>
  </si>
  <si>
    <t>LAR3N86</t>
  </si>
  <si>
    <t>LAR3N114</t>
  </si>
  <si>
    <t>LAR4N20</t>
  </si>
  <si>
    <t>LAR4N82</t>
  </si>
  <si>
    <t>LAR4N87</t>
  </si>
  <si>
    <t>LAR5N26</t>
  </si>
  <si>
    <t>LAR5N31</t>
  </si>
  <si>
    <t>LAR5N47</t>
  </si>
  <si>
    <t>LAR5N51</t>
  </si>
  <si>
    <t>LAR5N52</t>
  </si>
  <si>
    <t>BIR2N48</t>
  </si>
  <si>
    <t>Apfelsaft_Ergebnisse Nuri_Güvencli _191224</t>
  </si>
  <si>
    <t>FBR1N62</t>
  </si>
  <si>
    <t>LAR1N67</t>
  </si>
  <si>
    <t>LAR1N123</t>
  </si>
  <si>
    <t>LAR1N125</t>
  </si>
  <si>
    <t>LAR2N1</t>
  </si>
  <si>
    <t>LAR2N2</t>
  </si>
  <si>
    <t>LAR2N11</t>
  </si>
  <si>
    <t>LAR2N12</t>
  </si>
  <si>
    <t>LAR2N20</t>
  </si>
  <si>
    <t>LAR2N28</t>
  </si>
  <si>
    <t>LAR2N29</t>
  </si>
  <si>
    <t>LAR2N33</t>
  </si>
  <si>
    <t>LAR2N36</t>
  </si>
  <si>
    <t>LAR2N38</t>
  </si>
  <si>
    <t>LAR2N55</t>
  </si>
  <si>
    <t>LAR2N100</t>
  </si>
  <si>
    <t>LAR4N83</t>
  </si>
  <si>
    <t>LAR6N52</t>
  </si>
  <si>
    <t>LAR6N57</t>
  </si>
  <si>
    <t>LAR6N83</t>
  </si>
  <si>
    <t>Biegeschwinger</t>
  </si>
  <si>
    <t xml:space="preserve">ber. </t>
  </si>
  <si>
    <t>Refraktometer</t>
  </si>
  <si>
    <t xml:space="preserve">potentiometrisch </t>
  </si>
  <si>
    <t xml:space="preserve">photometrisch </t>
  </si>
  <si>
    <t>Folin</t>
  </si>
  <si>
    <t>SOP - 05</t>
  </si>
  <si>
    <t>Titrierbare Gesamtsäure</t>
  </si>
  <si>
    <t>SOP - 15</t>
  </si>
  <si>
    <t>pH-Wert</t>
  </si>
  <si>
    <t>SOP - 25</t>
  </si>
  <si>
    <t>Dichte, Refraktionszahl und Leitfähigkeit - Station</t>
  </si>
  <si>
    <t>SOP - 30</t>
  </si>
  <si>
    <t>Farbmessung bei 420nm, 520nm und 620nm und LAP mittels Photometer</t>
  </si>
  <si>
    <t>SOP - 71</t>
  </si>
  <si>
    <t>Bestimmung von Gesamtphenolen (nach Folin-Ciocalteus) mittels Konelab 20i</t>
  </si>
  <si>
    <t xml:space="preserve">potentiometrische Methode mittels pH - Elektrode </t>
  </si>
  <si>
    <t xml:space="preserve">potentiometrische Methode mittels pH - Elektrode und Titrationseinheit </t>
  </si>
  <si>
    <t>Biegeschwinger, Refraktometer  und  Konduktometer</t>
  </si>
  <si>
    <t>NA</t>
  </si>
  <si>
    <t>FBR1N68</t>
  </si>
  <si>
    <t>FBR2N78</t>
  </si>
  <si>
    <t>FBR2N83</t>
  </si>
  <si>
    <t>FBR3N94</t>
  </si>
  <si>
    <t>FBR1N1</t>
  </si>
  <si>
    <t>FBR1N28</t>
  </si>
  <si>
    <t>FBR1N55</t>
  </si>
  <si>
    <t>FBR1N78</t>
  </si>
  <si>
    <t>FBR2N11</t>
  </si>
  <si>
    <t>FBR3N75</t>
  </si>
  <si>
    <t>LARN122</t>
  </si>
  <si>
    <t>LAR2N8</t>
  </si>
  <si>
    <t>LAR2N18</t>
  </si>
  <si>
    <t>LAR2N21</t>
  </si>
  <si>
    <t>LAR2N23</t>
  </si>
  <si>
    <t>LAR2N32</t>
  </si>
  <si>
    <t>LAR2N60</t>
  </si>
  <si>
    <t>LAR2N70</t>
  </si>
  <si>
    <t>LAR2N75</t>
  </si>
  <si>
    <t>LAR2N91</t>
  </si>
  <si>
    <t>LAR2N98</t>
  </si>
  <si>
    <t>LAR5N86</t>
  </si>
  <si>
    <t>LAR6N55</t>
  </si>
  <si>
    <t>LAR6N81</t>
  </si>
  <si>
    <t>FBR1N13</t>
  </si>
  <si>
    <t>FBR2N41</t>
  </si>
  <si>
    <t>FBR2N94</t>
  </si>
  <si>
    <t>FBR3N63</t>
  </si>
  <si>
    <t>LAR1N9</t>
  </si>
  <si>
    <t>LAR1N10</t>
  </si>
  <si>
    <t>LAR1N23</t>
  </si>
  <si>
    <t>LAR1N30</t>
  </si>
  <si>
    <t>LAR1N31</t>
  </si>
  <si>
    <t>LAR1N65</t>
  </si>
  <si>
    <t>LAR1N91</t>
  </si>
  <si>
    <t>LAR2N22</t>
  </si>
  <si>
    <t>LAR2N31</t>
  </si>
  <si>
    <t>LAR2N39</t>
  </si>
  <si>
    <t>LAR2N57</t>
  </si>
  <si>
    <t>LAR4N50</t>
  </si>
  <si>
    <t>LAR4N59</t>
  </si>
  <si>
    <t>LAR4N74</t>
  </si>
  <si>
    <t>LAR4N76</t>
  </si>
  <si>
    <t>LAR4N77</t>
  </si>
  <si>
    <t>LAR4N79</t>
  </si>
  <si>
    <t>LAR5N78</t>
  </si>
  <si>
    <t>LAR5N80</t>
  </si>
  <si>
    <t>LAR5N89</t>
  </si>
  <si>
    <t>LAR5N104</t>
  </si>
  <si>
    <t>LAR6N54</t>
  </si>
  <si>
    <t>LAR6N64</t>
  </si>
  <si>
    <t>LAR6N77</t>
  </si>
  <si>
    <t>LAR6N79</t>
  </si>
  <si>
    <t>LAR6N82</t>
  </si>
  <si>
    <t>FBR1N9</t>
  </si>
  <si>
    <t>FBR2N68</t>
  </si>
  <si>
    <t>FBR3N95</t>
  </si>
  <si>
    <t>LAR1N64</t>
  </si>
  <si>
    <t>LAR1N69</t>
  </si>
  <si>
    <t>LAR1N72</t>
  </si>
  <si>
    <t>LAR1N75</t>
  </si>
  <si>
    <t>LAR1N79</t>
  </si>
  <si>
    <t>LAR1N83</t>
  </si>
  <si>
    <t>LAR1N103</t>
  </si>
  <si>
    <t>LAR1N107</t>
  </si>
  <si>
    <t>LAR1N110</t>
  </si>
  <si>
    <t>LAR1N111</t>
  </si>
  <si>
    <t>LAR1N114</t>
  </si>
  <si>
    <t>LAR1N119</t>
  </si>
  <si>
    <t>LAR2N3</t>
  </si>
  <si>
    <t>LAR2N59</t>
  </si>
  <si>
    <t>LAR5N97</t>
  </si>
  <si>
    <t>LAR6N86</t>
  </si>
  <si>
    <t>LAR6N87</t>
  </si>
  <si>
    <t>FBR1N14</t>
  </si>
  <si>
    <t>FBR1N19</t>
  </si>
  <si>
    <t>FBR1N39</t>
  </si>
  <si>
    <t>LAR1N70</t>
  </si>
  <si>
    <t>LAR1N74</t>
  </si>
  <si>
    <t>LAR1N76</t>
  </si>
  <si>
    <t>LAR1N78</t>
  </si>
  <si>
    <t>LAR1N85</t>
  </si>
  <si>
    <t>LAR1N98</t>
  </si>
  <si>
    <t>LAR1N99</t>
  </si>
  <si>
    <t>LAR1N100</t>
  </si>
  <si>
    <t>LAR1N108</t>
  </si>
  <si>
    <t>LAR1N109</t>
  </si>
  <si>
    <t>LAR2N35</t>
  </si>
  <si>
    <t>LAR2N40</t>
  </si>
  <si>
    <t>LAR2N42</t>
  </si>
  <si>
    <t>LAR2N44</t>
  </si>
  <si>
    <t>LAR2N56</t>
  </si>
  <si>
    <t>LAR2N45</t>
  </si>
  <si>
    <t>FBR1N48</t>
  </si>
  <si>
    <t>FBR2N37</t>
  </si>
  <si>
    <t>FBR2N44</t>
  </si>
  <si>
    <t>FBR3N66</t>
  </si>
  <si>
    <t>FBR3N73</t>
  </si>
  <si>
    <t>LAR1N11</t>
  </si>
  <si>
    <t>LAR1N68</t>
  </si>
  <si>
    <t>LAR1N81</t>
  </si>
  <si>
    <t>LAR1N121</t>
  </si>
  <si>
    <t>LAR2N54</t>
  </si>
  <si>
    <t>LAR4N61</t>
  </si>
  <si>
    <t>LAR4N63</t>
  </si>
  <si>
    <t>LAR4N70</t>
  </si>
  <si>
    <t>LAR5N76</t>
  </si>
  <si>
    <t>LAR5N77</t>
  </si>
  <si>
    <t>LAR5N125</t>
  </si>
  <si>
    <t>LAR6N25</t>
  </si>
  <si>
    <t>LAR6N27</t>
  </si>
  <si>
    <t>LAR6N39</t>
  </si>
  <si>
    <t>LAR6N40</t>
  </si>
  <si>
    <t>LAR6N46</t>
  </si>
  <si>
    <t>FBR3N72</t>
  </si>
  <si>
    <t>FBR1N40</t>
  </si>
  <si>
    <t>FBR1N80</t>
  </si>
  <si>
    <t>FBR1N83</t>
  </si>
  <si>
    <t>FBR1N92</t>
  </si>
  <si>
    <t>FBR2N38</t>
  </si>
  <si>
    <t>FBR3N81</t>
  </si>
  <si>
    <t>BIR1N86</t>
  </si>
  <si>
    <t>BIR2N60</t>
  </si>
  <si>
    <t>FBR3N61</t>
  </si>
  <si>
    <t>FBR1N43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</si>
</sst>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7" x14ac:knownFonts="1"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3" fillId="0" borderId="2" xfId="1" applyNumberFormat="1" applyFont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/>
    </xf>
    <xf numFmtId="165" fontId="4" fillId="0" borderId="1" xfId="0" applyNumberFormat="1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2" fontId="1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Fill="1" applyBorder="1" applyAlignment="1">
      <alignment horizontal="center"/>
    </xf>
    <xf numFmtId="164" fontId="4" fillId="0" borderId="3" xfId="0" applyNumberFormat="1" applyFont="1" applyFill="1" applyBorder="1" applyAlignment="1">
      <alignment horizontal="center"/>
    </xf>
    <xf numFmtId="1" fontId="3" fillId="0" borderId="3" xfId="1" applyNumberFormat="1" applyFont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/>
    </xf>
    <xf numFmtId="0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Standard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3"/>
  <sheetViews>
    <sheetView tabSelected="1" zoomScaleNormal="100" workbookViewId="0">
      <pane xSplit="3" ySplit="2" topLeftCell="D151" activePane="bottomRight" state="frozen"/>
      <selection pane="topRight" activeCell="D1" sqref="D1"/>
      <selection pane="bottomLeft" activeCell="A3" sqref="A3"/>
      <selection pane="bottomRight" activeCell="D175" sqref="D175"/>
    </sheetView>
  </sheetViews>
  <sheetFormatPr defaultColWidth="11.5546875" defaultRowHeight="15.75" x14ac:dyDescent="0.2"/>
  <cols>
    <col min="1" max="1" width="6" style="17" bestFit="1" customWidth="1"/>
    <col min="2" max="2" width="13.6640625" style="1" bestFit="1" customWidth="1"/>
    <col min="3" max="3" width="9.33203125" style="1" customWidth="1"/>
    <col min="4" max="4" width="12.21875" style="1" bestFit="1" customWidth="1"/>
    <col min="5" max="5" width="6.5546875" style="1" bestFit="1" customWidth="1"/>
    <col min="6" max="6" width="6.44140625" style="1" customWidth="1"/>
    <col min="7" max="7" width="8.109375" style="8" customWidth="1"/>
    <col min="8" max="8" width="12" style="8" bestFit="1" customWidth="1"/>
    <col min="9" max="14" width="10" style="1" customWidth="1"/>
    <col min="15" max="15" width="6.44140625" style="1" customWidth="1"/>
    <col min="16" max="16384" width="11.5546875" style="1"/>
  </cols>
  <sheetData>
    <row r="1" spans="1:26" ht="47.25" x14ac:dyDescent="0.2">
      <c r="A1" s="47" t="s">
        <v>313</v>
      </c>
      <c r="B1" s="47"/>
      <c r="C1" s="48" t="s">
        <v>48</v>
      </c>
      <c r="D1" s="11" t="s">
        <v>0</v>
      </c>
      <c r="E1" s="11" t="s">
        <v>80</v>
      </c>
      <c r="F1" s="11" t="s">
        <v>1</v>
      </c>
      <c r="G1" s="5" t="s">
        <v>26</v>
      </c>
      <c r="H1" s="9" t="s">
        <v>25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20" t="s">
        <v>8</v>
      </c>
    </row>
    <row r="2" spans="1:26" x14ac:dyDescent="0.2">
      <c r="A2" s="47"/>
      <c r="B2" s="47"/>
      <c r="C2" s="48"/>
      <c r="D2" s="11" t="s">
        <v>23</v>
      </c>
      <c r="E2" s="11" t="s">
        <v>24</v>
      </c>
      <c r="F2" s="11"/>
      <c r="G2" s="5"/>
      <c r="H2" s="5" t="s">
        <v>24</v>
      </c>
      <c r="I2" s="11"/>
      <c r="J2" s="11"/>
      <c r="K2" s="11"/>
      <c r="L2" s="11"/>
      <c r="M2" s="11"/>
      <c r="N2" s="11"/>
      <c r="O2" s="11" t="s">
        <v>27</v>
      </c>
    </row>
    <row r="3" spans="1:26" ht="37.5" customHeight="1" x14ac:dyDescent="0.2">
      <c r="A3" s="38"/>
      <c r="B3" s="38"/>
      <c r="C3" s="39"/>
      <c r="D3" s="41" t="s">
        <v>334</v>
      </c>
      <c r="E3" s="41" t="s">
        <v>335</v>
      </c>
      <c r="F3" s="41" t="s">
        <v>336</v>
      </c>
      <c r="G3" s="42" t="s">
        <v>337</v>
      </c>
      <c r="H3" s="42" t="s">
        <v>337</v>
      </c>
      <c r="I3" s="41" t="s">
        <v>338</v>
      </c>
      <c r="J3" s="41" t="s">
        <v>338</v>
      </c>
      <c r="K3" s="41" t="s">
        <v>338</v>
      </c>
      <c r="L3" s="41" t="s">
        <v>338</v>
      </c>
      <c r="M3" s="41" t="s">
        <v>338</v>
      </c>
      <c r="N3" s="41" t="s">
        <v>338</v>
      </c>
      <c r="O3" s="41" t="s">
        <v>339</v>
      </c>
    </row>
    <row r="4" spans="1:26" x14ac:dyDescent="0.2">
      <c r="A4" s="16">
        <v>57372</v>
      </c>
      <c r="B4" s="12" t="s">
        <v>312</v>
      </c>
      <c r="C4" s="2">
        <v>45566</v>
      </c>
      <c r="D4" s="10">
        <v>1.0411999999999999</v>
      </c>
      <c r="E4" s="4">
        <v>106.9</v>
      </c>
      <c r="F4" s="12">
        <v>10.73</v>
      </c>
      <c r="G4" s="5">
        <v>2.91</v>
      </c>
      <c r="H4" s="5">
        <v>13.19</v>
      </c>
      <c r="I4" s="12" t="s">
        <v>353</v>
      </c>
      <c r="J4" s="40" t="s">
        <v>353</v>
      </c>
      <c r="K4" s="40" t="s">
        <v>353</v>
      </c>
      <c r="L4" s="40" t="s">
        <v>353</v>
      </c>
      <c r="M4" s="40" t="s">
        <v>353</v>
      </c>
      <c r="N4" s="40" t="s">
        <v>353</v>
      </c>
      <c r="O4" s="3">
        <v>1578</v>
      </c>
    </row>
    <row r="5" spans="1:26" x14ac:dyDescent="0.2">
      <c r="A5" s="16">
        <v>57373</v>
      </c>
      <c r="B5" s="12" t="s">
        <v>477</v>
      </c>
      <c r="C5" s="2">
        <v>45566</v>
      </c>
      <c r="D5" s="10">
        <v>1.0472999999999999</v>
      </c>
      <c r="E5" s="4">
        <v>122.8</v>
      </c>
      <c r="F5" s="12">
        <v>12.59</v>
      </c>
      <c r="G5" s="5">
        <v>2.96</v>
      </c>
      <c r="H5" s="5">
        <v>12.06</v>
      </c>
      <c r="I5" s="6">
        <v>2.7199999999999998E-2</v>
      </c>
      <c r="J5" s="6">
        <v>1.7000000000000001E-2</v>
      </c>
      <c r="K5" s="6">
        <v>1E-3</v>
      </c>
      <c r="L5" s="4">
        <v>99.174562217232065</v>
      </c>
      <c r="M5" s="4">
        <v>0.97293041302221051</v>
      </c>
      <c r="N5" s="4">
        <v>1.3834932108366171</v>
      </c>
      <c r="O5" s="3">
        <v>395</v>
      </c>
    </row>
    <row r="6" spans="1:26" x14ac:dyDescent="0.2">
      <c r="A6" s="16">
        <v>57374</v>
      </c>
      <c r="B6" s="12" t="s">
        <v>9</v>
      </c>
      <c r="C6" s="2">
        <v>45566</v>
      </c>
      <c r="D6" s="10">
        <v>1.0479000000000001</v>
      </c>
      <c r="E6" s="4">
        <v>124.3</v>
      </c>
      <c r="F6" s="11">
        <v>12.74</v>
      </c>
      <c r="G6" s="5">
        <v>3.08</v>
      </c>
      <c r="H6" s="5">
        <v>10.01</v>
      </c>
      <c r="I6" s="6">
        <v>1.9800000000000002E-2</v>
      </c>
      <c r="J6" s="6">
        <v>3.5999999999999999E-3</v>
      </c>
      <c r="K6" s="6">
        <v>-4.0000000000000002E-4</v>
      </c>
      <c r="L6" s="4">
        <v>99.806686780268734</v>
      </c>
      <c r="M6" s="4">
        <v>-8.3438662325185931E-2</v>
      </c>
      <c r="N6" s="4">
        <v>1.1549935891730811</v>
      </c>
      <c r="O6" s="3">
        <v>450</v>
      </c>
    </row>
    <row r="7" spans="1:26" x14ac:dyDescent="0.2">
      <c r="A7" s="16">
        <v>57375</v>
      </c>
      <c r="B7" s="12" t="s">
        <v>10</v>
      </c>
      <c r="C7" s="2">
        <v>45566</v>
      </c>
      <c r="D7" s="10">
        <v>1.0466</v>
      </c>
      <c r="E7" s="4">
        <v>120.8</v>
      </c>
      <c r="F7" s="11">
        <v>12.57</v>
      </c>
      <c r="G7" s="5">
        <v>4</v>
      </c>
      <c r="H7" s="5">
        <v>2.2000000000000002</v>
      </c>
      <c r="I7" s="6">
        <v>0.504</v>
      </c>
      <c r="J7" s="6">
        <v>7.7799999999999994E-2</v>
      </c>
      <c r="K7" s="6">
        <v>1.26E-2</v>
      </c>
      <c r="L7" s="4">
        <v>94.750569541817242</v>
      </c>
      <c r="M7" s="4">
        <v>-3.3796012668169673</v>
      </c>
      <c r="N7" s="4">
        <v>34.000308277177616</v>
      </c>
      <c r="O7" s="3">
        <v>939</v>
      </c>
    </row>
    <row r="8" spans="1:26" x14ac:dyDescent="0.2">
      <c r="A8" s="16">
        <v>57376</v>
      </c>
      <c r="B8" s="12" t="s">
        <v>11</v>
      </c>
      <c r="C8" s="2">
        <v>45566</v>
      </c>
      <c r="D8" s="10">
        <v>1.0458000000000001</v>
      </c>
      <c r="E8" s="4">
        <v>118.8</v>
      </c>
      <c r="F8" s="11">
        <v>12.38</v>
      </c>
      <c r="G8" s="5">
        <v>3.31</v>
      </c>
      <c r="H8" s="5">
        <v>7.01</v>
      </c>
      <c r="I8" s="6">
        <v>8.4199999999999997E-2</v>
      </c>
      <c r="J8" s="6">
        <v>2.6599999999999999E-2</v>
      </c>
      <c r="K8" s="6">
        <v>5.3E-3</v>
      </c>
      <c r="L8" s="4">
        <v>98.221933238349251</v>
      </c>
      <c r="M8" s="4">
        <v>-5.2293373765111006E-2</v>
      </c>
      <c r="N8" s="4">
        <v>6.8281302713296466</v>
      </c>
      <c r="O8" s="3">
        <v>656</v>
      </c>
    </row>
    <row r="9" spans="1:26" x14ac:dyDescent="0.2">
      <c r="A9" s="16">
        <v>57377</v>
      </c>
      <c r="B9" s="12" t="s">
        <v>12</v>
      </c>
      <c r="C9" s="2">
        <v>45566</v>
      </c>
      <c r="D9" s="10">
        <v>1.0418000000000001</v>
      </c>
      <c r="E9" s="4">
        <v>108.4</v>
      </c>
      <c r="F9" s="12">
        <v>10.71</v>
      </c>
      <c r="G9" s="5">
        <v>3.09</v>
      </c>
      <c r="H9" s="5">
        <v>11.58</v>
      </c>
      <c r="I9" s="6">
        <v>2.6200000000000001E-2</v>
      </c>
      <c r="J9" s="6">
        <v>1.37E-2</v>
      </c>
      <c r="K9" s="6">
        <v>1.1999999999999999E-3</v>
      </c>
      <c r="L9" s="4">
        <v>99.328108083429441</v>
      </c>
      <c r="M9" s="4">
        <v>0.64612888466036855</v>
      </c>
      <c r="N9" s="4">
        <v>1.4180487422169596</v>
      </c>
      <c r="O9" s="3">
        <v>158</v>
      </c>
    </row>
    <row r="10" spans="1:26" x14ac:dyDescent="0.2">
      <c r="A10" s="16">
        <v>57378</v>
      </c>
      <c r="B10" s="12" t="s">
        <v>13</v>
      </c>
      <c r="C10" s="2">
        <v>45566</v>
      </c>
      <c r="D10" s="10">
        <v>1.0399</v>
      </c>
      <c r="E10" s="4">
        <v>103.4</v>
      </c>
      <c r="F10" s="12">
        <v>10.14</v>
      </c>
      <c r="G10" s="5">
        <v>3.02</v>
      </c>
      <c r="H10" s="5">
        <v>11.45</v>
      </c>
      <c r="I10" s="6">
        <v>2.3300000000000001E-2</v>
      </c>
      <c r="J10" s="6">
        <v>1.4E-2</v>
      </c>
      <c r="K10" s="6">
        <v>5.9999999999999995E-4</v>
      </c>
      <c r="L10" s="4">
        <v>99.356356358049183</v>
      </c>
      <c r="M10" s="4">
        <v>0.79298454411791397</v>
      </c>
      <c r="N10" s="4">
        <v>1.2420349273411846</v>
      </c>
      <c r="O10" s="3">
        <v>409</v>
      </c>
    </row>
    <row r="11" spans="1:26" x14ac:dyDescent="0.2">
      <c r="A11" s="16">
        <v>57379</v>
      </c>
      <c r="B11" s="12" t="s">
        <v>14</v>
      </c>
      <c r="C11" s="2">
        <v>45566</v>
      </c>
      <c r="D11" s="10">
        <v>1.0522</v>
      </c>
      <c r="E11" s="4">
        <v>135.4</v>
      </c>
      <c r="F11" s="12">
        <v>13.38</v>
      </c>
      <c r="G11" s="5">
        <v>3.1</v>
      </c>
      <c r="H11" s="5">
        <v>11.9</v>
      </c>
      <c r="I11" s="6">
        <v>4.9299999999999997E-2</v>
      </c>
      <c r="J11" s="6">
        <v>2.0400000000000001E-2</v>
      </c>
      <c r="K11" s="6">
        <v>4.0000000000000001E-3</v>
      </c>
      <c r="L11" s="4">
        <v>98.802685254032099</v>
      </c>
      <c r="M11" s="4">
        <v>0.51603739698030671</v>
      </c>
      <c r="N11" s="4">
        <v>2.9403251865151248</v>
      </c>
      <c r="O11" s="3">
        <v>169</v>
      </c>
    </row>
    <row r="12" spans="1:26" x14ac:dyDescent="0.2">
      <c r="A12" s="16">
        <v>57380</v>
      </c>
      <c r="B12" s="12" t="s">
        <v>15</v>
      </c>
      <c r="C12" s="2">
        <v>45566</v>
      </c>
      <c r="D12" s="10">
        <v>1.0405</v>
      </c>
      <c r="E12" s="4">
        <v>105.1</v>
      </c>
      <c r="F12" s="11">
        <v>10.45</v>
      </c>
      <c r="G12" s="5">
        <v>3.06</v>
      </c>
      <c r="H12" s="5">
        <v>9.34</v>
      </c>
      <c r="I12" s="6">
        <v>0.3085</v>
      </c>
      <c r="J12" s="6">
        <v>0.45250000000000001</v>
      </c>
      <c r="K12" s="6">
        <v>1.95E-2</v>
      </c>
      <c r="L12" s="4">
        <v>81.631522177207401</v>
      </c>
      <c r="M12" s="4">
        <v>29.801183064287805</v>
      </c>
      <c r="N12" s="4">
        <v>13.174787311570601</v>
      </c>
      <c r="O12" s="3">
        <v>1113</v>
      </c>
    </row>
    <row r="13" spans="1:26" x14ac:dyDescent="0.2">
      <c r="A13" s="16">
        <v>57381</v>
      </c>
      <c r="B13" s="12" t="s">
        <v>16</v>
      </c>
      <c r="C13" s="2">
        <v>45566</v>
      </c>
      <c r="D13" s="10">
        <v>1.0479000000000001</v>
      </c>
      <c r="E13" s="4">
        <v>124.3</v>
      </c>
      <c r="F13" s="11">
        <v>12.64</v>
      </c>
      <c r="G13" s="5">
        <v>3.23</v>
      </c>
      <c r="H13" s="5">
        <v>10.55</v>
      </c>
      <c r="I13" s="6">
        <v>2.46E-2</v>
      </c>
      <c r="J13" s="6">
        <v>1.09E-2</v>
      </c>
      <c r="K13" s="6">
        <v>8.9999999999999998E-4</v>
      </c>
      <c r="L13" s="4">
        <v>99.46405619324203</v>
      </c>
      <c r="M13" s="4">
        <v>0.38984624708665594</v>
      </c>
      <c r="N13" s="4">
        <v>1.3357165603923749</v>
      </c>
      <c r="O13" s="3">
        <v>181</v>
      </c>
    </row>
    <row r="14" spans="1:26" x14ac:dyDescent="0.2">
      <c r="A14" s="16">
        <v>57382</v>
      </c>
      <c r="B14" s="12" t="s">
        <v>17</v>
      </c>
      <c r="C14" s="2">
        <v>45566</v>
      </c>
      <c r="D14" s="10">
        <v>1.05</v>
      </c>
      <c r="E14" s="4">
        <v>129.9</v>
      </c>
      <c r="F14" s="12">
        <v>13.23</v>
      </c>
      <c r="G14" s="5">
        <v>2.96</v>
      </c>
      <c r="H14" s="5">
        <v>10.18</v>
      </c>
      <c r="I14" s="6">
        <v>2.9000000000000001E-2</v>
      </c>
      <c r="J14" s="6">
        <v>7.7999999999999996E-3</v>
      </c>
      <c r="K14" s="6">
        <v>0</v>
      </c>
      <c r="L14" s="4">
        <v>99.597587811952067</v>
      </c>
      <c r="M14" s="4">
        <v>3.8200860512371815E-2</v>
      </c>
      <c r="N14" s="4">
        <v>1.7486606357976608</v>
      </c>
      <c r="O14" s="3">
        <v>821</v>
      </c>
      <c r="Y14" s="1" t="s">
        <v>21</v>
      </c>
      <c r="Z14" s="1" t="s">
        <v>22</v>
      </c>
    </row>
    <row r="15" spans="1:26" x14ac:dyDescent="0.2">
      <c r="A15" s="16">
        <v>57383</v>
      </c>
      <c r="B15" s="12" t="s">
        <v>18</v>
      </c>
      <c r="C15" s="2">
        <v>45566</v>
      </c>
      <c r="D15" s="10">
        <v>1.0505</v>
      </c>
      <c r="E15" s="4">
        <v>131</v>
      </c>
      <c r="F15" s="12">
        <v>12.64</v>
      </c>
      <c r="G15" s="5">
        <v>3.08</v>
      </c>
      <c r="H15" s="5">
        <v>12.17</v>
      </c>
      <c r="I15" s="6">
        <v>1.7999999999999999E-2</v>
      </c>
      <c r="J15" s="6">
        <v>9.1000000000000004E-3</v>
      </c>
      <c r="K15" s="6">
        <v>2.0000000000000001E-4</v>
      </c>
      <c r="L15" s="4">
        <v>99.587970655497003</v>
      </c>
      <c r="M15" s="4">
        <v>0.42840376616742892</v>
      </c>
      <c r="N15" s="4">
        <v>1.0139835712709377</v>
      </c>
      <c r="O15" s="3">
        <v>283</v>
      </c>
    </row>
    <row r="16" spans="1:26" x14ac:dyDescent="0.2">
      <c r="A16" s="16">
        <v>57384</v>
      </c>
      <c r="B16" s="12" t="s">
        <v>29</v>
      </c>
      <c r="C16" s="2">
        <v>45567</v>
      </c>
      <c r="D16" s="10">
        <v>1.04</v>
      </c>
      <c r="E16" s="4">
        <v>103.7</v>
      </c>
      <c r="F16" s="12">
        <v>10.36</v>
      </c>
      <c r="G16" s="5">
        <v>3.1</v>
      </c>
      <c r="H16" s="5">
        <v>8.42</v>
      </c>
      <c r="I16" s="6">
        <v>0.13059999999999999</v>
      </c>
      <c r="J16" s="6">
        <v>2.7699999999999999E-2</v>
      </c>
      <c r="K16" s="6">
        <v>2.8E-3</v>
      </c>
      <c r="L16" s="4">
        <v>98.142087481325831</v>
      </c>
      <c r="M16" s="4">
        <v>-0.91220375077499805</v>
      </c>
      <c r="N16" s="4">
        <v>10.449294790876662</v>
      </c>
      <c r="O16" s="3">
        <v>698</v>
      </c>
    </row>
    <row r="17" spans="1:15" x14ac:dyDescent="0.2">
      <c r="A17" s="16">
        <v>57385</v>
      </c>
      <c r="B17" s="12" t="s">
        <v>30</v>
      </c>
      <c r="C17" s="2">
        <v>45567</v>
      </c>
      <c r="D17" s="10">
        <v>1.0456000000000001</v>
      </c>
      <c r="E17" s="4">
        <v>118.3</v>
      </c>
      <c r="F17" s="12">
        <v>12.34</v>
      </c>
      <c r="G17" s="5">
        <v>3.27</v>
      </c>
      <c r="H17" s="5">
        <v>6.72</v>
      </c>
      <c r="I17" s="6">
        <v>0.11310000000000001</v>
      </c>
      <c r="J17" s="6">
        <v>3.4599999999999999E-2</v>
      </c>
      <c r="K17" s="6">
        <v>4.1999999999999997E-3</v>
      </c>
      <c r="L17" s="4">
        <v>97.856349397309828</v>
      </c>
      <c r="M17" s="4">
        <v>0.13843811692343388</v>
      </c>
      <c r="N17" s="4">
        <v>9.0555029085511496</v>
      </c>
      <c r="O17" s="3">
        <v>557</v>
      </c>
    </row>
    <row r="18" spans="1:15" x14ac:dyDescent="0.2">
      <c r="A18" s="16">
        <v>57386</v>
      </c>
      <c r="B18" s="12" t="s">
        <v>31</v>
      </c>
      <c r="C18" s="2">
        <v>45567</v>
      </c>
      <c r="D18" s="10">
        <v>1.0448</v>
      </c>
      <c r="E18" s="4">
        <v>116.2</v>
      </c>
      <c r="F18" s="12">
        <v>12.33</v>
      </c>
      <c r="G18" s="5">
        <v>3.97</v>
      </c>
      <c r="H18" s="5">
        <v>1.92</v>
      </c>
      <c r="I18" s="6">
        <v>0.28139999999999998</v>
      </c>
      <c r="J18" s="6">
        <v>4.3799999999999999E-2</v>
      </c>
      <c r="K18" s="6">
        <v>7.7000000000000002E-3</v>
      </c>
      <c r="L18" s="4">
        <v>96.941328444577223</v>
      </c>
      <c r="M18" s="4">
        <v>-2.9671593323912226</v>
      </c>
      <c r="N18" s="4">
        <v>19.968443350490617</v>
      </c>
      <c r="O18" s="3">
        <v>491</v>
      </c>
    </row>
    <row r="19" spans="1:15" x14ac:dyDescent="0.2">
      <c r="A19" s="16">
        <v>57387</v>
      </c>
      <c r="B19" s="12" t="s">
        <v>32</v>
      </c>
      <c r="C19" s="2">
        <v>45567</v>
      </c>
      <c r="D19" s="10">
        <v>1.0466</v>
      </c>
      <c r="E19" s="4">
        <v>121</v>
      </c>
      <c r="F19" s="11">
        <v>12.55</v>
      </c>
      <c r="G19" s="5">
        <v>3.25</v>
      </c>
      <c r="H19" s="5">
        <v>5.85</v>
      </c>
      <c r="I19" s="6">
        <v>0.24129999999999999</v>
      </c>
      <c r="J19" s="6">
        <v>5.3999999999999999E-2</v>
      </c>
      <c r="K19" s="6">
        <v>1.1299999999999999E-2</v>
      </c>
      <c r="L19" s="4">
        <v>96.317675049894575</v>
      </c>
      <c r="M19" s="4">
        <v>-1.4012920259843242</v>
      </c>
      <c r="N19" s="4">
        <v>18.570184954196002</v>
      </c>
      <c r="O19" s="3">
        <v>702</v>
      </c>
    </row>
    <row r="20" spans="1:15" x14ac:dyDescent="0.2">
      <c r="A20" s="16">
        <v>57388</v>
      </c>
      <c r="B20" s="12" t="s">
        <v>33</v>
      </c>
      <c r="C20" s="2">
        <v>45567</v>
      </c>
      <c r="D20" s="10">
        <v>1.0492999999999999</v>
      </c>
      <c r="E20" s="4">
        <v>128.1</v>
      </c>
      <c r="F20" s="12">
        <v>13.08</v>
      </c>
      <c r="G20" s="5">
        <v>2.99</v>
      </c>
      <c r="H20" s="5">
        <v>9.5500000000000007</v>
      </c>
      <c r="I20" s="6">
        <v>3.5299999999999998E-2</v>
      </c>
      <c r="J20" s="6">
        <v>5.0799999999999998E-2</v>
      </c>
      <c r="K20" s="6">
        <v>1E-3</v>
      </c>
      <c r="L20" s="4">
        <v>97.943692080342672</v>
      </c>
      <c r="M20" s="4">
        <v>4.0887653822921921</v>
      </c>
      <c r="N20" s="4">
        <v>1.2269354018758172</v>
      </c>
      <c r="O20" s="3">
        <v>386</v>
      </c>
    </row>
    <row r="21" spans="1:15" x14ac:dyDescent="0.2">
      <c r="A21" s="16">
        <v>57389</v>
      </c>
      <c r="B21" s="12" t="s">
        <v>34</v>
      </c>
      <c r="C21" s="2">
        <v>45567</v>
      </c>
      <c r="D21" s="10">
        <v>1.0501</v>
      </c>
      <c r="E21" s="4">
        <v>130.1</v>
      </c>
      <c r="F21" s="11">
        <v>13.16</v>
      </c>
      <c r="G21" s="5">
        <v>3.05</v>
      </c>
      <c r="H21" s="5">
        <v>10.4</v>
      </c>
      <c r="I21" s="6">
        <v>2.3099999999999999E-2</v>
      </c>
      <c r="J21" s="6">
        <v>7.4000000000000003E-3</v>
      </c>
      <c r="K21" s="6">
        <v>1.5E-3</v>
      </c>
      <c r="L21" s="4">
        <v>99.565994094450303</v>
      </c>
      <c r="M21" s="4">
        <v>6.7224597134152297E-2</v>
      </c>
      <c r="N21" s="4">
        <v>1.2221218153122271</v>
      </c>
      <c r="O21" s="3">
        <v>346</v>
      </c>
    </row>
    <row r="22" spans="1:15" x14ac:dyDescent="0.2">
      <c r="A22" s="16">
        <v>57390</v>
      </c>
      <c r="B22" s="12" t="s">
        <v>49</v>
      </c>
      <c r="C22" s="2">
        <v>45567</v>
      </c>
      <c r="D22" s="10">
        <v>1.0411999999999999</v>
      </c>
      <c r="E22" s="4">
        <v>106.8</v>
      </c>
      <c r="F22" s="11">
        <v>10.71</v>
      </c>
      <c r="G22" s="5">
        <v>3.12</v>
      </c>
      <c r="H22" s="5">
        <v>6.55</v>
      </c>
      <c r="I22" s="6">
        <v>4.4699999999999997E-2</v>
      </c>
      <c r="J22" s="6">
        <v>1.5900000000000001E-2</v>
      </c>
      <c r="K22" s="6">
        <v>2.5000000000000001E-3</v>
      </c>
      <c r="L22" s="4">
        <v>98.970306800232208</v>
      </c>
      <c r="M22" s="4">
        <v>0.2684179905755868</v>
      </c>
      <c r="N22" s="4">
        <v>3.3660407590343278</v>
      </c>
      <c r="O22" s="3">
        <v>575</v>
      </c>
    </row>
    <row r="23" spans="1:15" x14ac:dyDescent="0.2">
      <c r="A23" s="16">
        <v>57391</v>
      </c>
      <c r="B23" s="12" t="s">
        <v>35</v>
      </c>
      <c r="C23" s="2">
        <v>45567</v>
      </c>
      <c r="D23" s="10">
        <v>1.04</v>
      </c>
      <c r="E23" s="4">
        <v>103.8</v>
      </c>
      <c r="F23" s="11">
        <v>10.28</v>
      </c>
      <c r="G23" s="5">
        <v>2.98</v>
      </c>
      <c r="H23" s="5">
        <v>10.96</v>
      </c>
      <c r="I23" s="6">
        <v>3.7699999999999997E-2</v>
      </c>
      <c r="J23" s="6">
        <v>1.44E-2</v>
      </c>
      <c r="K23" s="6">
        <v>2.3999999999999998E-3</v>
      </c>
      <c r="L23" s="4">
        <v>99.13079199676416</v>
      </c>
      <c r="M23" s="4">
        <v>0.25875087664273266</v>
      </c>
      <c r="N23" s="4">
        <v>2.7010591982708387</v>
      </c>
      <c r="O23" s="3">
        <v>477</v>
      </c>
    </row>
    <row r="24" spans="1:15" x14ac:dyDescent="0.2">
      <c r="A24" s="16">
        <v>57392</v>
      </c>
      <c r="B24" s="12" t="s">
        <v>36</v>
      </c>
      <c r="C24" s="2">
        <v>45567</v>
      </c>
      <c r="D24" s="10">
        <v>1.0419</v>
      </c>
      <c r="E24" s="4">
        <v>108.8</v>
      </c>
      <c r="F24" s="11">
        <v>10.99</v>
      </c>
      <c r="G24" s="5">
        <v>3.18</v>
      </c>
      <c r="H24" s="5">
        <v>7.96</v>
      </c>
      <c r="I24" s="6">
        <v>6.4600000000000005E-2</v>
      </c>
      <c r="J24" s="6">
        <v>2.7099999999999999E-2</v>
      </c>
      <c r="K24" s="6">
        <v>2.7000000000000001E-3</v>
      </c>
      <c r="L24" s="4">
        <v>98.403389538263397</v>
      </c>
      <c r="M24" s="4">
        <v>0.81394069023171811</v>
      </c>
      <c r="N24" s="4">
        <v>4.8221538759234184</v>
      </c>
      <c r="O24" s="3">
        <v>643</v>
      </c>
    </row>
    <row r="25" spans="1:15" x14ac:dyDescent="0.2">
      <c r="A25" s="16">
        <v>57393</v>
      </c>
      <c r="B25" s="12" t="s">
        <v>37</v>
      </c>
      <c r="C25" s="2">
        <v>45567</v>
      </c>
      <c r="D25" s="10">
        <v>1.0421</v>
      </c>
      <c r="E25" s="4">
        <v>109.1</v>
      </c>
      <c r="F25" s="11">
        <v>11.97</v>
      </c>
      <c r="G25" s="5">
        <v>3.1</v>
      </c>
      <c r="H25" s="5">
        <v>8.1</v>
      </c>
      <c r="I25" s="6">
        <v>3.1199999999999999E-2</v>
      </c>
      <c r="J25" s="6">
        <v>3.0700000000000002E-2</v>
      </c>
      <c r="K25" s="6">
        <v>-1.1000000000000001E-3</v>
      </c>
      <c r="L25" s="4">
        <v>98.787696232626971</v>
      </c>
      <c r="M25" s="4">
        <v>2.3487870910420261</v>
      </c>
      <c r="N25" s="4">
        <v>1.4725817181432843</v>
      </c>
      <c r="O25" s="3">
        <v>273</v>
      </c>
    </row>
    <row r="26" spans="1:15" x14ac:dyDescent="0.2">
      <c r="A26" s="16">
        <v>57394</v>
      </c>
      <c r="B26" s="12" t="s">
        <v>38</v>
      </c>
      <c r="C26" s="2">
        <v>45567</v>
      </c>
      <c r="D26" s="10">
        <v>1.0370999999999999</v>
      </c>
      <c r="E26" s="4">
        <v>96.3</v>
      </c>
      <c r="F26" s="5">
        <v>9.5</v>
      </c>
      <c r="G26" s="5">
        <v>3.05</v>
      </c>
      <c r="H26" s="5">
        <v>11.83</v>
      </c>
      <c r="I26" s="6">
        <v>1.41E-2</v>
      </c>
      <c r="J26" s="6">
        <v>1.6000000000000001E-3</v>
      </c>
      <c r="K26" s="6">
        <v>-8.9999999999999998E-4</v>
      </c>
      <c r="L26" s="4">
        <v>99.933654457033157</v>
      </c>
      <c r="M26" s="4">
        <v>-0.14372671523721348</v>
      </c>
      <c r="N26" s="4">
        <v>0.9005025683493928</v>
      </c>
      <c r="O26" s="3">
        <v>142</v>
      </c>
    </row>
    <row r="27" spans="1:15" x14ac:dyDescent="0.2">
      <c r="A27" s="16">
        <v>57395</v>
      </c>
      <c r="B27" s="12" t="s">
        <v>39</v>
      </c>
      <c r="C27" s="2">
        <v>45567</v>
      </c>
      <c r="D27" s="10">
        <v>1.0452999999999999</v>
      </c>
      <c r="E27" s="4">
        <v>117.4</v>
      </c>
      <c r="F27" s="12">
        <v>12.36</v>
      </c>
      <c r="G27" s="5">
        <v>3.22</v>
      </c>
      <c r="H27" s="5">
        <v>7.27</v>
      </c>
      <c r="I27" s="6">
        <v>0.29199999999999998</v>
      </c>
      <c r="J27" s="6">
        <v>6.7100000000000007E-2</v>
      </c>
      <c r="K27" s="6">
        <v>1.6299999999999999E-2</v>
      </c>
      <c r="L27" s="4">
        <v>95.419445460047569</v>
      </c>
      <c r="M27" s="4">
        <v>-1.5407691832129422</v>
      </c>
      <c r="N27" s="4">
        <v>21.176272250242413</v>
      </c>
      <c r="O27" s="3">
        <v>342</v>
      </c>
    </row>
    <row r="28" spans="1:15" x14ac:dyDescent="0.2">
      <c r="A28" s="16">
        <v>57396</v>
      </c>
      <c r="B28" s="12" t="s">
        <v>40</v>
      </c>
      <c r="C28" s="2">
        <v>45567</v>
      </c>
      <c r="D28" s="10">
        <v>1.0391999999999999</v>
      </c>
      <c r="E28" s="4">
        <v>101.6</v>
      </c>
      <c r="F28" s="5">
        <v>10.3</v>
      </c>
      <c r="G28" s="5">
        <v>3.12</v>
      </c>
      <c r="H28" s="5">
        <v>1.37</v>
      </c>
      <c r="I28" s="6">
        <v>0.78839999999999999</v>
      </c>
      <c r="J28" s="6">
        <v>8.5699999999999998E-2</v>
      </c>
      <c r="K28" s="6">
        <v>9.2999999999999992E-3</v>
      </c>
      <c r="L28" s="4">
        <v>94.203193690191625</v>
      </c>
      <c r="M28" s="4">
        <v>-5.2973336422900701</v>
      </c>
      <c r="N28" s="4">
        <v>49.040673524750119</v>
      </c>
      <c r="O28" s="3">
        <v>694</v>
      </c>
    </row>
    <row r="29" spans="1:15" x14ac:dyDescent="0.2">
      <c r="A29" s="16">
        <v>57397</v>
      </c>
      <c r="B29" s="12" t="s">
        <v>41</v>
      </c>
      <c r="C29" s="2">
        <v>45567</v>
      </c>
      <c r="D29" s="10">
        <v>1.0336000000000001</v>
      </c>
      <c r="E29" s="4">
        <v>87</v>
      </c>
      <c r="F29" s="5">
        <v>8</v>
      </c>
      <c r="G29" s="5">
        <v>3.14</v>
      </c>
      <c r="H29" s="5">
        <v>10.210000000000001</v>
      </c>
      <c r="I29" s="6">
        <v>0.51690000000000003</v>
      </c>
      <c r="J29" s="6">
        <v>0.56889999999999996</v>
      </c>
      <c r="K29" s="6">
        <v>2.2700000000000001E-2</v>
      </c>
      <c r="L29" s="4">
        <v>78.53588310385804</v>
      </c>
      <c r="M29" s="4">
        <v>33.159262962166594</v>
      </c>
      <c r="N29" s="4">
        <v>26.050027565516132</v>
      </c>
      <c r="O29" s="3">
        <v>1169</v>
      </c>
    </row>
    <row r="30" spans="1:15" x14ac:dyDescent="0.2">
      <c r="A30" s="16">
        <v>57398</v>
      </c>
      <c r="B30" s="12" t="s">
        <v>42</v>
      </c>
      <c r="C30" s="2">
        <v>45567</v>
      </c>
      <c r="D30" s="10">
        <v>1.0367999999999999</v>
      </c>
      <c r="E30" s="4">
        <v>95.5</v>
      </c>
      <c r="F30" s="5">
        <v>9.6999999999999993</v>
      </c>
      <c r="G30" s="5">
        <v>4.1399999999999997</v>
      </c>
      <c r="H30" s="5">
        <v>1.65</v>
      </c>
      <c r="I30" s="6">
        <v>0.56020000000000003</v>
      </c>
      <c r="J30" s="6">
        <v>6.6400000000000001E-2</v>
      </c>
      <c r="K30" s="6">
        <v>1.21E-2</v>
      </c>
      <c r="L30" s="4">
        <v>95.266697448532369</v>
      </c>
      <c r="M30" s="4">
        <v>-5.4446609112057125</v>
      </c>
      <c r="N30" s="4">
        <v>35.627964695761946</v>
      </c>
      <c r="O30" s="3">
        <v>318</v>
      </c>
    </row>
    <row r="31" spans="1:15" x14ac:dyDescent="0.2">
      <c r="A31" s="16">
        <v>57399</v>
      </c>
      <c r="B31" s="12" t="s">
        <v>43</v>
      </c>
      <c r="C31" s="2">
        <v>45567</v>
      </c>
      <c r="D31" s="10">
        <v>1.0402</v>
      </c>
      <c r="E31" s="4">
        <v>104.2</v>
      </c>
      <c r="F31" s="12">
        <v>10.31</v>
      </c>
      <c r="G31" s="5">
        <v>3.13</v>
      </c>
      <c r="H31" s="5">
        <v>10.54</v>
      </c>
      <c r="I31" s="6">
        <v>0.21310000000000001</v>
      </c>
      <c r="J31" s="6">
        <v>4.0899999999999999E-2</v>
      </c>
      <c r="K31" s="6">
        <v>3.0999999999999999E-3</v>
      </c>
      <c r="L31" s="4">
        <v>97.309059031436561</v>
      </c>
      <c r="M31" s="4">
        <v>-1.2919649375494058</v>
      </c>
      <c r="N31" s="4">
        <v>16.273102986010546</v>
      </c>
      <c r="O31" s="3">
        <v>743</v>
      </c>
    </row>
    <row r="32" spans="1:15" x14ac:dyDescent="0.2">
      <c r="A32" s="16">
        <v>57400</v>
      </c>
      <c r="B32" s="12" t="s">
        <v>44</v>
      </c>
      <c r="C32" s="2">
        <v>45567</v>
      </c>
      <c r="D32" s="10">
        <v>1.0388999999999999</v>
      </c>
      <c r="E32" s="4">
        <v>101</v>
      </c>
      <c r="F32" s="11">
        <v>10.130000000000001</v>
      </c>
      <c r="G32" s="5">
        <v>3.17</v>
      </c>
      <c r="H32" s="5">
        <v>8.1999999999999993</v>
      </c>
      <c r="I32" s="6">
        <v>0.2419</v>
      </c>
      <c r="J32" s="6">
        <v>0.23350000000000001</v>
      </c>
      <c r="K32" s="6">
        <v>9.9000000000000008E-3</v>
      </c>
      <c r="L32" s="4">
        <v>89.888536569765265</v>
      </c>
      <c r="M32" s="4">
        <v>14.866908519851174</v>
      </c>
      <c r="N32" s="4">
        <v>14.335601720296465</v>
      </c>
      <c r="O32" s="3">
        <v>731</v>
      </c>
    </row>
    <row r="33" spans="1:26" x14ac:dyDescent="0.2">
      <c r="A33" s="16">
        <v>57401</v>
      </c>
      <c r="B33" s="12" t="s">
        <v>45</v>
      </c>
      <c r="C33" s="2">
        <v>45567</v>
      </c>
      <c r="D33" s="10">
        <v>1.0365</v>
      </c>
      <c r="E33" s="4">
        <v>94.6</v>
      </c>
      <c r="F33" s="12">
        <v>9.42</v>
      </c>
      <c r="G33" s="5">
        <v>3</v>
      </c>
      <c r="H33" s="5">
        <v>9.35</v>
      </c>
      <c r="I33" s="6">
        <v>0.33250000000000002</v>
      </c>
      <c r="J33" s="6">
        <v>0.21840000000000001</v>
      </c>
      <c r="K33" s="6">
        <v>0.01</v>
      </c>
      <c r="L33" s="4">
        <v>89.854342089154414</v>
      </c>
      <c r="M33" s="4">
        <v>12.057782912515691</v>
      </c>
      <c r="N33" s="4">
        <v>21.394467356427029</v>
      </c>
      <c r="O33" s="3">
        <v>738</v>
      </c>
    </row>
    <row r="34" spans="1:26" x14ac:dyDescent="0.2">
      <c r="A34" s="16">
        <v>57402</v>
      </c>
      <c r="B34" s="12" t="s">
        <v>46</v>
      </c>
      <c r="C34" s="2">
        <v>45567</v>
      </c>
      <c r="D34" s="10">
        <v>1.0390999999999999</v>
      </c>
      <c r="E34" s="4">
        <v>101.4</v>
      </c>
      <c r="F34" s="12">
        <v>10.11</v>
      </c>
      <c r="G34" s="5">
        <v>3.15</v>
      </c>
      <c r="H34" s="5">
        <v>8.1199999999999992</v>
      </c>
      <c r="I34" s="6">
        <v>0.4234</v>
      </c>
      <c r="J34" s="6">
        <v>0.2296</v>
      </c>
      <c r="K34" s="6">
        <v>1.4500000000000001E-2</v>
      </c>
      <c r="L34" s="4">
        <v>89.152276701187745</v>
      </c>
      <c r="M34" s="4">
        <v>11.445397801466306</v>
      </c>
      <c r="N34" s="4">
        <v>24.994616294226546</v>
      </c>
      <c r="O34" s="3">
        <v>600</v>
      </c>
    </row>
    <row r="35" spans="1:26" x14ac:dyDescent="0.2">
      <c r="A35" s="16">
        <v>57403</v>
      </c>
      <c r="B35" s="12" t="s">
        <v>47</v>
      </c>
      <c r="C35" s="2">
        <v>45567</v>
      </c>
      <c r="D35" s="10">
        <v>1.0430999999999999</v>
      </c>
      <c r="E35" s="4">
        <v>111.7</v>
      </c>
      <c r="F35" s="11">
        <v>12.06</v>
      </c>
      <c r="G35" s="5">
        <v>3.12</v>
      </c>
      <c r="H35" s="5">
        <v>9.5500000000000007</v>
      </c>
      <c r="I35" s="6">
        <v>2.6800000000000001E-2</v>
      </c>
      <c r="J35" s="6">
        <v>1.95E-2</v>
      </c>
      <c r="K35" s="6">
        <v>-4.0000000000000002E-4</v>
      </c>
      <c r="L35" s="4">
        <v>99.211388463520564</v>
      </c>
      <c r="M35" s="4">
        <v>1.2942774156080583</v>
      </c>
      <c r="N35" s="4">
        <v>1.3411712656278496</v>
      </c>
      <c r="O35" s="3">
        <v>212</v>
      </c>
      <c r="Y35" s="1" t="s">
        <v>19</v>
      </c>
      <c r="Z35" s="1" t="s">
        <v>20</v>
      </c>
    </row>
    <row r="36" spans="1:26" x14ac:dyDescent="0.2">
      <c r="A36" s="16">
        <v>57432</v>
      </c>
      <c r="B36" s="7" t="s">
        <v>50</v>
      </c>
      <c r="C36" s="2">
        <v>45573</v>
      </c>
      <c r="D36" s="10">
        <v>1.0410999999999999</v>
      </c>
      <c r="E36" s="4">
        <v>106.6</v>
      </c>
      <c r="F36" s="12">
        <v>10.73</v>
      </c>
      <c r="G36" s="5">
        <v>3.27</v>
      </c>
      <c r="H36" s="5">
        <v>14.11</v>
      </c>
      <c r="I36" s="6">
        <v>6.5699999999999995E-2</v>
      </c>
      <c r="J36" s="6">
        <v>2.24E-2</v>
      </c>
      <c r="K36" s="6">
        <v>4.1999999999999997E-3</v>
      </c>
      <c r="L36" s="4">
        <v>98.552331888898593</v>
      </c>
      <c r="M36" s="4">
        <v>0.15960317594576612</v>
      </c>
      <c r="N36" s="4">
        <v>5.0418268251318787</v>
      </c>
      <c r="O36" s="3">
        <v>350</v>
      </c>
    </row>
    <row r="37" spans="1:26" x14ac:dyDescent="0.2">
      <c r="A37" s="16">
        <v>57433</v>
      </c>
      <c r="B37" s="7" t="s">
        <v>51</v>
      </c>
      <c r="C37" s="2">
        <v>45573</v>
      </c>
      <c r="D37" s="10">
        <v>1.0492999999999999</v>
      </c>
      <c r="E37" s="4">
        <v>127.9</v>
      </c>
      <c r="F37" s="12">
        <v>13.08</v>
      </c>
      <c r="G37" s="5">
        <v>3.15</v>
      </c>
      <c r="H37" s="5">
        <v>6.96</v>
      </c>
      <c r="I37" s="6">
        <v>2.4199999999999999E-2</v>
      </c>
      <c r="J37" s="6">
        <v>7.7999999999999996E-3</v>
      </c>
      <c r="K37" s="6">
        <v>1.8E-3</v>
      </c>
      <c r="L37" s="4">
        <v>99.526773148131554</v>
      </c>
      <c r="M37" s="4">
        <v>4.5601965623531804E-2</v>
      </c>
      <c r="N37" s="4">
        <v>1.2828832254047962</v>
      </c>
      <c r="O37" s="3">
        <v>315</v>
      </c>
    </row>
    <row r="38" spans="1:26" x14ac:dyDescent="0.2">
      <c r="A38" s="16">
        <v>57434</v>
      </c>
      <c r="B38" s="7" t="s">
        <v>52</v>
      </c>
      <c r="C38" s="2">
        <v>45573</v>
      </c>
      <c r="D38" s="10">
        <v>1.0384</v>
      </c>
      <c r="E38" s="4">
        <v>99.6</v>
      </c>
      <c r="F38" s="12">
        <v>10.08</v>
      </c>
      <c r="G38" s="5">
        <v>3.24</v>
      </c>
      <c r="H38" s="5">
        <v>9.0500000000000007</v>
      </c>
      <c r="I38" s="6">
        <v>0.313</v>
      </c>
      <c r="J38" s="6">
        <v>5.28E-2</v>
      </c>
      <c r="K38" s="6">
        <v>9.2999999999999992E-3</v>
      </c>
      <c r="L38" s="4">
        <v>96.195157734978906</v>
      </c>
      <c r="M38" s="4">
        <v>-3.2038426269991316</v>
      </c>
      <c r="N38" s="4">
        <v>25.288431948413681</v>
      </c>
      <c r="O38" s="3">
        <v>327</v>
      </c>
    </row>
    <row r="39" spans="1:26" x14ac:dyDescent="0.2">
      <c r="A39" s="16">
        <v>57435</v>
      </c>
      <c r="B39" s="7" t="s">
        <v>53</v>
      </c>
      <c r="C39" s="2">
        <v>45573</v>
      </c>
      <c r="D39" s="10">
        <v>1.0399</v>
      </c>
      <c r="E39" s="4">
        <v>103.4</v>
      </c>
      <c r="F39" s="12">
        <v>10.09</v>
      </c>
      <c r="G39" s="5">
        <v>3.17</v>
      </c>
      <c r="H39" s="5">
        <v>13.55</v>
      </c>
      <c r="I39" s="6">
        <v>0.40629999999999999</v>
      </c>
      <c r="J39" s="6">
        <v>1.0324</v>
      </c>
      <c r="K39" s="6">
        <v>2.1899999999999999E-2</v>
      </c>
      <c r="L39" s="4">
        <v>72.341084295945478</v>
      </c>
      <c r="M39" s="4">
        <v>52.146111092973676</v>
      </c>
      <c r="N39" s="4">
        <v>18.107606101043849</v>
      </c>
      <c r="O39" s="3">
        <v>326</v>
      </c>
    </row>
    <row r="40" spans="1:26" x14ac:dyDescent="0.2">
      <c r="A40" s="16">
        <v>57436</v>
      </c>
      <c r="B40" s="7" t="s">
        <v>54</v>
      </c>
      <c r="C40" s="2">
        <v>45573</v>
      </c>
      <c r="D40" s="10">
        <v>1.0398000000000001</v>
      </c>
      <c r="E40" s="4">
        <v>103.3</v>
      </c>
      <c r="F40" s="12">
        <v>10.35</v>
      </c>
      <c r="G40" s="5">
        <v>3.17</v>
      </c>
      <c r="H40" s="5">
        <v>10.85</v>
      </c>
      <c r="I40" s="6">
        <v>0.39029999999999998</v>
      </c>
      <c r="J40" s="6">
        <v>7.2400000000000006E-2</v>
      </c>
      <c r="K40" s="6">
        <v>1.0800000000000001E-2</v>
      </c>
      <c r="L40" s="4">
        <v>95.127233105876485</v>
      </c>
      <c r="M40" s="4">
        <v>-2.4587238902069597</v>
      </c>
      <c r="N40" s="4">
        <v>29.811257179570561</v>
      </c>
      <c r="O40" s="3">
        <v>501</v>
      </c>
    </row>
    <row r="41" spans="1:26" x14ac:dyDescent="0.2">
      <c r="A41" s="16">
        <v>57437</v>
      </c>
      <c r="B41" s="7" t="s">
        <v>55</v>
      </c>
      <c r="C41" s="2">
        <v>45573</v>
      </c>
      <c r="D41" s="10">
        <v>1.0427</v>
      </c>
      <c r="E41" s="4">
        <v>110.7</v>
      </c>
      <c r="F41" s="11">
        <v>11.97</v>
      </c>
      <c r="G41" s="5">
        <v>3.24</v>
      </c>
      <c r="H41" s="5">
        <v>5.6</v>
      </c>
      <c r="I41" s="6">
        <v>0.8640000000000001</v>
      </c>
      <c r="J41" s="6">
        <v>2.5309999999999997</v>
      </c>
      <c r="K41" s="6">
        <v>0.04</v>
      </c>
      <c r="L41" s="4">
        <v>57.007141066749782</v>
      </c>
      <c r="M41" s="4">
        <v>69.637047149293196</v>
      </c>
      <c r="N41" s="4">
        <v>41.923900513399879</v>
      </c>
      <c r="O41" s="3">
        <v>676</v>
      </c>
    </row>
    <row r="42" spans="1:26" x14ac:dyDescent="0.2">
      <c r="A42" s="16">
        <v>57438</v>
      </c>
      <c r="B42" s="7" t="s">
        <v>56</v>
      </c>
      <c r="C42" s="2">
        <v>45573</v>
      </c>
      <c r="D42" s="10">
        <v>1.0430999999999999</v>
      </c>
      <c r="E42" s="4">
        <v>111.8</v>
      </c>
      <c r="F42" s="11">
        <v>12.03</v>
      </c>
      <c r="G42" s="5">
        <v>3.31</v>
      </c>
      <c r="H42" s="5">
        <v>9.77</v>
      </c>
      <c r="I42" s="6">
        <v>4.07E-2</v>
      </c>
      <c r="J42" s="6">
        <v>4.4200000000000003E-2</v>
      </c>
      <c r="K42" s="6">
        <v>4.7000000000000002E-3</v>
      </c>
      <c r="L42" s="4">
        <v>97.963072954896887</v>
      </c>
      <c r="M42" s="4">
        <v>3.0072301067219365</v>
      </c>
      <c r="N42" s="4">
        <v>1.7267632710753267</v>
      </c>
      <c r="O42" s="3">
        <v>163</v>
      </c>
    </row>
    <row r="43" spans="1:26" x14ac:dyDescent="0.2">
      <c r="A43" s="16">
        <v>57439</v>
      </c>
      <c r="B43" s="7" t="s">
        <v>57</v>
      </c>
      <c r="C43" s="2">
        <v>45573</v>
      </c>
      <c r="D43" s="10">
        <v>1.0448</v>
      </c>
      <c r="E43" s="4">
        <v>116.4</v>
      </c>
      <c r="F43" s="12">
        <v>12.29</v>
      </c>
      <c r="G43" s="5">
        <v>3.44</v>
      </c>
      <c r="H43" s="5">
        <v>5.55</v>
      </c>
      <c r="I43" s="6">
        <v>4.9200000000000001E-2</v>
      </c>
      <c r="J43" s="6">
        <v>8.5500000000000007E-2</v>
      </c>
      <c r="K43" s="6">
        <v>3.0000000000000001E-3</v>
      </c>
      <c r="L43" s="4">
        <v>96.56621304047485</v>
      </c>
      <c r="M43" s="4">
        <v>6.8643290368620153</v>
      </c>
      <c r="N43" s="4">
        <v>1.5975268741810877</v>
      </c>
      <c r="O43" s="3">
        <v>217</v>
      </c>
    </row>
    <row r="44" spans="1:26" x14ac:dyDescent="0.2">
      <c r="A44" s="16">
        <v>57440</v>
      </c>
      <c r="B44" s="7" t="s">
        <v>58</v>
      </c>
      <c r="C44" s="2">
        <v>45573</v>
      </c>
      <c r="D44" s="10">
        <v>1.046</v>
      </c>
      <c r="E44" s="4">
        <v>119.5</v>
      </c>
      <c r="F44" s="12">
        <v>12.34</v>
      </c>
      <c r="G44" s="5">
        <v>3.12</v>
      </c>
      <c r="H44" s="5">
        <v>16.649999999999999</v>
      </c>
      <c r="I44" s="6">
        <v>2.3400000000000001E-2</v>
      </c>
      <c r="J44" s="6">
        <v>5.7999999999999996E-3</v>
      </c>
      <c r="K44" s="6">
        <v>2.3E-3</v>
      </c>
      <c r="L44" s="4">
        <v>99.594612030196146</v>
      </c>
      <c r="M44" s="4">
        <v>-0.19475128280915799</v>
      </c>
      <c r="N44" s="4">
        <v>1.3029298225213592</v>
      </c>
      <c r="O44" s="3">
        <v>267</v>
      </c>
    </row>
    <row r="45" spans="1:26" x14ac:dyDescent="0.2">
      <c r="A45" s="16">
        <v>57441</v>
      </c>
      <c r="B45" s="7" t="s">
        <v>59</v>
      </c>
      <c r="C45" s="2">
        <v>45573</v>
      </c>
      <c r="D45" s="10">
        <v>1.0458000000000001</v>
      </c>
      <c r="E45" s="4">
        <v>118.9</v>
      </c>
      <c r="F45" s="11">
        <v>12.37</v>
      </c>
      <c r="G45" s="5">
        <v>3.14</v>
      </c>
      <c r="H45" s="5">
        <v>8.91</v>
      </c>
      <c r="I45" s="6">
        <v>0.03</v>
      </c>
      <c r="J45" s="6">
        <v>3.1600000000000003E-2</v>
      </c>
      <c r="K45" s="6">
        <v>2.3E-3</v>
      </c>
      <c r="L45" s="4">
        <v>98.604158884294108</v>
      </c>
      <c r="M45" s="4">
        <v>2.2176340821413176</v>
      </c>
      <c r="N45" s="4">
        <v>1.2965267500792077</v>
      </c>
      <c r="O45" s="3">
        <v>337</v>
      </c>
    </row>
    <row r="46" spans="1:26" x14ac:dyDescent="0.2">
      <c r="A46" s="16">
        <v>57445</v>
      </c>
      <c r="B46" s="7" t="s">
        <v>60</v>
      </c>
      <c r="C46" s="2">
        <v>45575</v>
      </c>
      <c r="D46" s="10">
        <v>1.0631999999999999</v>
      </c>
      <c r="E46" s="4">
        <v>164.2</v>
      </c>
      <c r="F46" s="11">
        <v>15.01</v>
      </c>
      <c r="G46" s="5">
        <v>3.36</v>
      </c>
      <c r="H46" s="5">
        <v>7.24</v>
      </c>
      <c r="I46" s="11">
        <v>1.2500000000000001E-2</v>
      </c>
      <c r="J46" s="11">
        <v>6.7000000000000002E-3</v>
      </c>
      <c r="K46" s="11">
        <v>-5.0000000000000001E-4</v>
      </c>
      <c r="L46" s="4">
        <v>99.715711785320508</v>
      </c>
      <c r="M46" s="11">
        <v>0.4</v>
      </c>
      <c r="N46" s="11">
        <v>0.7</v>
      </c>
      <c r="O46" s="3">
        <v>192</v>
      </c>
    </row>
    <row r="47" spans="1:26" x14ac:dyDescent="0.2">
      <c r="A47" s="16">
        <v>57446</v>
      </c>
      <c r="B47" s="7" t="s">
        <v>61</v>
      </c>
      <c r="C47" s="2">
        <v>45575</v>
      </c>
      <c r="D47" s="10">
        <v>1.0427</v>
      </c>
      <c r="E47" s="4">
        <v>110.8</v>
      </c>
      <c r="F47" s="12">
        <v>12.1</v>
      </c>
      <c r="G47" s="5">
        <v>3.37</v>
      </c>
      <c r="H47" s="5">
        <v>5.23</v>
      </c>
      <c r="I47" s="12">
        <v>0.14860000000000001</v>
      </c>
      <c r="J47" s="12">
        <v>3.5999999999999997E-2</v>
      </c>
      <c r="K47" s="12">
        <v>3.8E-3</v>
      </c>
      <c r="L47" s="12">
        <v>97.7</v>
      </c>
      <c r="M47" s="12">
        <v>-0.5</v>
      </c>
      <c r="N47" s="12">
        <v>12</v>
      </c>
      <c r="O47" s="3">
        <v>671</v>
      </c>
    </row>
    <row r="48" spans="1:26" x14ac:dyDescent="0.2">
      <c r="A48" s="16">
        <v>57447</v>
      </c>
      <c r="B48" s="7" t="s">
        <v>62</v>
      </c>
      <c r="C48" s="2">
        <v>45575</v>
      </c>
      <c r="D48" s="10">
        <v>1.042</v>
      </c>
      <c r="E48" s="4">
        <v>109.1</v>
      </c>
      <c r="F48" s="12">
        <v>12.05</v>
      </c>
      <c r="G48" s="5">
        <v>3.14</v>
      </c>
      <c r="H48" s="5">
        <v>7.13</v>
      </c>
      <c r="I48" s="12">
        <v>1.9E-2</v>
      </c>
      <c r="J48" s="12">
        <v>1.23E-2</v>
      </c>
      <c r="K48" s="12">
        <v>-8.0000000000000004E-4</v>
      </c>
      <c r="L48" s="12">
        <v>99.5</v>
      </c>
      <c r="M48" s="12">
        <v>0.8</v>
      </c>
      <c r="N48" s="12">
        <v>1.1000000000000001</v>
      </c>
      <c r="O48" s="3">
        <v>261</v>
      </c>
    </row>
    <row r="49" spans="1:25" x14ac:dyDescent="0.2">
      <c r="A49" s="16">
        <v>57448</v>
      </c>
      <c r="B49" s="7" t="s">
        <v>63</v>
      </c>
      <c r="C49" s="2">
        <v>45575</v>
      </c>
      <c r="D49" s="10">
        <v>1.0456000000000001</v>
      </c>
      <c r="E49" s="4">
        <v>118.4</v>
      </c>
      <c r="F49" s="12">
        <v>12.39</v>
      </c>
      <c r="G49" s="5">
        <v>3.15</v>
      </c>
      <c r="H49" s="5">
        <v>7.95</v>
      </c>
      <c r="I49" s="12">
        <v>2.1100000000000001E-2</v>
      </c>
      <c r="J49" s="12">
        <v>1.5800000000000002E-2</v>
      </c>
      <c r="K49" s="12">
        <v>-5.0000000000000001E-4</v>
      </c>
      <c r="L49" s="12">
        <v>99.3</v>
      </c>
      <c r="M49" s="12">
        <v>1.1000000000000001</v>
      </c>
      <c r="N49" s="12">
        <v>1.1000000000000001</v>
      </c>
      <c r="O49" s="3">
        <v>339</v>
      </c>
    </row>
    <row r="50" spans="1:25" x14ac:dyDescent="0.2">
      <c r="A50" s="16">
        <v>57449</v>
      </c>
      <c r="B50" s="7" t="s">
        <v>64</v>
      </c>
      <c r="C50" s="2">
        <v>45575</v>
      </c>
      <c r="D50" s="10">
        <v>1.0436000000000001</v>
      </c>
      <c r="E50" s="4">
        <v>113</v>
      </c>
      <c r="F50" s="12">
        <v>12.15</v>
      </c>
      <c r="G50" s="5">
        <v>3.56</v>
      </c>
      <c r="H50" s="5">
        <v>6.45</v>
      </c>
      <c r="I50" s="12">
        <v>9.6299999999999997E-2</v>
      </c>
      <c r="J50" s="12">
        <v>3.2300000000000002E-2</v>
      </c>
      <c r="K50" s="12">
        <v>3.7000000000000002E-3</v>
      </c>
      <c r="L50" s="12">
        <v>97.9</v>
      </c>
      <c r="M50" s="12">
        <v>0.5</v>
      </c>
      <c r="N50" s="12">
        <v>7.5</v>
      </c>
      <c r="O50" s="3">
        <v>1370.5</v>
      </c>
    </row>
    <row r="51" spans="1:25" x14ac:dyDescent="0.2">
      <c r="A51" s="16">
        <v>57450</v>
      </c>
      <c r="B51" s="7" t="s">
        <v>65</v>
      </c>
      <c r="C51" s="2">
        <v>45575</v>
      </c>
      <c r="D51" s="10">
        <v>1.0439000000000001</v>
      </c>
      <c r="E51" s="4">
        <v>113.9</v>
      </c>
      <c r="F51" s="12">
        <v>12.18</v>
      </c>
      <c r="G51" s="5">
        <v>3.23</v>
      </c>
      <c r="H51" s="5">
        <v>7.03</v>
      </c>
      <c r="I51" s="12">
        <v>7.0199999999999999E-2</v>
      </c>
      <c r="J51" s="12">
        <v>1.8499999999999999E-2</v>
      </c>
      <c r="K51" s="12">
        <v>1.5E-3</v>
      </c>
      <c r="L51" s="12">
        <v>98.8</v>
      </c>
      <c r="M51" s="12">
        <v>-0.1</v>
      </c>
      <c r="N51" s="12">
        <v>5.8</v>
      </c>
      <c r="O51" s="3">
        <v>485.5</v>
      </c>
    </row>
    <row r="52" spans="1:25" x14ac:dyDescent="0.2">
      <c r="A52" s="16">
        <v>57451</v>
      </c>
      <c r="B52" s="7" t="s">
        <v>66</v>
      </c>
      <c r="C52" s="2">
        <v>45575</v>
      </c>
      <c r="D52" s="10">
        <v>1.0446</v>
      </c>
      <c r="E52" s="4">
        <v>115.6</v>
      </c>
      <c r="F52" s="12">
        <v>12.23</v>
      </c>
      <c r="G52" s="5">
        <v>3.33</v>
      </c>
      <c r="H52" s="5">
        <v>8.5500000000000007</v>
      </c>
      <c r="I52" s="12">
        <v>1.8700000000000001E-2</v>
      </c>
      <c r="J52" s="12">
        <v>3.3E-3</v>
      </c>
      <c r="K52" s="12">
        <v>-2.9999999999999997E-4</v>
      </c>
      <c r="L52" s="12">
        <v>99.8</v>
      </c>
      <c r="M52" s="12">
        <v>-0.1</v>
      </c>
      <c r="N52" s="12">
        <v>1.2</v>
      </c>
      <c r="O52" s="3">
        <v>227</v>
      </c>
    </row>
    <row r="53" spans="1:25" x14ac:dyDescent="0.2">
      <c r="A53" s="16">
        <v>57452</v>
      </c>
      <c r="B53" s="7" t="s">
        <v>67</v>
      </c>
      <c r="C53" s="2">
        <v>45575</v>
      </c>
      <c r="D53" s="10">
        <v>1.0488</v>
      </c>
      <c r="E53" s="4">
        <v>126.6</v>
      </c>
      <c r="F53" s="12">
        <v>12.99</v>
      </c>
      <c r="G53" s="5">
        <v>3.53</v>
      </c>
      <c r="H53" s="5">
        <v>6.46</v>
      </c>
      <c r="I53" s="12">
        <v>7.4399999999999994E-2</v>
      </c>
      <c r="J53" s="12">
        <v>2.7699999999999999E-2</v>
      </c>
      <c r="K53" s="12">
        <v>1.9E-3</v>
      </c>
      <c r="L53" s="12">
        <v>98.4</v>
      </c>
      <c r="M53" s="12">
        <v>0.7</v>
      </c>
      <c r="N53" s="12">
        <v>6</v>
      </c>
      <c r="O53" s="3">
        <v>654.5</v>
      </c>
    </row>
    <row r="54" spans="1:25" x14ac:dyDescent="0.2">
      <c r="A54" s="16">
        <v>57453</v>
      </c>
      <c r="B54" s="7" t="s">
        <v>68</v>
      </c>
      <c r="C54" s="2">
        <v>45575</v>
      </c>
      <c r="D54" s="10">
        <v>1.0427999999999999</v>
      </c>
      <c r="E54" s="4">
        <v>111.1</v>
      </c>
      <c r="F54" s="12">
        <v>10.89</v>
      </c>
      <c r="G54" s="5">
        <v>3.48</v>
      </c>
      <c r="H54" s="5">
        <v>11.03</v>
      </c>
      <c r="I54" s="12">
        <v>2.3699999999999999E-2</v>
      </c>
      <c r="J54" s="12">
        <v>1.2699999999999999E-2</v>
      </c>
      <c r="K54" s="12">
        <v>-2.9999999999999997E-4</v>
      </c>
      <c r="L54" s="12">
        <v>99.5</v>
      </c>
      <c r="M54" s="12">
        <v>0.7</v>
      </c>
      <c r="N54" s="12">
        <v>1.4</v>
      </c>
      <c r="O54" s="3">
        <v>370.5</v>
      </c>
      <c r="Y54" s="1" t="s">
        <v>28</v>
      </c>
    </row>
    <row r="55" spans="1:25" x14ac:dyDescent="0.2">
      <c r="A55" s="16">
        <v>57454</v>
      </c>
      <c r="B55" s="7" t="s">
        <v>69</v>
      </c>
      <c r="C55" s="2">
        <v>45575</v>
      </c>
      <c r="D55" s="10">
        <v>1.0599000000000001</v>
      </c>
      <c r="E55" s="4">
        <v>155.6</v>
      </c>
      <c r="F55" s="11">
        <v>14.78</v>
      </c>
      <c r="G55" s="5">
        <v>3.13</v>
      </c>
      <c r="H55" s="5">
        <v>11.68</v>
      </c>
      <c r="I55" s="12">
        <v>8.2000000000000007E-3</v>
      </c>
      <c r="J55" s="12">
        <v>1.8E-3</v>
      </c>
      <c r="K55" s="12">
        <v>-8.0000000000000004E-4</v>
      </c>
      <c r="L55" s="12">
        <v>99.9</v>
      </c>
      <c r="M55" s="12">
        <v>0.1</v>
      </c>
      <c r="N55" s="12">
        <v>0.5</v>
      </c>
      <c r="O55" s="3">
        <v>41</v>
      </c>
    </row>
    <row r="56" spans="1:25" x14ac:dyDescent="0.2">
      <c r="A56" s="16">
        <v>57455</v>
      </c>
      <c r="B56" s="7" t="s">
        <v>70</v>
      </c>
      <c r="C56" s="2">
        <v>45575</v>
      </c>
      <c r="D56" s="10">
        <v>1.0451999999999999</v>
      </c>
      <c r="E56" s="4">
        <v>117.2</v>
      </c>
      <c r="F56" s="12">
        <v>12.38</v>
      </c>
      <c r="G56" s="5">
        <v>3.41</v>
      </c>
      <c r="H56" s="5">
        <v>5</v>
      </c>
      <c r="I56" s="12">
        <v>0.16239999999999999</v>
      </c>
      <c r="J56" s="12">
        <v>3.2300000000000002E-2</v>
      </c>
      <c r="K56" s="12">
        <v>3.5000000000000001E-3</v>
      </c>
      <c r="L56" s="12">
        <v>97.8</v>
      </c>
      <c r="M56" s="12">
        <v>-1.1000000000000001</v>
      </c>
      <c r="N56" s="12">
        <v>12.7</v>
      </c>
      <c r="O56" s="3">
        <v>524</v>
      </c>
    </row>
    <row r="57" spans="1:25" x14ac:dyDescent="0.2">
      <c r="A57" s="16">
        <v>57456</v>
      </c>
      <c r="B57" s="7" t="s">
        <v>71</v>
      </c>
      <c r="C57" s="2">
        <v>45575</v>
      </c>
      <c r="D57" s="10">
        <v>1.0535000000000001</v>
      </c>
      <c r="E57" s="4">
        <v>139</v>
      </c>
      <c r="F57" s="12">
        <v>13.68</v>
      </c>
      <c r="G57" s="5">
        <v>3.26</v>
      </c>
      <c r="H57" s="5">
        <v>8.5500000000000007</v>
      </c>
      <c r="I57" s="12">
        <v>0.1152</v>
      </c>
      <c r="J57" s="12">
        <v>3.6600000000000001E-2</v>
      </c>
      <c r="K57" s="12">
        <v>4.4000000000000003E-3</v>
      </c>
      <c r="L57" s="12">
        <v>97.7</v>
      </c>
      <c r="M57" s="12">
        <v>0.3</v>
      </c>
      <c r="N57" s="12">
        <v>9.1</v>
      </c>
      <c r="O57" s="3">
        <v>401</v>
      </c>
    </row>
    <row r="58" spans="1:25" x14ac:dyDescent="0.2">
      <c r="A58" s="16">
        <v>57457</v>
      </c>
      <c r="B58" s="7" t="s">
        <v>72</v>
      </c>
      <c r="C58" s="2">
        <v>45575</v>
      </c>
      <c r="D58" s="10">
        <v>1.0586</v>
      </c>
      <c r="E58" s="4">
        <v>152.4</v>
      </c>
      <c r="F58" s="11">
        <v>14.59</v>
      </c>
      <c r="G58" s="5">
        <v>2.98</v>
      </c>
      <c r="H58" s="5">
        <v>22.03</v>
      </c>
      <c r="I58" s="11">
        <v>1.1599999999999999E-2</v>
      </c>
      <c r="J58" s="11">
        <v>6.4000000000000003E-3</v>
      </c>
      <c r="K58" s="11">
        <v>-1.2999999999999999E-3</v>
      </c>
      <c r="L58" s="11">
        <v>99.8</v>
      </c>
      <c r="M58" s="11">
        <v>0.5</v>
      </c>
      <c r="N58" s="11">
        <v>0.7</v>
      </c>
      <c r="O58" s="3">
        <v>100</v>
      </c>
    </row>
    <row r="59" spans="1:25" x14ac:dyDescent="0.2">
      <c r="A59" s="16">
        <v>57458</v>
      </c>
      <c r="B59" s="7" t="s">
        <v>73</v>
      </c>
      <c r="C59" s="2">
        <v>45575</v>
      </c>
      <c r="D59" s="10">
        <v>1.06</v>
      </c>
      <c r="E59" s="4">
        <v>155.80000000000001</v>
      </c>
      <c r="F59" s="11">
        <v>14.76</v>
      </c>
      <c r="G59" s="5">
        <v>3.21</v>
      </c>
      <c r="H59" s="5">
        <v>12.41</v>
      </c>
      <c r="I59" s="12">
        <v>1.4E-2</v>
      </c>
      <c r="J59" s="12">
        <v>4.3E-3</v>
      </c>
      <c r="K59" s="12">
        <v>-1E-3</v>
      </c>
      <c r="L59" s="12">
        <v>99.8</v>
      </c>
      <c r="M59" s="12">
        <v>0.2</v>
      </c>
      <c r="N59" s="12">
        <v>0.9</v>
      </c>
      <c r="O59" s="3">
        <v>43</v>
      </c>
    </row>
    <row r="60" spans="1:25" x14ac:dyDescent="0.2">
      <c r="A60" s="16">
        <v>57459</v>
      </c>
      <c r="B60" s="7" t="s">
        <v>74</v>
      </c>
      <c r="C60" s="2">
        <v>45575</v>
      </c>
      <c r="D60" s="10">
        <v>1.0546</v>
      </c>
      <c r="E60" s="4">
        <v>141.80000000000001</v>
      </c>
      <c r="F60" s="12">
        <v>13.73</v>
      </c>
      <c r="G60" s="5">
        <v>3.31</v>
      </c>
      <c r="H60" s="5">
        <v>11.66</v>
      </c>
      <c r="I60" s="12">
        <v>7.3000000000000001E-3</v>
      </c>
      <c r="J60" s="12">
        <v>2.3E-3</v>
      </c>
      <c r="K60" s="12">
        <v>-1.1000000000000001E-3</v>
      </c>
      <c r="L60" s="12">
        <v>99.9</v>
      </c>
      <c r="M60" s="12">
        <v>0.2</v>
      </c>
      <c r="N60" s="12">
        <v>0.5</v>
      </c>
      <c r="O60" s="3">
        <v>31</v>
      </c>
    </row>
    <row r="61" spans="1:25" x14ac:dyDescent="0.2">
      <c r="A61" s="16">
        <v>57460</v>
      </c>
      <c r="B61" s="7" t="s">
        <v>75</v>
      </c>
      <c r="C61" s="2">
        <v>45575</v>
      </c>
      <c r="D61" s="10">
        <v>1.0535000000000001</v>
      </c>
      <c r="E61" s="4">
        <v>138.9</v>
      </c>
      <c r="F61" s="12">
        <v>13.66</v>
      </c>
      <c r="G61" s="5">
        <v>3.55</v>
      </c>
      <c r="H61" s="5">
        <v>9.2100000000000009</v>
      </c>
      <c r="I61" s="12">
        <v>4.0500000000000001E-2</v>
      </c>
      <c r="J61" s="12">
        <v>2.2800000000000001E-2</v>
      </c>
      <c r="K61" s="12">
        <v>1E-3</v>
      </c>
      <c r="L61" s="12">
        <v>98.9</v>
      </c>
      <c r="M61" s="12">
        <v>1.2</v>
      </c>
      <c r="N61" s="12">
        <v>2.4</v>
      </c>
      <c r="O61" s="3">
        <v>189.5</v>
      </c>
    </row>
    <row r="62" spans="1:25" x14ac:dyDescent="0.2">
      <c r="A62" s="16">
        <v>57461</v>
      </c>
      <c r="B62" s="7" t="s">
        <v>76</v>
      </c>
      <c r="C62" s="2">
        <v>45575</v>
      </c>
      <c r="D62" s="10">
        <v>1.0395000000000001</v>
      </c>
      <c r="E62" s="4">
        <v>102.4</v>
      </c>
      <c r="F62" s="12">
        <v>10.050000000000001</v>
      </c>
      <c r="G62" s="5">
        <v>3.51</v>
      </c>
      <c r="H62" s="5">
        <v>9.36</v>
      </c>
      <c r="I62" s="12">
        <v>3.0800000000000001E-2</v>
      </c>
      <c r="J62" s="12">
        <v>3.5900000000000001E-2</v>
      </c>
      <c r="K62" s="12">
        <v>-6.9999999999999999E-4</v>
      </c>
      <c r="L62" s="12">
        <v>98.6</v>
      </c>
      <c r="M62" s="12">
        <v>2.9</v>
      </c>
      <c r="N62" s="12">
        <v>1.4</v>
      </c>
      <c r="O62" s="3">
        <v>455.5</v>
      </c>
    </row>
    <row r="63" spans="1:25" x14ac:dyDescent="0.2">
      <c r="A63" s="16">
        <v>57462</v>
      </c>
      <c r="B63" s="7" t="s">
        <v>77</v>
      </c>
      <c r="C63" s="2">
        <v>45575</v>
      </c>
      <c r="D63" s="10">
        <v>1.0523</v>
      </c>
      <c r="E63" s="4">
        <v>135.69999999999999</v>
      </c>
      <c r="F63" s="11">
        <v>13.35</v>
      </c>
      <c r="G63" s="5">
        <v>3.2</v>
      </c>
      <c r="H63" s="5">
        <v>14.05</v>
      </c>
      <c r="I63" s="12">
        <v>1.29E-2</v>
      </c>
      <c r="J63" s="12">
        <v>8.5000000000000006E-3</v>
      </c>
      <c r="K63" s="12">
        <v>-1.1999999999999999E-3</v>
      </c>
      <c r="L63" s="12">
        <v>99.7</v>
      </c>
      <c r="M63" s="12">
        <v>0.7</v>
      </c>
      <c r="N63" s="12">
        <v>0.7</v>
      </c>
      <c r="O63" s="3">
        <v>187.5</v>
      </c>
    </row>
    <row r="64" spans="1:25" x14ac:dyDescent="0.2">
      <c r="A64" s="16">
        <v>57463</v>
      </c>
      <c r="B64" s="7" t="s">
        <v>78</v>
      </c>
      <c r="C64" s="2">
        <v>45575</v>
      </c>
      <c r="D64" s="10">
        <v>1.0355000000000001</v>
      </c>
      <c r="E64" s="4">
        <v>91.9</v>
      </c>
      <c r="F64" s="11">
        <v>8.5299999999999994</v>
      </c>
      <c r="G64" s="5">
        <v>3.38</v>
      </c>
      <c r="H64" s="5">
        <v>9.17</v>
      </c>
      <c r="I64" s="12">
        <v>4.4999999999999998E-2</v>
      </c>
      <c r="J64" s="12">
        <v>4.3900000000000002E-2</v>
      </c>
      <c r="K64" s="12">
        <v>6.9999999999999999E-4</v>
      </c>
      <c r="L64" s="12">
        <v>98.1</v>
      </c>
      <c r="M64" s="12">
        <v>3.2</v>
      </c>
      <c r="N64" s="12">
        <v>2.2999999999999998</v>
      </c>
      <c r="O64" s="3">
        <v>287</v>
      </c>
    </row>
    <row r="65" spans="1:15" x14ac:dyDescent="0.2">
      <c r="A65" s="16">
        <v>57464</v>
      </c>
      <c r="B65" s="7" t="s">
        <v>79</v>
      </c>
      <c r="C65" s="2">
        <v>45575</v>
      </c>
      <c r="D65" s="10">
        <v>1.0563</v>
      </c>
      <c r="E65" s="4">
        <v>146.19999999999999</v>
      </c>
      <c r="F65" s="12">
        <v>14.53</v>
      </c>
      <c r="G65" s="5">
        <v>3.15</v>
      </c>
      <c r="H65" s="5">
        <v>11.1</v>
      </c>
      <c r="I65" s="12">
        <v>2.2599999999999999E-2</v>
      </c>
      <c r="J65" s="12">
        <v>1.06E-2</v>
      </c>
      <c r="K65" s="12">
        <v>-5.9999999999999995E-4</v>
      </c>
      <c r="L65" s="12">
        <v>99.5</v>
      </c>
      <c r="M65" s="12">
        <v>0.5</v>
      </c>
      <c r="N65" s="12">
        <v>1.4</v>
      </c>
      <c r="O65" s="3">
        <v>50</v>
      </c>
    </row>
    <row r="66" spans="1:15" x14ac:dyDescent="0.2">
      <c r="A66" s="16">
        <v>57631</v>
      </c>
      <c r="B66" s="7" t="s">
        <v>81</v>
      </c>
      <c r="C66" s="2">
        <v>45587</v>
      </c>
      <c r="D66" s="10">
        <v>1.0491999999999999</v>
      </c>
      <c r="E66" s="4">
        <v>127.8</v>
      </c>
      <c r="F66" s="11">
        <v>12.99</v>
      </c>
      <c r="G66" s="5">
        <v>3</v>
      </c>
      <c r="H66" s="5">
        <v>13.6625</v>
      </c>
      <c r="I66" s="12">
        <v>3.0599999999999999E-2</v>
      </c>
      <c r="J66" s="12">
        <v>2.2200000000000001E-2</v>
      </c>
      <c r="K66" s="12">
        <v>0</v>
      </c>
      <c r="L66" s="12">
        <v>99.1</v>
      </c>
      <c r="M66" s="12">
        <v>1.5</v>
      </c>
      <c r="N66" s="12">
        <v>1.5</v>
      </c>
      <c r="O66" s="3">
        <v>558</v>
      </c>
    </row>
    <row r="67" spans="1:15" x14ac:dyDescent="0.2">
      <c r="A67" s="16">
        <v>57632</v>
      </c>
      <c r="B67" s="7" t="s">
        <v>82</v>
      </c>
      <c r="C67" s="2">
        <v>45587</v>
      </c>
      <c r="D67" s="10">
        <v>1.0421</v>
      </c>
      <c r="E67" s="4">
        <v>109.3</v>
      </c>
      <c r="F67" s="12">
        <v>10.71</v>
      </c>
      <c r="G67" s="5">
        <v>3.08</v>
      </c>
      <c r="H67" s="5">
        <v>14.5625</v>
      </c>
      <c r="I67" s="12">
        <v>3.0599999999999999E-2</v>
      </c>
      <c r="J67" s="12">
        <v>7.3000000000000001E-3</v>
      </c>
      <c r="K67" s="12">
        <v>1.4E-3</v>
      </c>
      <c r="L67" s="12">
        <v>99.6</v>
      </c>
      <c r="M67" s="12">
        <v>-0.2</v>
      </c>
      <c r="N67" s="12">
        <v>1.8</v>
      </c>
      <c r="O67" s="3">
        <v>230</v>
      </c>
    </row>
    <row r="68" spans="1:15" x14ac:dyDescent="0.2">
      <c r="A68" s="16">
        <v>57633</v>
      </c>
      <c r="B68" s="7" t="s">
        <v>83</v>
      </c>
      <c r="C68" s="2">
        <v>45587</v>
      </c>
      <c r="D68" s="10">
        <v>1.0461</v>
      </c>
      <c r="E68" s="4">
        <v>119.7</v>
      </c>
      <c r="F68" s="11">
        <v>12.44</v>
      </c>
      <c r="G68" s="5">
        <v>3.1</v>
      </c>
      <c r="H68" s="5">
        <v>9.125</v>
      </c>
      <c r="I68" s="11">
        <v>4.3799999999999999E-2</v>
      </c>
      <c r="J68" s="11">
        <v>6.1699999999999998E-2</v>
      </c>
      <c r="K68" s="11">
        <v>1.4E-3</v>
      </c>
      <c r="L68" s="11">
        <v>97.5</v>
      </c>
      <c r="M68" s="11">
        <v>4.9000000000000004</v>
      </c>
      <c r="N68" s="11">
        <v>1.7</v>
      </c>
      <c r="O68" s="3">
        <v>366</v>
      </c>
    </row>
    <row r="69" spans="1:15" x14ac:dyDescent="0.2">
      <c r="A69" s="16">
        <v>57634</v>
      </c>
      <c r="B69" s="7" t="s">
        <v>84</v>
      </c>
      <c r="C69" s="2">
        <v>45587</v>
      </c>
      <c r="D69" s="10">
        <v>1.0435000000000001</v>
      </c>
      <c r="E69" s="4">
        <v>113</v>
      </c>
      <c r="F69" s="12">
        <v>12.08</v>
      </c>
      <c r="G69" s="5">
        <v>3.23</v>
      </c>
      <c r="H69" s="5">
        <v>10.462499999999999</v>
      </c>
      <c r="I69" s="12">
        <v>2.5499999999999998E-2</v>
      </c>
      <c r="J69" s="12">
        <v>7.1000000000000004E-3</v>
      </c>
      <c r="K69" s="12">
        <v>8.9999999999999998E-4</v>
      </c>
      <c r="L69" s="12">
        <v>99.6</v>
      </c>
      <c r="M69" s="12">
        <v>0</v>
      </c>
      <c r="N69" s="12">
        <v>1.7</v>
      </c>
      <c r="O69" s="3">
        <v>396</v>
      </c>
    </row>
    <row r="70" spans="1:15" x14ac:dyDescent="0.2">
      <c r="A70" s="16">
        <v>57635</v>
      </c>
      <c r="B70" s="7" t="s">
        <v>85</v>
      </c>
      <c r="C70" s="2">
        <v>45587</v>
      </c>
      <c r="D70" s="10">
        <v>1.0469999999999999</v>
      </c>
      <c r="E70" s="4">
        <v>122.1</v>
      </c>
      <c r="F70" s="11">
        <v>12.58</v>
      </c>
      <c r="G70" s="5">
        <v>3.14</v>
      </c>
      <c r="H70" s="5">
        <v>11.074999999999999</v>
      </c>
      <c r="I70" s="12">
        <v>1.7600000000000001E-2</v>
      </c>
      <c r="J70" s="12">
        <v>4.7999999999999996E-3</v>
      </c>
      <c r="K70" s="12">
        <v>2.0000000000000001E-4</v>
      </c>
      <c r="L70" s="12">
        <v>99.8</v>
      </c>
      <c r="M70" s="12">
        <v>0</v>
      </c>
      <c r="N70" s="12">
        <v>1</v>
      </c>
      <c r="O70" s="3">
        <v>234</v>
      </c>
    </row>
    <row r="71" spans="1:15" x14ac:dyDescent="0.2">
      <c r="A71" s="16">
        <v>57636</v>
      </c>
      <c r="B71" s="7" t="s">
        <v>86</v>
      </c>
      <c r="C71" s="2">
        <v>45587</v>
      </c>
      <c r="D71" s="10">
        <v>1.0448999999999999</v>
      </c>
      <c r="E71" s="4">
        <v>116.5</v>
      </c>
      <c r="F71" s="12">
        <v>12.18</v>
      </c>
      <c r="G71" s="5">
        <v>3.13</v>
      </c>
      <c r="H71" s="5">
        <v>15.549999999999999</v>
      </c>
      <c r="I71" s="12">
        <v>2.2599999999999999E-2</v>
      </c>
      <c r="J71" s="12">
        <v>3.7000000000000002E-3</v>
      </c>
      <c r="K71" s="12">
        <v>5.0000000000000001E-4</v>
      </c>
      <c r="L71" s="12">
        <v>99.8</v>
      </c>
      <c r="M71" s="12">
        <v>-0.3</v>
      </c>
      <c r="N71" s="12">
        <v>1.4</v>
      </c>
      <c r="O71" s="3">
        <v>540</v>
      </c>
    </row>
    <row r="72" spans="1:15" x14ac:dyDescent="0.2">
      <c r="A72" s="16">
        <v>57637</v>
      </c>
      <c r="B72" s="7" t="s">
        <v>87</v>
      </c>
      <c r="C72" s="2">
        <v>45587</v>
      </c>
      <c r="D72" s="10">
        <v>1.0364</v>
      </c>
      <c r="E72" s="4">
        <v>94.3</v>
      </c>
      <c r="F72" s="12">
        <v>9.27</v>
      </c>
      <c r="G72" s="5">
        <v>3.18</v>
      </c>
      <c r="H72" s="5">
        <v>8.9875000000000007</v>
      </c>
      <c r="I72" s="12">
        <v>7.4999999999999997E-2</v>
      </c>
      <c r="J72" s="12">
        <v>2.8500000000000001E-2</v>
      </c>
      <c r="K72" s="12">
        <v>4.4999999999999997E-3</v>
      </c>
      <c r="L72" s="12">
        <v>98.3</v>
      </c>
      <c r="M72" s="12">
        <v>0.5</v>
      </c>
      <c r="N72" s="12">
        <v>5.5</v>
      </c>
      <c r="O72" s="3">
        <v>575</v>
      </c>
    </row>
    <row r="73" spans="1:15" x14ac:dyDescent="0.2">
      <c r="A73" s="16">
        <v>57638</v>
      </c>
      <c r="B73" s="7" t="s">
        <v>88</v>
      </c>
      <c r="C73" s="2">
        <v>45587</v>
      </c>
      <c r="D73" s="10">
        <v>1.0521</v>
      </c>
      <c r="E73" s="4">
        <v>135.19999999999999</v>
      </c>
      <c r="F73" s="12">
        <v>13.41</v>
      </c>
      <c r="G73" s="5">
        <v>3.21</v>
      </c>
      <c r="H73" s="5">
        <v>10.112500000000001</v>
      </c>
      <c r="I73" s="12">
        <v>2.4299999999999999E-2</v>
      </c>
      <c r="J73" s="12">
        <v>1.03E-2</v>
      </c>
      <c r="K73" s="12">
        <v>-1E-4</v>
      </c>
      <c r="L73" s="12">
        <v>99.5</v>
      </c>
      <c r="M73" s="12">
        <v>0.4</v>
      </c>
      <c r="N73" s="12">
        <v>1.3</v>
      </c>
      <c r="O73" s="3">
        <v>187</v>
      </c>
    </row>
    <row r="74" spans="1:15" x14ac:dyDescent="0.2">
      <c r="A74" s="16">
        <v>57639</v>
      </c>
      <c r="B74" s="7" t="s">
        <v>89</v>
      </c>
      <c r="C74" s="2">
        <v>45587</v>
      </c>
      <c r="D74" s="10">
        <v>1.0456000000000001</v>
      </c>
      <c r="E74" s="4">
        <v>118.3</v>
      </c>
      <c r="F74" s="12">
        <v>12.4</v>
      </c>
      <c r="G74" s="5">
        <v>3.37</v>
      </c>
      <c r="H74" s="5">
        <v>7.1375000000000002</v>
      </c>
      <c r="I74" s="12">
        <v>4.3900000000000002E-2</v>
      </c>
      <c r="J74" s="12">
        <v>6.0600000000000001E-2</v>
      </c>
      <c r="K74" s="12">
        <v>2.2000000000000001E-3</v>
      </c>
      <c r="L74" s="12">
        <v>97.5</v>
      </c>
      <c r="M74" s="12">
        <v>4.7</v>
      </c>
      <c r="N74" s="12">
        <v>1.7</v>
      </c>
      <c r="O74" s="3">
        <v>158</v>
      </c>
    </row>
    <row r="75" spans="1:15" x14ac:dyDescent="0.2">
      <c r="A75" s="16">
        <v>57640</v>
      </c>
      <c r="B75" s="7" t="s">
        <v>90</v>
      </c>
      <c r="C75" s="2">
        <v>45587</v>
      </c>
      <c r="D75" s="10">
        <v>1.0451999999999999</v>
      </c>
      <c r="E75" s="4">
        <v>117.4</v>
      </c>
      <c r="F75" s="12">
        <v>12.33</v>
      </c>
      <c r="G75" s="5">
        <v>2.98</v>
      </c>
      <c r="H75" s="5">
        <v>11.612499999999999</v>
      </c>
      <c r="I75" s="12">
        <v>7.2800000000000004E-2</v>
      </c>
      <c r="J75" s="12">
        <v>4.02E-2</v>
      </c>
      <c r="K75" s="12">
        <v>6.6E-3</v>
      </c>
      <c r="L75" s="12">
        <v>97.7</v>
      </c>
      <c r="M75" s="12">
        <v>1.6</v>
      </c>
      <c r="N75" s="12">
        <v>4.8</v>
      </c>
      <c r="O75" s="3">
        <v>960</v>
      </c>
    </row>
    <row r="76" spans="1:15" x14ac:dyDescent="0.2">
      <c r="A76" s="16">
        <v>57641</v>
      </c>
      <c r="B76" s="7" t="s">
        <v>91</v>
      </c>
      <c r="C76" s="2">
        <v>45587</v>
      </c>
      <c r="D76" s="10">
        <v>1.0427</v>
      </c>
      <c r="E76" s="4">
        <v>110.9</v>
      </c>
      <c r="F76" s="12">
        <v>12.02</v>
      </c>
      <c r="G76" s="5">
        <v>3.1</v>
      </c>
      <c r="H76" s="5">
        <v>11.025</v>
      </c>
      <c r="I76" s="12">
        <v>2.52E-2</v>
      </c>
      <c r="J76" s="12">
        <v>2.7799999999999998E-2</v>
      </c>
      <c r="K76" s="12">
        <v>6.9999999999999999E-4</v>
      </c>
      <c r="L76" s="12">
        <v>98.8</v>
      </c>
      <c r="M76" s="12">
        <v>2.1</v>
      </c>
      <c r="N76" s="12">
        <v>1.1000000000000001</v>
      </c>
      <c r="O76" s="3">
        <v>227</v>
      </c>
    </row>
    <row r="77" spans="1:15" x14ac:dyDescent="0.2">
      <c r="A77" s="16">
        <v>57642</v>
      </c>
      <c r="B77" s="7" t="s">
        <v>92</v>
      </c>
      <c r="C77" s="2">
        <v>45587</v>
      </c>
      <c r="D77" s="10">
        <v>1.0344</v>
      </c>
      <c r="E77" s="4">
        <v>89.3</v>
      </c>
      <c r="F77" s="11">
        <v>8.52</v>
      </c>
      <c r="G77" s="5">
        <v>3.12</v>
      </c>
      <c r="H77" s="5">
        <v>8.8249999999999993</v>
      </c>
      <c r="I77" s="12">
        <v>3.5700000000000003E-2</v>
      </c>
      <c r="J77" s="12">
        <v>1.5699999999999999E-2</v>
      </c>
      <c r="K77" s="12">
        <v>2E-3</v>
      </c>
      <c r="L77" s="12">
        <v>99.2</v>
      </c>
      <c r="M77" s="12">
        <v>0.5</v>
      </c>
      <c r="N77" s="12">
        <v>2</v>
      </c>
      <c r="O77" s="3">
        <v>162</v>
      </c>
    </row>
    <row r="78" spans="1:15" x14ac:dyDescent="0.2">
      <c r="A78" s="16">
        <v>57643</v>
      </c>
      <c r="B78" s="7" t="s">
        <v>93</v>
      </c>
      <c r="C78" s="2">
        <v>45587</v>
      </c>
      <c r="D78" s="10">
        <v>1.0451999999999999</v>
      </c>
      <c r="E78" s="4">
        <v>117.3</v>
      </c>
      <c r="F78" s="11">
        <v>12.32</v>
      </c>
      <c r="G78" s="5">
        <v>3.13</v>
      </c>
      <c r="H78" s="5">
        <v>9.2874999999999996</v>
      </c>
      <c r="I78" s="11">
        <v>3.8199999999999998E-2</v>
      </c>
      <c r="J78" s="11">
        <v>6.3100000000000003E-2</v>
      </c>
      <c r="K78" s="11">
        <v>8.9999999999999998E-4</v>
      </c>
      <c r="L78" s="11">
        <v>97.5</v>
      </c>
      <c r="M78" s="11">
        <v>5.2</v>
      </c>
      <c r="N78" s="11">
        <v>1.3</v>
      </c>
      <c r="O78" s="3">
        <v>281</v>
      </c>
    </row>
    <row r="79" spans="1:15" x14ac:dyDescent="0.2">
      <c r="A79" s="16">
        <v>57644</v>
      </c>
      <c r="B79" s="7" t="s">
        <v>94</v>
      </c>
      <c r="C79" s="2">
        <v>45587</v>
      </c>
      <c r="D79" s="10">
        <v>1.0364</v>
      </c>
      <c r="E79" s="4">
        <v>94.5</v>
      </c>
      <c r="F79" s="11">
        <v>9.3699999999999992</v>
      </c>
      <c r="G79" s="5">
        <v>3.13</v>
      </c>
      <c r="H79" s="5">
        <v>8.8000000000000007</v>
      </c>
      <c r="I79" s="11">
        <v>2.06E-2</v>
      </c>
      <c r="J79" s="11">
        <v>5.4000000000000003E-3</v>
      </c>
      <c r="K79" s="11">
        <v>1.2999999999999999E-3</v>
      </c>
      <c r="L79" s="11">
        <v>99.6</v>
      </c>
      <c r="M79" s="11">
        <v>-0.1</v>
      </c>
      <c r="N79" s="11">
        <v>1.2</v>
      </c>
      <c r="O79" s="3">
        <v>158</v>
      </c>
    </row>
    <row r="80" spans="1:15" x14ac:dyDescent="0.2">
      <c r="A80" s="16">
        <v>57645</v>
      </c>
      <c r="B80" s="7" t="s">
        <v>95</v>
      </c>
      <c r="C80" s="2">
        <v>45587</v>
      </c>
      <c r="D80" s="10">
        <v>1.0513999999999999</v>
      </c>
      <c r="E80" s="4">
        <v>133.5</v>
      </c>
      <c r="F80" s="12">
        <v>13.34</v>
      </c>
      <c r="G80" s="5">
        <v>3.26</v>
      </c>
      <c r="H80" s="14">
        <v>9.25</v>
      </c>
      <c r="I80" s="12">
        <v>2.93E-2</v>
      </c>
      <c r="J80" s="12">
        <v>9.4999999999999998E-3</v>
      </c>
      <c r="K80" s="12">
        <v>2.8999999999999998E-3</v>
      </c>
      <c r="L80" s="12">
        <v>99.4</v>
      </c>
      <c r="M80" s="12">
        <v>0</v>
      </c>
      <c r="N80" s="12">
        <v>1.7</v>
      </c>
      <c r="O80" s="3">
        <v>506</v>
      </c>
    </row>
    <row r="81" spans="1:15" x14ac:dyDescent="0.2">
      <c r="A81" s="16">
        <v>57646</v>
      </c>
      <c r="B81" s="7" t="s">
        <v>96</v>
      </c>
      <c r="C81" s="2">
        <v>45587</v>
      </c>
      <c r="D81" s="10">
        <v>1.0427999999999999</v>
      </c>
      <c r="E81" s="4">
        <v>111</v>
      </c>
      <c r="F81" s="11">
        <v>12.03</v>
      </c>
      <c r="G81" s="5">
        <v>3.06</v>
      </c>
      <c r="H81" s="5">
        <v>11.512500000000001</v>
      </c>
      <c r="I81" s="11">
        <v>2.3300000000000001E-2</v>
      </c>
      <c r="J81" s="11">
        <v>1.35E-2</v>
      </c>
      <c r="K81" s="11">
        <v>1E-3</v>
      </c>
      <c r="L81" s="11">
        <v>99.4</v>
      </c>
      <c r="M81" s="11">
        <v>0.7</v>
      </c>
      <c r="N81" s="11">
        <v>1.2</v>
      </c>
      <c r="O81" s="3">
        <v>188</v>
      </c>
    </row>
    <row r="82" spans="1:15" x14ac:dyDescent="0.2">
      <c r="A82" s="16">
        <v>57647</v>
      </c>
      <c r="B82" s="7" t="s">
        <v>97</v>
      </c>
      <c r="C82" s="2">
        <v>45587</v>
      </c>
      <c r="D82" s="10">
        <v>1.0442</v>
      </c>
      <c r="E82" s="4">
        <v>114.7</v>
      </c>
      <c r="F82" s="12">
        <v>12.15</v>
      </c>
      <c r="G82" s="5">
        <v>3.02</v>
      </c>
      <c r="H82" s="5">
        <v>11.112500000000001</v>
      </c>
      <c r="I82" s="12">
        <v>1.72E-2</v>
      </c>
      <c r="J82" s="12">
        <v>4.1000000000000003E-3</v>
      </c>
      <c r="K82" s="12">
        <v>6.9999999999999999E-4</v>
      </c>
      <c r="L82" s="12">
        <v>99.8</v>
      </c>
      <c r="M82" s="12">
        <v>-0.1</v>
      </c>
      <c r="N82" s="12">
        <v>1</v>
      </c>
      <c r="O82" s="3">
        <v>295</v>
      </c>
    </row>
    <row r="83" spans="1:15" x14ac:dyDescent="0.2">
      <c r="A83" s="16">
        <v>57648</v>
      </c>
      <c r="B83" s="7" t="s">
        <v>98</v>
      </c>
      <c r="C83" s="2">
        <v>45587</v>
      </c>
      <c r="D83" s="10">
        <v>1.0330999999999999</v>
      </c>
      <c r="E83" s="4">
        <v>85.9</v>
      </c>
      <c r="F83" s="12">
        <v>7.87</v>
      </c>
      <c r="G83" s="5">
        <v>3.07</v>
      </c>
      <c r="H83" s="5">
        <v>11.375</v>
      </c>
      <c r="I83" s="12">
        <v>5.0500000000000003E-2</v>
      </c>
      <c r="J83" s="12">
        <v>2.4299999999999999E-2</v>
      </c>
      <c r="K83" s="12">
        <v>4.1999999999999997E-3</v>
      </c>
      <c r="L83" s="12">
        <v>98.6</v>
      </c>
      <c r="M83" s="12">
        <v>0.8</v>
      </c>
      <c r="N83" s="12">
        <v>3.2</v>
      </c>
      <c r="O83" s="3">
        <v>596</v>
      </c>
    </row>
    <row r="84" spans="1:15" x14ac:dyDescent="0.2">
      <c r="A84" s="16">
        <v>57649</v>
      </c>
      <c r="B84" s="7" t="s">
        <v>99</v>
      </c>
      <c r="C84" s="2">
        <v>45587</v>
      </c>
      <c r="D84" s="10">
        <v>1.0391999999999999</v>
      </c>
      <c r="E84" s="4">
        <v>101.5</v>
      </c>
      <c r="F84" s="12">
        <v>9.98</v>
      </c>
      <c r="G84" s="5">
        <v>3.14</v>
      </c>
      <c r="H84" s="5">
        <v>12.775</v>
      </c>
      <c r="I84" s="12">
        <v>2.5999999999999999E-2</v>
      </c>
      <c r="J84" s="12">
        <v>6.8999999999999999E-3</v>
      </c>
      <c r="K84" s="12">
        <v>2E-3</v>
      </c>
      <c r="L84" s="12">
        <v>99.5</v>
      </c>
      <c r="M84" s="12">
        <v>-0.1</v>
      </c>
      <c r="N84" s="12">
        <v>1.6</v>
      </c>
      <c r="O84" s="3">
        <v>143</v>
      </c>
    </row>
    <row r="85" spans="1:15" x14ac:dyDescent="0.2">
      <c r="A85" s="16">
        <v>57650</v>
      </c>
      <c r="B85" s="7" t="s">
        <v>100</v>
      </c>
      <c r="C85" s="2">
        <v>45587</v>
      </c>
      <c r="D85" s="10">
        <v>1.0350999999999999</v>
      </c>
      <c r="E85" s="4">
        <v>91</v>
      </c>
      <c r="F85" s="12">
        <v>8.59</v>
      </c>
      <c r="G85" s="5">
        <v>2.94</v>
      </c>
      <c r="H85" s="5">
        <v>13.049999999999999</v>
      </c>
      <c r="I85" s="12">
        <v>4.9099999999999998E-2</v>
      </c>
      <c r="J85" s="12">
        <v>1.47E-2</v>
      </c>
      <c r="K85" s="12">
        <v>2.8E-3</v>
      </c>
      <c r="L85" s="12">
        <v>99.1</v>
      </c>
      <c r="M85" s="12">
        <v>-0.1</v>
      </c>
      <c r="N85" s="12">
        <v>3.5</v>
      </c>
      <c r="O85" s="3">
        <v>186</v>
      </c>
    </row>
    <row r="86" spans="1:15" x14ac:dyDescent="0.2">
      <c r="A86" s="15">
        <v>57681</v>
      </c>
      <c r="B86" s="7" t="s">
        <v>101</v>
      </c>
      <c r="C86" s="2">
        <v>45588</v>
      </c>
      <c r="D86" s="10">
        <v>1.0448</v>
      </c>
      <c r="E86" s="4">
        <v>116.3</v>
      </c>
      <c r="F86" s="12">
        <v>12.27</v>
      </c>
      <c r="G86" s="5">
        <v>2.9940000000000002</v>
      </c>
      <c r="H86" s="5">
        <v>9.6750000000000007</v>
      </c>
      <c r="I86" s="12">
        <v>7.22E-2</v>
      </c>
      <c r="J86" s="12">
        <v>3.3099999999999997E-2</v>
      </c>
      <c r="K86" s="12">
        <v>3.0000000000000001E-3</v>
      </c>
      <c r="L86" s="12">
        <v>98.2</v>
      </c>
      <c r="M86" s="12">
        <v>1.2</v>
      </c>
      <c r="N86" s="12">
        <v>5.3</v>
      </c>
      <c r="O86" s="3">
        <v>522</v>
      </c>
    </row>
    <row r="87" spans="1:15" x14ac:dyDescent="0.2">
      <c r="A87" s="15">
        <v>57682</v>
      </c>
      <c r="B87" s="7" t="s">
        <v>102</v>
      </c>
      <c r="C87" s="2">
        <v>45588</v>
      </c>
      <c r="D87" s="10">
        <v>1.0417000000000001</v>
      </c>
      <c r="E87" s="4">
        <v>108.1</v>
      </c>
      <c r="F87" s="12">
        <v>10.8</v>
      </c>
      <c r="G87" s="5">
        <v>2.831</v>
      </c>
      <c r="H87" s="5">
        <v>13.7125</v>
      </c>
      <c r="I87" s="12">
        <v>0.84050000000000002</v>
      </c>
      <c r="J87" s="12">
        <v>2.4357000000000002</v>
      </c>
      <c r="K87" s="12">
        <v>4.1700000000000001E-2</v>
      </c>
      <c r="L87" s="12">
        <v>56.6</v>
      </c>
      <c r="M87" s="12">
        <v>70</v>
      </c>
      <c r="N87" s="12">
        <v>39.5</v>
      </c>
      <c r="O87" s="3">
        <v>1151</v>
      </c>
    </row>
    <row r="88" spans="1:15" x14ac:dyDescent="0.2">
      <c r="A88" s="15">
        <v>57683</v>
      </c>
      <c r="B88" s="7" t="s">
        <v>103</v>
      </c>
      <c r="C88" s="2">
        <v>45588</v>
      </c>
      <c r="D88" s="10">
        <v>1.0416000000000001</v>
      </c>
      <c r="E88" s="4">
        <v>108</v>
      </c>
      <c r="F88" s="12">
        <v>10.75</v>
      </c>
      <c r="G88" s="5">
        <v>2.8260000000000001</v>
      </c>
      <c r="H88" s="5">
        <v>17.287500000000001</v>
      </c>
      <c r="I88" s="12">
        <f>0.2472*10</f>
        <v>2.472</v>
      </c>
      <c r="J88" s="12">
        <f>0.7577*10</f>
        <v>7.577</v>
      </c>
      <c r="K88" s="12">
        <f>0.0115*10</f>
        <v>0.11499999999999999</v>
      </c>
      <c r="L88" s="12">
        <v>76.599999999999994</v>
      </c>
      <c r="M88" s="12">
        <v>46.5</v>
      </c>
      <c r="N88" s="12">
        <v>7.3</v>
      </c>
      <c r="O88" s="3">
        <v>1360</v>
      </c>
    </row>
    <row r="89" spans="1:15" x14ac:dyDescent="0.2">
      <c r="A89" s="15">
        <v>57684</v>
      </c>
      <c r="B89" s="7" t="s">
        <v>104</v>
      </c>
      <c r="C89" s="2">
        <v>45588</v>
      </c>
      <c r="D89" s="10">
        <v>1.0432999999999999</v>
      </c>
      <c r="E89" s="4">
        <v>112.5</v>
      </c>
      <c r="F89" s="11">
        <v>12.06</v>
      </c>
      <c r="G89" s="5">
        <v>2.93</v>
      </c>
      <c r="H89" s="5">
        <v>17.05</v>
      </c>
      <c r="I89" s="12">
        <v>0.2482</v>
      </c>
      <c r="J89" s="12">
        <v>0.68230000000000002</v>
      </c>
      <c r="K89" s="12">
        <v>1.2200000000000001E-2</v>
      </c>
      <c r="L89" s="12">
        <v>77.2</v>
      </c>
      <c r="M89" s="12">
        <v>44</v>
      </c>
      <c r="N89" s="12">
        <v>5.5</v>
      </c>
      <c r="O89" s="3">
        <v>871</v>
      </c>
    </row>
    <row r="90" spans="1:15" x14ac:dyDescent="0.2">
      <c r="A90" s="15">
        <v>57685</v>
      </c>
      <c r="B90" s="7" t="s">
        <v>105</v>
      </c>
      <c r="C90" s="2">
        <v>45588</v>
      </c>
      <c r="D90" s="10">
        <v>1.0446</v>
      </c>
      <c r="E90" s="4">
        <v>115.7</v>
      </c>
      <c r="F90" s="12">
        <v>12.26</v>
      </c>
      <c r="G90" s="5">
        <v>2.8879999999999999</v>
      </c>
      <c r="H90" s="5">
        <v>14.25</v>
      </c>
      <c r="I90" s="12">
        <f>0.1226*10</f>
        <v>1.226</v>
      </c>
      <c r="J90" s="12">
        <f>0.3828*10</f>
        <v>3.8279999999999998</v>
      </c>
      <c r="K90" s="12">
        <f>0.0043*10</f>
        <v>4.2999999999999997E-2</v>
      </c>
      <c r="L90" s="12">
        <v>86.3</v>
      </c>
      <c r="M90" s="12">
        <v>29.1</v>
      </c>
      <c r="N90" s="12">
        <v>2</v>
      </c>
      <c r="O90" s="3">
        <v>1157</v>
      </c>
    </row>
    <row r="91" spans="1:15" x14ac:dyDescent="0.2">
      <c r="A91" s="15">
        <v>57686</v>
      </c>
      <c r="B91" s="7" t="s">
        <v>106</v>
      </c>
      <c r="C91" s="2">
        <v>45588</v>
      </c>
      <c r="D91" s="10">
        <v>1.0499000000000001</v>
      </c>
      <c r="E91" s="4">
        <v>129.6</v>
      </c>
      <c r="F91" s="12">
        <v>13.2</v>
      </c>
      <c r="G91" s="5">
        <v>2.9430000000000001</v>
      </c>
      <c r="H91" s="5">
        <v>12.074999999999999</v>
      </c>
      <c r="I91" s="12">
        <v>0.51580000000000004</v>
      </c>
      <c r="J91" s="12">
        <v>1.5333000000000001</v>
      </c>
      <c r="K91" s="12">
        <v>2.5499999999999998E-2</v>
      </c>
      <c r="L91" s="12">
        <v>64.400000000000006</v>
      </c>
      <c r="M91" s="12">
        <v>63.7</v>
      </c>
      <c r="N91" s="12">
        <v>21.5</v>
      </c>
      <c r="O91" s="3">
        <v>680</v>
      </c>
    </row>
    <row r="92" spans="1:15" x14ac:dyDescent="0.2">
      <c r="A92" s="15">
        <v>57687</v>
      </c>
      <c r="B92" s="7" t="s">
        <v>107</v>
      </c>
      <c r="C92" s="2">
        <v>45588</v>
      </c>
      <c r="D92" s="10">
        <v>1.0461</v>
      </c>
      <c r="E92" s="4">
        <v>119.6</v>
      </c>
      <c r="F92" s="12">
        <v>12.48</v>
      </c>
      <c r="G92" s="5">
        <v>3.6110000000000002</v>
      </c>
      <c r="H92" s="5">
        <v>3.9124999999999996</v>
      </c>
      <c r="I92" s="12">
        <v>0.32019999999999998</v>
      </c>
      <c r="J92" s="12">
        <v>5.3400000000000003E-2</v>
      </c>
      <c r="K92" s="12">
        <v>7.1999999999999998E-3</v>
      </c>
      <c r="L92" s="12">
        <v>96.4</v>
      </c>
      <c r="M92" s="12">
        <v>-2.8</v>
      </c>
      <c r="N92" s="12">
        <v>23.1</v>
      </c>
      <c r="O92" s="3">
        <v>693</v>
      </c>
    </row>
    <row r="93" spans="1:15" x14ac:dyDescent="0.2">
      <c r="A93" s="15">
        <v>57688</v>
      </c>
      <c r="B93" s="7" t="s">
        <v>108</v>
      </c>
      <c r="C93" s="2">
        <v>45588</v>
      </c>
      <c r="D93" s="10">
        <v>1.0491999999999999</v>
      </c>
      <c r="E93" s="4">
        <v>127.6</v>
      </c>
      <c r="F93" s="12">
        <v>13.06</v>
      </c>
      <c r="G93" s="5">
        <v>3.125</v>
      </c>
      <c r="H93" s="5">
        <v>9.5625</v>
      </c>
      <c r="I93" s="12">
        <v>3.5099999999999999E-2</v>
      </c>
      <c r="J93" s="12">
        <v>3.3599999999999998E-2</v>
      </c>
      <c r="K93" s="12">
        <v>1E-3</v>
      </c>
      <c r="L93" s="12">
        <v>98.6</v>
      </c>
      <c r="M93" s="12">
        <v>2.4</v>
      </c>
      <c r="N93" s="12">
        <v>1.5</v>
      </c>
      <c r="O93" s="3">
        <v>254</v>
      </c>
    </row>
    <row r="94" spans="1:15" x14ac:dyDescent="0.2">
      <c r="A94" s="15">
        <v>57689</v>
      </c>
      <c r="B94" s="7" t="s">
        <v>109</v>
      </c>
      <c r="C94" s="2">
        <v>45588</v>
      </c>
      <c r="D94" s="10">
        <v>1.0464</v>
      </c>
      <c r="E94" s="4">
        <v>120.5</v>
      </c>
      <c r="F94" s="11">
        <v>12.43</v>
      </c>
      <c r="G94" s="5">
        <v>3.12</v>
      </c>
      <c r="H94" s="5">
        <v>9.3125</v>
      </c>
      <c r="I94" s="12">
        <v>3.2599999999999997E-2</v>
      </c>
      <c r="J94" s="12">
        <v>2.4799999999999999E-2</v>
      </c>
      <c r="K94" s="12">
        <v>2.5999999999999999E-3</v>
      </c>
      <c r="L94" s="12">
        <v>98.8</v>
      </c>
      <c r="M94" s="12">
        <v>1.4</v>
      </c>
      <c r="N94" s="12">
        <v>1.6</v>
      </c>
      <c r="O94" s="3">
        <v>275</v>
      </c>
    </row>
    <row r="95" spans="1:15" x14ac:dyDescent="0.2">
      <c r="A95" s="15">
        <v>57690</v>
      </c>
      <c r="B95" s="7" t="s">
        <v>110</v>
      </c>
      <c r="C95" s="2">
        <v>45588</v>
      </c>
      <c r="D95" s="10">
        <v>1.0503</v>
      </c>
      <c r="E95" s="4">
        <v>130.5</v>
      </c>
      <c r="F95" s="12">
        <v>13.22</v>
      </c>
      <c r="G95" s="5">
        <v>3.3580000000000001</v>
      </c>
      <c r="H95" s="5">
        <v>6.5375000000000005</v>
      </c>
      <c r="I95" s="12">
        <v>0.1512</v>
      </c>
      <c r="J95" s="12">
        <v>3.6499999999999998E-2</v>
      </c>
      <c r="K95" s="12">
        <v>3.3E-3</v>
      </c>
      <c r="L95" s="12">
        <v>97.8</v>
      </c>
      <c r="M95" s="12">
        <v>-0.6</v>
      </c>
      <c r="N95" s="12">
        <v>10.7</v>
      </c>
      <c r="O95" s="3">
        <v>1062</v>
      </c>
    </row>
    <row r="96" spans="1:15" x14ac:dyDescent="0.2">
      <c r="A96" s="15">
        <v>57691</v>
      </c>
      <c r="B96" s="7" t="s">
        <v>111</v>
      </c>
      <c r="C96" s="2">
        <v>45588</v>
      </c>
      <c r="D96" s="10">
        <v>1.0505</v>
      </c>
      <c r="E96" s="4">
        <v>131.1</v>
      </c>
      <c r="F96" s="12">
        <v>13.3</v>
      </c>
      <c r="G96" s="5">
        <v>4.0880000000000001</v>
      </c>
      <c r="H96" s="5">
        <v>2.15</v>
      </c>
      <c r="I96" s="12">
        <f>0.1551*10</f>
        <v>1.5509999999999999</v>
      </c>
      <c r="J96" s="12">
        <f>0.0341*10</f>
        <v>0.34099999999999997</v>
      </c>
      <c r="K96" s="12">
        <f>0.0082*10</f>
        <v>8.2000000000000003E-2</v>
      </c>
      <c r="L96" s="12">
        <v>97.6</v>
      </c>
      <c r="M96" s="12">
        <v>-1.4</v>
      </c>
      <c r="N96" s="12">
        <v>11.4</v>
      </c>
      <c r="O96" s="3">
        <v>395</v>
      </c>
    </row>
    <row r="97" spans="1:15" x14ac:dyDescent="0.2">
      <c r="A97" s="15">
        <v>57692</v>
      </c>
      <c r="B97" s="7" t="s">
        <v>112</v>
      </c>
      <c r="C97" s="2">
        <v>45588</v>
      </c>
      <c r="D97" s="10">
        <v>1.0468</v>
      </c>
      <c r="E97" s="4">
        <v>121.5</v>
      </c>
      <c r="F97" s="11">
        <v>12.54</v>
      </c>
      <c r="G97" s="5">
        <v>3.2040000000000002</v>
      </c>
      <c r="H97" s="5">
        <v>9.5250000000000004</v>
      </c>
      <c r="I97" s="11">
        <v>3.0099999999999998E-2</v>
      </c>
      <c r="J97" s="11">
        <v>1.5599999999999999E-2</v>
      </c>
      <c r="K97" s="11">
        <v>2.5000000000000001E-3</v>
      </c>
      <c r="L97" s="11">
        <v>99.2</v>
      </c>
      <c r="M97" s="11">
        <v>0.6</v>
      </c>
      <c r="N97" s="11">
        <v>1.5</v>
      </c>
      <c r="O97" s="3">
        <v>418</v>
      </c>
    </row>
    <row r="98" spans="1:15" x14ac:dyDescent="0.2">
      <c r="A98" s="15">
        <v>57693</v>
      </c>
      <c r="B98" s="7" t="s">
        <v>113</v>
      </c>
      <c r="C98" s="2">
        <v>45588</v>
      </c>
      <c r="D98" s="10">
        <v>1.0367</v>
      </c>
      <c r="E98" s="4">
        <v>95.1</v>
      </c>
      <c r="F98" s="11">
        <v>9.4</v>
      </c>
      <c r="G98" s="5">
        <v>3.1589999999999998</v>
      </c>
      <c r="H98" s="5">
        <v>9.5374999999999996</v>
      </c>
      <c r="I98" s="12">
        <v>2.5499999999999998E-2</v>
      </c>
      <c r="J98" s="12">
        <v>8.3999999999999995E-3</v>
      </c>
      <c r="K98" s="12">
        <v>1.1000000000000001E-3</v>
      </c>
      <c r="L98" s="12">
        <v>99.5</v>
      </c>
      <c r="M98" s="12">
        <v>0.1</v>
      </c>
      <c r="N98" s="12">
        <v>1.4</v>
      </c>
      <c r="O98" s="3">
        <v>156</v>
      </c>
    </row>
    <row r="99" spans="1:15" x14ac:dyDescent="0.2">
      <c r="A99" s="15">
        <v>57694</v>
      </c>
      <c r="B99" s="7" t="s">
        <v>114</v>
      </c>
      <c r="C99" s="2">
        <v>45588</v>
      </c>
      <c r="D99" s="10">
        <v>1.0373000000000001</v>
      </c>
      <c r="E99" s="4">
        <v>96.8</v>
      </c>
      <c r="F99" s="11">
        <v>9.67</v>
      </c>
      <c r="G99" s="5">
        <v>3.1349999999999998</v>
      </c>
      <c r="H99" s="5">
        <v>8.5500000000000007</v>
      </c>
      <c r="I99" s="12">
        <v>3.6400000000000002E-2</v>
      </c>
      <c r="J99" s="12">
        <v>1.78E-2</v>
      </c>
      <c r="K99" s="12">
        <v>1.2999999999999999E-3</v>
      </c>
      <c r="L99" s="12">
        <v>99.2</v>
      </c>
      <c r="M99" s="12">
        <v>0.8</v>
      </c>
      <c r="N99" s="12">
        <v>1.8</v>
      </c>
      <c r="O99" s="3">
        <v>142</v>
      </c>
    </row>
    <row r="100" spans="1:15" x14ac:dyDescent="0.2">
      <c r="A100" s="15">
        <v>57695</v>
      </c>
      <c r="B100" s="7" t="s">
        <v>115</v>
      </c>
      <c r="C100" s="2">
        <v>45588</v>
      </c>
      <c r="D100" s="10">
        <v>1.0442</v>
      </c>
      <c r="E100" s="4">
        <v>114.7</v>
      </c>
      <c r="F100" s="11">
        <v>12.14</v>
      </c>
      <c r="G100" s="5">
        <v>3.0259999999999998</v>
      </c>
      <c r="H100" s="5">
        <v>12.3125</v>
      </c>
      <c r="I100" s="11">
        <v>2.1100000000000001E-2</v>
      </c>
      <c r="J100" s="11">
        <v>8.9999999999999993E-3</v>
      </c>
      <c r="K100" s="11">
        <v>1.1000000000000001E-3</v>
      </c>
      <c r="L100" s="11">
        <v>99.5</v>
      </c>
      <c r="M100" s="11">
        <v>0.3</v>
      </c>
      <c r="N100" s="11">
        <v>1.1000000000000001</v>
      </c>
      <c r="O100" s="3">
        <v>227</v>
      </c>
    </row>
    <row r="101" spans="1:15" x14ac:dyDescent="0.2">
      <c r="A101" s="15">
        <v>57696</v>
      </c>
      <c r="B101" s="7" t="s">
        <v>116</v>
      </c>
      <c r="C101" s="2">
        <v>45588</v>
      </c>
      <c r="D101" s="10">
        <v>1.0366</v>
      </c>
      <c r="E101" s="4">
        <v>94.9</v>
      </c>
      <c r="F101" s="12">
        <v>9.31</v>
      </c>
      <c r="G101" s="5">
        <v>3.145</v>
      </c>
      <c r="H101" s="5">
        <v>9.0874999999999986</v>
      </c>
      <c r="I101" s="12">
        <v>2.5999999999999999E-2</v>
      </c>
      <c r="J101" s="12">
        <v>1.29E-2</v>
      </c>
      <c r="K101" s="12">
        <v>1.8E-3</v>
      </c>
      <c r="L101" s="12">
        <v>99.3</v>
      </c>
      <c r="M101" s="12">
        <v>0.5</v>
      </c>
      <c r="N101" s="12">
        <v>1.4</v>
      </c>
      <c r="O101" s="3">
        <v>169</v>
      </c>
    </row>
    <row r="102" spans="1:15" x14ac:dyDescent="0.2">
      <c r="A102" s="15">
        <v>57697</v>
      </c>
      <c r="B102" s="7" t="s">
        <v>117</v>
      </c>
      <c r="C102" s="2">
        <v>45588</v>
      </c>
      <c r="D102" s="10">
        <v>1.0385</v>
      </c>
      <c r="E102" s="4">
        <v>99.8</v>
      </c>
      <c r="F102" s="12">
        <v>9.8699999999999992</v>
      </c>
      <c r="G102" s="5">
        <v>3.016</v>
      </c>
      <c r="H102" s="5">
        <v>11.5625</v>
      </c>
      <c r="I102" s="12">
        <v>2.0500000000000001E-2</v>
      </c>
      <c r="J102" s="12">
        <v>7.3000000000000001E-3</v>
      </c>
      <c r="K102" s="12">
        <v>1.1999999999999999E-3</v>
      </c>
      <c r="L102" s="12">
        <v>99.6</v>
      </c>
      <c r="M102" s="12">
        <v>0.1</v>
      </c>
      <c r="N102" s="12">
        <v>1.1000000000000001</v>
      </c>
      <c r="O102" s="3">
        <v>216</v>
      </c>
    </row>
    <row r="103" spans="1:15" x14ac:dyDescent="0.2">
      <c r="A103" s="15">
        <v>57698</v>
      </c>
      <c r="B103" s="7" t="s">
        <v>118</v>
      </c>
      <c r="C103" s="2">
        <v>45588</v>
      </c>
      <c r="D103" s="10">
        <v>1.0355000000000001</v>
      </c>
      <c r="E103" s="4">
        <v>92</v>
      </c>
      <c r="F103" s="11">
        <v>8.89</v>
      </c>
      <c r="G103" s="5">
        <v>3.0960000000000001</v>
      </c>
      <c r="H103" s="5">
        <v>8.2125000000000004</v>
      </c>
      <c r="I103" s="11">
        <v>3.6200000000000003E-2</v>
      </c>
      <c r="J103" s="11">
        <v>1.8100000000000002E-2</v>
      </c>
      <c r="K103" s="11">
        <v>3.3E-3</v>
      </c>
      <c r="L103" s="11">
        <v>99</v>
      </c>
      <c r="M103" s="11">
        <v>0.6</v>
      </c>
      <c r="N103" s="11">
        <v>2.1</v>
      </c>
      <c r="O103" s="3">
        <v>206</v>
      </c>
    </row>
    <row r="104" spans="1:15" x14ac:dyDescent="0.2">
      <c r="A104" s="15">
        <v>57699</v>
      </c>
      <c r="B104" s="7" t="s">
        <v>119</v>
      </c>
      <c r="C104" s="2">
        <v>45588</v>
      </c>
      <c r="D104" s="10">
        <v>1.0531999999999999</v>
      </c>
      <c r="E104" s="4">
        <v>138.1</v>
      </c>
      <c r="F104" s="12">
        <v>13.55</v>
      </c>
      <c r="G104" s="5">
        <v>3.1110000000000002</v>
      </c>
      <c r="H104" s="5">
        <v>11.737500000000001</v>
      </c>
      <c r="I104" s="12">
        <v>4.4400000000000002E-2</v>
      </c>
      <c r="J104" s="12">
        <v>6.0999999999999999E-2</v>
      </c>
      <c r="K104" s="12">
        <v>2.2000000000000001E-3</v>
      </c>
      <c r="L104" s="12">
        <v>97.5</v>
      </c>
      <c r="M104" s="12">
        <v>4.8</v>
      </c>
      <c r="N104" s="12">
        <v>1.6</v>
      </c>
      <c r="O104" s="3">
        <v>249</v>
      </c>
    </row>
    <row r="105" spans="1:15" x14ac:dyDescent="0.2">
      <c r="A105" s="15">
        <v>57700</v>
      </c>
      <c r="B105" s="7" t="s">
        <v>120</v>
      </c>
      <c r="C105" s="2">
        <v>45588</v>
      </c>
      <c r="D105" s="10">
        <v>1.0483</v>
      </c>
      <c r="E105" s="4">
        <v>125.3</v>
      </c>
      <c r="F105" s="12">
        <v>12.76</v>
      </c>
      <c r="G105" s="5">
        <v>3.056</v>
      </c>
      <c r="H105" s="5">
        <v>11.25</v>
      </c>
      <c r="I105" s="12">
        <v>3.6999999999999998E-2</v>
      </c>
      <c r="J105" s="12">
        <v>3.9100000000000003E-2</v>
      </c>
      <c r="K105" s="12">
        <v>2.5000000000000001E-3</v>
      </c>
      <c r="L105" s="12">
        <v>98.3</v>
      </c>
      <c r="M105" s="12">
        <v>2.7</v>
      </c>
      <c r="N105" s="12">
        <v>1.6</v>
      </c>
      <c r="O105" s="3">
        <v>231</v>
      </c>
    </row>
    <row r="106" spans="1:15" x14ac:dyDescent="0.2">
      <c r="A106" s="15">
        <v>57701</v>
      </c>
      <c r="B106" s="7" t="s">
        <v>121</v>
      </c>
      <c r="C106" s="2">
        <v>45588</v>
      </c>
      <c r="D106" s="10">
        <v>1.0468</v>
      </c>
      <c r="E106" s="4">
        <v>121.4</v>
      </c>
      <c r="F106" s="11">
        <v>12.45</v>
      </c>
      <c r="G106" s="5">
        <v>3.0920000000000001</v>
      </c>
      <c r="H106" s="5">
        <v>11.725000000000001</v>
      </c>
      <c r="I106" s="11">
        <v>1.9699999999999999E-2</v>
      </c>
      <c r="J106" s="11">
        <v>7.1000000000000004E-3</v>
      </c>
      <c r="K106" s="11">
        <v>2.2000000000000001E-3</v>
      </c>
      <c r="L106" s="11">
        <v>99.6</v>
      </c>
      <c r="M106" s="11">
        <v>0</v>
      </c>
      <c r="N106" s="11">
        <v>1</v>
      </c>
      <c r="O106" s="3">
        <v>337</v>
      </c>
    </row>
    <row r="107" spans="1:15" x14ac:dyDescent="0.2">
      <c r="A107" s="15">
        <v>57702</v>
      </c>
      <c r="B107" s="7" t="s">
        <v>122</v>
      </c>
      <c r="C107" s="2">
        <v>45588</v>
      </c>
      <c r="D107" s="10">
        <v>1.0411999999999999</v>
      </c>
      <c r="E107" s="4">
        <v>106.9</v>
      </c>
      <c r="F107" s="12">
        <v>10.48</v>
      </c>
      <c r="G107" s="5">
        <v>3.048</v>
      </c>
      <c r="H107" s="5">
        <v>13.3375</v>
      </c>
      <c r="I107" s="12">
        <v>1.9300000000000001E-2</v>
      </c>
      <c r="J107" s="12">
        <v>4.1999999999999997E-3</v>
      </c>
      <c r="K107" s="12">
        <v>8.9999999999999998E-4</v>
      </c>
      <c r="L107" s="12">
        <v>99.7</v>
      </c>
      <c r="M107" s="12">
        <v>-0.1</v>
      </c>
      <c r="N107" s="12">
        <v>1.1000000000000001</v>
      </c>
      <c r="O107" s="3">
        <v>366</v>
      </c>
    </row>
    <row r="108" spans="1:15" x14ac:dyDescent="0.2">
      <c r="A108" s="15">
        <v>57703</v>
      </c>
      <c r="B108" s="7" t="s">
        <v>123</v>
      </c>
      <c r="C108" s="2">
        <v>45588</v>
      </c>
      <c r="D108" s="10">
        <v>1.0508999999999999</v>
      </c>
      <c r="E108" s="4">
        <v>132.19999999999999</v>
      </c>
      <c r="F108" s="11">
        <v>13.25</v>
      </c>
      <c r="G108" s="5">
        <v>3.2069999999999999</v>
      </c>
      <c r="H108" s="5">
        <v>10.324999999999999</v>
      </c>
      <c r="I108" s="12">
        <v>3.9300000000000002E-2</v>
      </c>
      <c r="J108" s="12">
        <v>2.9700000000000001E-2</v>
      </c>
      <c r="K108" s="12">
        <v>8.0000000000000004E-4</v>
      </c>
      <c r="L108" s="12">
        <v>98.7</v>
      </c>
      <c r="M108" s="12">
        <v>1.9</v>
      </c>
      <c r="N108" s="12">
        <v>1.9</v>
      </c>
      <c r="O108" s="3">
        <v>249</v>
      </c>
    </row>
    <row r="109" spans="1:15" x14ac:dyDescent="0.2">
      <c r="A109" s="15">
        <v>57704</v>
      </c>
      <c r="B109" s="7" t="s">
        <v>124</v>
      </c>
      <c r="C109" s="2">
        <v>45588</v>
      </c>
      <c r="D109" s="10">
        <v>1.0507</v>
      </c>
      <c r="E109" s="4">
        <v>131.6</v>
      </c>
      <c r="F109" s="12">
        <v>13.28</v>
      </c>
      <c r="G109" s="5">
        <v>3.2069999999999999</v>
      </c>
      <c r="H109" s="5">
        <v>7.8500000000000005</v>
      </c>
      <c r="I109" s="12">
        <v>3.4099999999999998E-2</v>
      </c>
      <c r="J109" s="12">
        <v>2.7199999999999998E-2</v>
      </c>
      <c r="K109" s="12">
        <v>5.9999999999999995E-4</v>
      </c>
      <c r="L109" s="12">
        <v>98.8</v>
      </c>
      <c r="M109" s="12">
        <v>1.8</v>
      </c>
      <c r="N109" s="12">
        <v>1.6</v>
      </c>
      <c r="O109" s="3">
        <v>174</v>
      </c>
    </row>
    <row r="110" spans="1:15" x14ac:dyDescent="0.2">
      <c r="A110" s="15">
        <v>57705</v>
      </c>
      <c r="B110" s="7" t="s">
        <v>125</v>
      </c>
      <c r="C110" s="2">
        <v>45588</v>
      </c>
      <c r="D110" s="10">
        <v>1.0382</v>
      </c>
      <c r="E110" s="4">
        <v>99.1</v>
      </c>
      <c r="F110" s="11">
        <v>9.8699999999999992</v>
      </c>
      <c r="G110" s="5">
        <v>3.06</v>
      </c>
      <c r="H110" s="5">
        <v>8.9249999999999989</v>
      </c>
      <c r="I110" s="12">
        <v>2.6200000000000001E-2</v>
      </c>
      <c r="J110" s="12">
        <v>1.9699999999999999E-2</v>
      </c>
      <c r="K110" s="12">
        <v>1.1999999999999999E-3</v>
      </c>
      <c r="L110" s="12">
        <v>99.1</v>
      </c>
      <c r="M110" s="12">
        <v>1.2</v>
      </c>
      <c r="N110" s="12">
        <v>1.3</v>
      </c>
      <c r="O110" s="3">
        <v>531</v>
      </c>
    </row>
    <row r="111" spans="1:15" x14ac:dyDescent="0.2">
      <c r="A111" s="16">
        <v>57720</v>
      </c>
      <c r="B111" s="7" t="s">
        <v>126</v>
      </c>
      <c r="C111" s="2">
        <v>45594</v>
      </c>
      <c r="D111" s="10">
        <v>1.0475000000000001</v>
      </c>
      <c r="E111" s="4">
        <v>123.4</v>
      </c>
      <c r="F111" s="12">
        <v>12.69</v>
      </c>
      <c r="G111" s="5">
        <v>3.13</v>
      </c>
      <c r="H111" s="5">
        <v>6.25</v>
      </c>
      <c r="I111" s="12">
        <v>0.127</v>
      </c>
      <c r="J111" s="12">
        <v>0.04</v>
      </c>
      <c r="K111" s="12">
        <v>8.5000000000000006E-3</v>
      </c>
      <c r="L111" s="12">
        <v>97.4</v>
      </c>
      <c r="M111" s="12">
        <v>0</v>
      </c>
      <c r="N111" s="12">
        <v>9.9</v>
      </c>
      <c r="O111" s="3">
        <v>1189</v>
      </c>
    </row>
    <row r="112" spans="1:15" x14ac:dyDescent="0.2">
      <c r="A112" s="16">
        <v>57721</v>
      </c>
      <c r="B112" s="7" t="s">
        <v>127</v>
      </c>
      <c r="C112" s="2">
        <v>45594</v>
      </c>
      <c r="D112" s="10">
        <v>1.0502</v>
      </c>
      <c r="E112" s="4">
        <v>130.19999999999999</v>
      </c>
      <c r="F112" s="12">
        <v>13.2</v>
      </c>
      <c r="G112" s="5">
        <v>3.07</v>
      </c>
      <c r="H112" s="5">
        <v>7.9</v>
      </c>
      <c r="I112" s="12">
        <v>3.3000000000000002E-2</v>
      </c>
      <c r="J112" s="12">
        <v>2.01E-2</v>
      </c>
      <c r="K112" s="12">
        <v>6.3E-3</v>
      </c>
      <c r="L112" s="12">
        <v>98.8</v>
      </c>
      <c r="M112" s="12">
        <v>0.7</v>
      </c>
      <c r="N112" s="12">
        <v>1.6</v>
      </c>
      <c r="O112" s="3">
        <v>386</v>
      </c>
    </row>
    <row r="113" spans="1:15" x14ac:dyDescent="0.2">
      <c r="A113" s="16">
        <v>57722</v>
      </c>
      <c r="B113" s="7" t="s">
        <v>128</v>
      </c>
      <c r="C113" s="2">
        <v>45594</v>
      </c>
      <c r="D113" s="10">
        <v>1.0444</v>
      </c>
      <c r="E113" s="4">
        <v>115.1</v>
      </c>
      <c r="F113" s="12">
        <v>12.27</v>
      </c>
      <c r="G113" s="5">
        <v>4.43</v>
      </c>
      <c r="H113" s="5">
        <v>1.625</v>
      </c>
      <c r="I113" s="12">
        <v>0.69320000000000004</v>
      </c>
      <c r="J113" s="12">
        <v>9.0999999999999998E-2</v>
      </c>
      <c r="K113" s="12">
        <v>2.3300000000000001E-2</v>
      </c>
      <c r="L113" s="12">
        <v>93.5</v>
      </c>
      <c r="M113" s="12">
        <v>-5.4</v>
      </c>
      <c r="N113" s="12">
        <v>44.1</v>
      </c>
      <c r="O113" s="3">
        <v>685</v>
      </c>
    </row>
    <row r="114" spans="1:15" x14ac:dyDescent="0.2">
      <c r="A114" s="16">
        <v>57723</v>
      </c>
      <c r="B114" s="7" t="s">
        <v>129</v>
      </c>
      <c r="C114" s="2">
        <v>45594</v>
      </c>
      <c r="D114" s="10">
        <v>1.046</v>
      </c>
      <c r="E114" s="4">
        <v>119.3</v>
      </c>
      <c r="F114" s="11">
        <v>12.45</v>
      </c>
      <c r="G114" s="5">
        <v>3.22</v>
      </c>
      <c r="H114" s="5">
        <v>5.9750000000000005</v>
      </c>
      <c r="I114" s="12">
        <v>0.26790000000000003</v>
      </c>
      <c r="J114" s="12">
        <v>6.0600000000000001E-2</v>
      </c>
      <c r="K114" s="12">
        <v>1.78E-2</v>
      </c>
      <c r="L114" s="12">
        <v>95.7</v>
      </c>
      <c r="M114" s="12">
        <v>-1.8</v>
      </c>
      <c r="N114" s="12">
        <v>19.600000000000001</v>
      </c>
      <c r="O114" s="3">
        <v>556</v>
      </c>
    </row>
    <row r="115" spans="1:15" x14ac:dyDescent="0.2">
      <c r="A115" s="16">
        <v>57724</v>
      </c>
      <c r="B115" s="7" t="s">
        <v>130</v>
      </c>
      <c r="C115" s="2">
        <v>45594</v>
      </c>
      <c r="D115" s="10">
        <v>1.0434000000000001</v>
      </c>
      <c r="E115" s="4">
        <v>112.7</v>
      </c>
      <c r="F115" s="12">
        <v>12.11</v>
      </c>
      <c r="G115" s="5">
        <v>3.28</v>
      </c>
      <c r="H115" s="5">
        <v>6.2</v>
      </c>
      <c r="I115" s="12">
        <v>0.15859999999999999</v>
      </c>
      <c r="J115" s="12">
        <v>4.07E-2</v>
      </c>
      <c r="K115" s="12">
        <v>1.66E-2</v>
      </c>
      <c r="L115" s="12">
        <v>96.9</v>
      </c>
      <c r="M115" s="12">
        <v>-1.4</v>
      </c>
      <c r="N115" s="12">
        <v>12</v>
      </c>
      <c r="O115" s="3">
        <v>339</v>
      </c>
    </row>
    <row r="116" spans="1:15" x14ac:dyDescent="0.2">
      <c r="A116" s="16">
        <v>57725</v>
      </c>
      <c r="B116" s="7" t="s">
        <v>131</v>
      </c>
      <c r="C116" s="2">
        <v>45594</v>
      </c>
      <c r="D116" s="10">
        <v>1.0385</v>
      </c>
      <c r="E116" s="4">
        <v>99.7</v>
      </c>
      <c r="F116" s="11">
        <v>9.98</v>
      </c>
      <c r="G116" s="5">
        <v>3.26</v>
      </c>
      <c r="H116" s="5">
        <v>5.7750000000000004</v>
      </c>
      <c r="I116" s="12">
        <v>5.8400000000000001E-2</v>
      </c>
      <c r="J116" s="12">
        <v>0.02</v>
      </c>
      <c r="K116" s="12">
        <v>4.7000000000000002E-3</v>
      </c>
      <c r="L116" s="12">
        <v>98.6</v>
      </c>
      <c r="M116" s="12">
        <v>0</v>
      </c>
      <c r="N116" s="12">
        <v>4.4000000000000004</v>
      </c>
      <c r="O116" s="3">
        <v>500</v>
      </c>
    </row>
    <row r="117" spans="1:15" x14ac:dyDescent="0.2">
      <c r="A117" s="16">
        <v>57726</v>
      </c>
      <c r="B117" s="7" t="s">
        <v>132</v>
      </c>
      <c r="C117" s="2">
        <v>45594</v>
      </c>
      <c r="D117" s="10">
        <v>1.0402</v>
      </c>
      <c r="E117" s="4">
        <v>104.2</v>
      </c>
      <c r="F117" s="11">
        <v>10.42</v>
      </c>
      <c r="G117" s="5">
        <v>3.15</v>
      </c>
      <c r="H117" s="5">
        <v>5.5500000000000007</v>
      </c>
      <c r="I117" s="12">
        <v>7.6399999999999996E-2</v>
      </c>
      <c r="J117" s="12">
        <v>2.92E-2</v>
      </c>
      <c r="K117" s="12">
        <v>6.4000000000000003E-3</v>
      </c>
      <c r="L117" s="12">
        <v>98.1</v>
      </c>
      <c r="M117" s="12">
        <v>0.4</v>
      </c>
      <c r="N117" s="12">
        <v>5.9</v>
      </c>
      <c r="O117" s="3">
        <v>539</v>
      </c>
    </row>
    <row r="118" spans="1:15" x14ac:dyDescent="0.2">
      <c r="A118" s="16">
        <v>57727</v>
      </c>
      <c r="B118" s="7" t="s">
        <v>133</v>
      </c>
      <c r="C118" s="2">
        <v>45594</v>
      </c>
      <c r="D118" s="10">
        <v>1.0481</v>
      </c>
      <c r="E118" s="4">
        <v>125</v>
      </c>
      <c r="F118" s="12">
        <v>12.77</v>
      </c>
      <c r="G118" s="5">
        <v>3.34</v>
      </c>
      <c r="H118" s="5">
        <v>7.45</v>
      </c>
      <c r="I118" s="12">
        <v>8.8599999999999998E-2</v>
      </c>
      <c r="J118" s="12">
        <v>2.6800000000000001E-2</v>
      </c>
      <c r="K118" s="12">
        <v>7.6E-3</v>
      </c>
      <c r="L118" s="12">
        <v>98.1</v>
      </c>
      <c r="M118" s="12">
        <v>-0.3</v>
      </c>
      <c r="N118" s="12">
        <v>6.7</v>
      </c>
      <c r="O118" s="3">
        <v>648</v>
      </c>
    </row>
    <row r="119" spans="1:15" x14ac:dyDescent="0.2">
      <c r="A119" s="16">
        <v>57728</v>
      </c>
      <c r="B119" s="7" t="s">
        <v>134</v>
      </c>
      <c r="C119" s="2">
        <v>45594</v>
      </c>
      <c r="D119" s="10">
        <v>1.0458000000000001</v>
      </c>
      <c r="E119" s="4">
        <v>118.8</v>
      </c>
      <c r="F119" s="12">
        <v>12.4</v>
      </c>
      <c r="G119" s="5">
        <v>3.23</v>
      </c>
      <c r="H119" s="5">
        <v>7.1499999999999995</v>
      </c>
      <c r="I119" s="12">
        <v>0.128</v>
      </c>
      <c r="J119" s="12">
        <v>4.0300000000000002E-2</v>
      </c>
      <c r="K119" s="12">
        <v>1.2E-2</v>
      </c>
      <c r="L119" s="12">
        <v>97.2</v>
      </c>
      <c r="M119" s="12">
        <v>-0.2</v>
      </c>
      <c r="N119" s="12">
        <v>9.5</v>
      </c>
      <c r="O119" s="3">
        <v>462</v>
      </c>
    </row>
    <row r="120" spans="1:15" x14ac:dyDescent="0.2">
      <c r="A120" s="16">
        <v>57729</v>
      </c>
      <c r="B120" s="7" t="s">
        <v>135</v>
      </c>
      <c r="C120" s="2">
        <v>45594</v>
      </c>
      <c r="D120" s="10">
        <v>1.0530999999999999</v>
      </c>
      <c r="E120" s="4">
        <v>137.9</v>
      </c>
      <c r="F120" s="12">
        <v>13.61</v>
      </c>
      <c r="G120" s="5">
        <v>4.3899999999999997</v>
      </c>
      <c r="H120" s="5">
        <v>1.625</v>
      </c>
      <c r="I120" s="12">
        <v>1.1504000000000001</v>
      </c>
      <c r="J120" s="12">
        <v>0.1074</v>
      </c>
      <c r="K120" s="12">
        <v>2.12E-2</v>
      </c>
      <c r="L120" s="12">
        <v>92.4</v>
      </c>
      <c r="M120" s="12">
        <v>-6.6</v>
      </c>
      <c r="N120" s="12">
        <v>64.599999999999994</v>
      </c>
      <c r="O120" s="3">
        <v>537</v>
      </c>
    </row>
    <row r="121" spans="1:15" x14ac:dyDescent="0.2">
      <c r="A121" s="16">
        <v>57730</v>
      </c>
      <c r="B121" s="7" t="s">
        <v>136</v>
      </c>
      <c r="C121" s="2">
        <v>45594</v>
      </c>
      <c r="D121" s="10">
        <v>1.0481</v>
      </c>
      <c r="E121" s="4">
        <v>124.9</v>
      </c>
      <c r="F121" s="12">
        <v>12.74</v>
      </c>
      <c r="G121" s="5">
        <v>2.93</v>
      </c>
      <c r="H121" s="5">
        <v>11.475</v>
      </c>
      <c r="I121" s="12">
        <v>3.7100000000000001E-2</v>
      </c>
      <c r="J121" s="12">
        <v>1.03E-2</v>
      </c>
      <c r="K121" s="12">
        <v>5.3E-3</v>
      </c>
      <c r="L121" s="12">
        <v>99.2</v>
      </c>
      <c r="M121" s="12">
        <v>-0.3</v>
      </c>
      <c r="N121" s="12">
        <v>2</v>
      </c>
      <c r="O121" s="3">
        <v>573</v>
      </c>
    </row>
    <row r="122" spans="1:15" x14ac:dyDescent="0.2">
      <c r="A122" s="16">
        <v>57731</v>
      </c>
      <c r="B122" s="7" t="s">
        <v>137</v>
      </c>
      <c r="C122" s="2">
        <v>45594</v>
      </c>
      <c r="D122" s="10">
        <v>1.0445</v>
      </c>
      <c r="E122" s="4">
        <v>115.6</v>
      </c>
      <c r="F122" s="12">
        <v>12.22</v>
      </c>
      <c r="G122" s="5">
        <v>3.13</v>
      </c>
      <c r="H122" s="5">
        <v>8.8249999999999993</v>
      </c>
      <c r="I122" s="12">
        <v>3.7999999999999999E-2</v>
      </c>
      <c r="J122" s="12">
        <v>2.76E-2</v>
      </c>
      <c r="K122" s="12">
        <v>8.6999999999999994E-3</v>
      </c>
      <c r="L122" s="12">
        <v>98.4</v>
      </c>
      <c r="M122" s="12">
        <v>1.2</v>
      </c>
      <c r="N122" s="12">
        <v>1.7</v>
      </c>
      <c r="O122" s="3">
        <v>405</v>
      </c>
    </row>
    <row r="123" spans="1:15" x14ac:dyDescent="0.2">
      <c r="A123" s="16">
        <v>57732</v>
      </c>
      <c r="B123" s="7" t="s">
        <v>138</v>
      </c>
      <c r="C123" s="2">
        <v>45594</v>
      </c>
      <c r="D123" s="10">
        <v>1.0523</v>
      </c>
      <c r="E123" s="4">
        <v>135.69999999999999</v>
      </c>
      <c r="F123" s="12">
        <v>13.52</v>
      </c>
      <c r="G123" s="5">
        <v>4.4000000000000004</v>
      </c>
      <c r="H123" s="5">
        <v>1.7000000000000002</v>
      </c>
      <c r="I123" s="12">
        <v>0.6542</v>
      </c>
      <c r="J123" s="12">
        <v>0.1</v>
      </c>
      <c r="K123" s="12">
        <v>2.4E-2</v>
      </c>
      <c r="L123" s="12">
        <v>93.1</v>
      </c>
      <c r="M123" s="12">
        <v>-4.0999999999999996</v>
      </c>
      <c r="N123" s="12">
        <v>40.5</v>
      </c>
      <c r="O123" s="3">
        <v>644</v>
      </c>
    </row>
    <row r="124" spans="1:15" x14ac:dyDescent="0.2">
      <c r="A124" s="16">
        <v>57733</v>
      </c>
      <c r="B124" s="7" t="s">
        <v>139</v>
      </c>
      <c r="C124" s="2">
        <v>45594</v>
      </c>
      <c r="D124" s="10">
        <v>1.0466</v>
      </c>
      <c r="E124" s="4">
        <v>121</v>
      </c>
      <c r="F124" s="12">
        <v>12.5</v>
      </c>
      <c r="G124" s="5">
        <v>3.12</v>
      </c>
      <c r="H124" s="5">
        <v>8.6999999999999993</v>
      </c>
      <c r="I124" s="12">
        <v>3.04E-2</v>
      </c>
      <c r="J124" s="12">
        <v>1.5599999999999999E-2</v>
      </c>
      <c r="K124" s="12">
        <v>3.0999999999999999E-3</v>
      </c>
      <c r="L124" s="12">
        <v>99.1</v>
      </c>
      <c r="M124" s="12">
        <v>0.6</v>
      </c>
      <c r="N124" s="12">
        <v>1.7</v>
      </c>
      <c r="O124" s="3">
        <v>312</v>
      </c>
    </row>
    <row r="125" spans="1:15" x14ac:dyDescent="0.2">
      <c r="A125" s="16">
        <v>57734</v>
      </c>
      <c r="B125" s="7" t="s">
        <v>140</v>
      </c>
      <c r="C125" s="2">
        <v>45594</v>
      </c>
      <c r="D125" s="10">
        <v>1.0459000000000001</v>
      </c>
      <c r="E125" s="4">
        <v>119</v>
      </c>
      <c r="F125" s="11">
        <v>12.43</v>
      </c>
      <c r="G125" s="5">
        <v>3.15</v>
      </c>
      <c r="H125" s="5">
        <v>7.1750000000000007</v>
      </c>
      <c r="I125" s="12">
        <v>4.2299999999999997E-2</v>
      </c>
      <c r="J125" s="12">
        <v>2.0199999999999999E-2</v>
      </c>
      <c r="K125" s="12">
        <v>3.3999999999999998E-3</v>
      </c>
      <c r="L125" s="12">
        <v>98.8</v>
      </c>
      <c r="M125" s="12">
        <v>0.7</v>
      </c>
      <c r="N125" s="12">
        <v>2.6</v>
      </c>
      <c r="O125" s="3">
        <v>976</v>
      </c>
    </row>
    <row r="126" spans="1:15" x14ac:dyDescent="0.2">
      <c r="A126" s="16">
        <v>57735</v>
      </c>
      <c r="B126" s="7" t="s">
        <v>141</v>
      </c>
      <c r="C126" s="2">
        <v>45594</v>
      </c>
      <c r="D126" s="10">
        <v>1.0466</v>
      </c>
      <c r="E126" s="4">
        <v>120.8</v>
      </c>
      <c r="F126" s="12">
        <v>12.61</v>
      </c>
      <c r="G126" s="5">
        <v>4.33</v>
      </c>
      <c r="H126" s="5">
        <v>1.9</v>
      </c>
      <c r="I126" s="12">
        <v>1.4394</v>
      </c>
      <c r="J126" s="12">
        <v>0.22059999999999999</v>
      </c>
      <c r="K126" s="12">
        <v>3.49E-2</v>
      </c>
      <c r="L126" s="12">
        <v>97.2</v>
      </c>
      <c r="M126" s="12">
        <v>2.5</v>
      </c>
      <c r="N126" s="12">
        <v>72.3</v>
      </c>
      <c r="O126" s="3">
        <v>937</v>
      </c>
    </row>
    <row r="127" spans="1:15" x14ac:dyDescent="0.2">
      <c r="A127" s="16">
        <v>57736</v>
      </c>
      <c r="B127" s="7" t="s">
        <v>142</v>
      </c>
      <c r="C127" s="2">
        <v>45594</v>
      </c>
      <c r="D127" s="10">
        <v>1.0387999999999999</v>
      </c>
      <c r="E127" s="4">
        <v>100.7</v>
      </c>
      <c r="F127" s="12">
        <v>9.9600000000000009</v>
      </c>
      <c r="G127" s="5">
        <v>3.03</v>
      </c>
      <c r="H127" s="5">
        <v>12.25</v>
      </c>
      <c r="I127" s="12">
        <v>0.3211</v>
      </c>
      <c r="J127" s="12">
        <v>0.21299999999999999</v>
      </c>
      <c r="K127" s="12">
        <v>2.0199999999999999E-2</v>
      </c>
      <c r="L127" s="12">
        <v>89.7</v>
      </c>
      <c r="M127" s="12">
        <v>11.4</v>
      </c>
      <c r="N127" s="12">
        <v>18</v>
      </c>
      <c r="O127" s="3">
        <v>670</v>
      </c>
    </row>
    <row r="128" spans="1:15" x14ac:dyDescent="0.2">
      <c r="A128" s="16">
        <v>57737</v>
      </c>
      <c r="B128" s="7" t="s">
        <v>143</v>
      </c>
      <c r="C128" s="2">
        <v>45594</v>
      </c>
      <c r="D128" s="10">
        <v>1.0479000000000001</v>
      </c>
      <c r="E128" s="4">
        <v>124.3</v>
      </c>
      <c r="F128" s="12">
        <v>12.69</v>
      </c>
      <c r="G128" s="5">
        <v>3.12</v>
      </c>
      <c r="H128" s="5">
        <v>9.9750000000000014</v>
      </c>
      <c r="I128" s="12">
        <v>4.2000000000000003E-2</v>
      </c>
      <c r="J128" s="12">
        <v>2.53E-2</v>
      </c>
      <c r="K128" s="12">
        <v>1.0200000000000001E-2</v>
      </c>
      <c r="L128" s="12">
        <v>98.4</v>
      </c>
      <c r="M128" s="12">
        <v>0.7</v>
      </c>
      <c r="N128" s="12">
        <v>1.9</v>
      </c>
      <c r="O128" s="3">
        <v>251</v>
      </c>
    </row>
    <row r="129" spans="1:15" x14ac:dyDescent="0.2">
      <c r="A129" s="16">
        <v>57738</v>
      </c>
      <c r="B129" s="7" t="s">
        <v>144</v>
      </c>
      <c r="C129" s="2">
        <v>45594</v>
      </c>
      <c r="D129" s="10">
        <v>1.0432999999999999</v>
      </c>
      <c r="E129" s="4">
        <v>112.3</v>
      </c>
      <c r="F129" s="12">
        <v>12</v>
      </c>
      <c r="G129" s="5">
        <v>3.14</v>
      </c>
      <c r="H129" s="5">
        <v>13.125</v>
      </c>
      <c r="I129" s="12">
        <v>6.7900000000000002E-2</v>
      </c>
      <c r="J129" s="12">
        <v>2.46E-2</v>
      </c>
      <c r="K129" s="12">
        <v>8.6E-3</v>
      </c>
      <c r="L129" s="12">
        <v>98.3</v>
      </c>
      <c r="M129" s="12">
        <v>0</v>
      </c>
      <c r="N129" s="12">
        <v>4.8</v>
      </c>
      <c r="O129" s="3">
        <v>306</v>
      </c>
    </row>
    <row r="130" spans="1:15" x14ac:dyDescent="0.2">
      <c r="A130" s="16">
        <v>57739</v>
      </c>
      <c r="B130" s="7" t="s">
        <v>145</v>
      </c>
      <c r="C130" s="2">
        <v>45594</v>
      </c>
      <c r="D130" s="10">
        <v>1.0385</v>
      </c>
      <c r="E130" s="4">
        <v>99.8</v>
      </c>
      <c r="F130" s="12">
        <v>9.9499999999999993</v>
      </c>
      <c r="G130" s="5">
        <v>3.06</v>
      </c>
      <c r="H130" s="5">
        <v>11.399999999999999</v>
      </c>
      <c r="I130" s="12">
        <v>0.43419999999999997</v>
      </c>
      <c r="J130" s="12">
        <v>0.32929999999999998</v>
      </c>
      <c r="K130" s="12">
        <v>4.0500000000000001E-2</v>
      </c>
      <c r="L130" s="12">
        <v>84.9</v>
      </c>
      <c r="M130" s="12">
        <v>17</v>
      </c>
      <c r="N130" s="12">
        <v>23.1</v>
      </c>
      <c r="O130" s="3">
        <v>610</v>
      </c>
    </row>
    <row r="131" spans="1:15" x14ac:dyDescent="0.2">
      <c r="A131" s="16">
        <v>57755</v>
      </c>
      <c r="B131" s="7" t="s">
        <v>127</v>
      </c>
      <c r="C131" s="2">
        <v>45595</v>
      </c>
      <c r="D131" s="10">
        <v>1.0365</v>
      </c>
      <c r="E131" s="4">
        <v>94.6</v>
      </c>
      <c r="F131" s="12">
        <v>9.4499999999999993</v>
      </c>
      <c r="G131" s="5">
        <v>3.09</v>
      </c>
      <c r="H131" s="5">
        <v>6.78</v>
      </c>
      <c r="I131" s="6">
        <v>0.16159999999999999</v>
      </c>
      <c r="J131" s="6">
        <v>3.6200000000000003E-2</v>
      </c>
      <c r="K131" s="6">
        <v>8.3999999999999995E-3</v>
      </c>
      <c r="L131" s="5">
        <v>97.467330494797878</v>
      </c>
      <c r="M131" s="5">
        <v>-1.3108450176624875</v>
      </c>
      <c r="N131" s="5">
        <v>12.498510606302894</v>
      </c>
      <c r="O131" s="3">
        <v>350</v>
      </c>
    </row>
    <row r="132" spans="1:15" x14ac:dyDescent="0.2">
      <c r="A132" s="16">
        <v>57756</v>
      </c>
      <c r="B132" s="7" t="s">
        <v>146</v>
      </c>
      <c r="C132" s="2">
        <v>45595</v>
      </c>
      <c r="D132" s="10">
        <v>1.0481</v>
      </c>
      <c r="E132" s="4">
        <v>124.9</v>
      </c>
      <c r="F132" s="12">
        <v>12.83</v>
      </c>
      <c r="G132" s="5">
        <v>3.22</v>
      </c>
      <c r="H132" s="5">
        <v>7.18</v>
      </c>
      <c r="I132" s="6">
        <v>4.2099999999999999E-2</v>
      </c>
      <c r="J132" s="6">
        <v>1.32E-2</v>
      </c>
      <c r="K132" s="6">
        <v>3.0000000000000001E-3</v>
      </c>
      <c r="L132" s="5">
        <v>99.120389409679532</v>
      </c>
      <c r="M132" s="5">
        <v>-5.4858693367076938E-2</v>
      </c>
      <c r="N132" s="5">
        <v>2.7433944928377141</v>
      </c>
      <c r="O132" s="3">
        <v>668</v>
      </c>
    </row>
    <row r="133" spans="1:15" x14ac:dyDescent="0.2">
      <c r="A133" s="16">
        <v>57757</v>
      </c>
      <c r="B133" s="7" t="s">
        <v>147</v>
      </c>
      <c r="C133" s="2">
        <v>45595</v>
      </c>
      <c r="D133" s="10">
        <v>1.0416000000000001</v>
      </c>
      <c r="E133" s="4">
        <v>108</v>
      </c>
      <c r="F133" s="12">
        <v>11.94</v>
      </c>
      <c r="G133" s="5">
        <v>4.38</v>
      </c>
      <c r="H133" s="5">
        <v>1.05</v>
      </c>
      <c r="I133" s="6">
        <v>0.7107</v>
      </c>
      <c r="J133" s="6">
        <v>8.2000000000000003E-2</v>
      </c>
      <c r="K133" s="6">
        <v>1.5599999999999999E-2</v>
      </c>
      <c r="L133" s="5">
        <v>94.202097821921399</v>
      </c>
      <c r="M133" s="5">
        <v>-5.8008901973073961</v>
      </c>
      <c r="N133" s="5">
        <v>44.850053694297841</v>
      </c>
      <c r="O133" s="3">
        <v>582</v>
      </c>
    </row>
    <row r="134" spans="1:15" x14ac:dyDescent="0.2">
      <c r="A134" s="16">
        <v>57758</v>
      </c>
      <c r="B134" s="7" t="s">
        <v>148</v>
      </c>
      <c r="C134" s="2">
        <v>45595</v>
      </c>
      <c r="D134" s="10">
        <v>1.0382</v>
      </c>
      <c r="E134" s="4">
        <v>99</v>
      </c>
      <c r="F134" s="12">
        <v>9.93</v>
      </c>
      <c r="G134" s="5">
        <v>3.21</v>
      </c>
      <c r="H134" s="5">
        <v>5.55</v>
      </c>
      <c r="I134" s="6">
        <v>4.41E-2</v>
      </c>
      <c r="J134" s="6">
        <v>4.5100000000000001E-2</v>
      </c>
      <c r="K134" s="6">
        <v>6.1999999999999998E-3</v>
      </c>
      <c r="L134" s="5">
        <v>97.819024107069325</v>
      </c>
      <c r="M134" s="5">
        <v>2.8558991542166901</v>
      </c>
      <c r="N134" s="5">
        <v>2.0887474719882615</v>
      </c>
      <c r="O134" s="3">
        <v>278</v>
      </c>
    </row>
    <row r="135" spans="1:15" x14ac:dyDescent="0.2">
      <c r="A135" s="16">
        <v>57759</v>
      </c>
      <c r="B135" s="7" t="s">
        <v>149</v>
      </c>
      <c r="C135" s="2">
        <v>45595</v>
      </c>
      <c r="D135" s="10">
        <v>1.0422</v>
      </c>
      <c r="E135" s="4">
        <v>109.5</v>
      </c>
      <c r="F135" s="11">
        <v>12.02</v>
      </c>
      <c r="G135" s="5">
        <v>3.29</v>
      </c>
      <c r="H135" s="5">
        <v>6.15</v>
      </c>
      <c r="I135" s="6">
        <v>0.2</v>
      </c>
      <c r="J135" s="6">
        <v>5.2699999999999997E-2</v>
      </c>
      <c r="K135" s="6">
        <v>2.0500000000000001E-2</v>
      </c>
      <c r="L135" s="5">
        <v>96.085173702487353</v>
      </c>
      <c r="M135" s="5">
        <v>-1.5313729711488033</v>
      </c>
      <c r="N135" s="5">
        <v>14.571626860234389</v>
      </c>
      <c r="O135" s="3">
        <v>375</v>
      </c>
    </row>
    <row r="136" spans="1:15" x14ac:dyDescent="0.2">
      <c r="A136" s="16">
        <v>57760</v>
      </c>
      <c r="B136" s="7" t="s">
        <v>150</v>
      </c>
      <c r="C136" s="2">
        <v>45595</v>
      </c>
      <c r="D136" s="10">
        <v>1.0467</v>
      </c>
      <c r="E136" s="4">
        <v>121.2</v>
      </c>
      <c r="F136" s="11">
        <v>12.55</v>
      </c>
      <c r="G136" s="5">
        <v>3.22</v>
      </c>
      <c r="H136" s="5">
        <v>6.85</v>
      </c>
      <c r="I136" s="6">
        <v>0.28339999999999999</v>
      </c>
      <c r="J136" s="6">
        <v>8.9599999999999999E-2</v>
      </c>
      <c r="K136" s="6">
        <v>2.87E-2</v>
      </c>
      <c r="L136" s="5">
        <v>93.989002373048493</v>
      </c>
      <c r="M136" s="5">
        <v>-9.8793966273102996E-2</v>
      </c>
      <c r="N136" s="5">
        <v>20.008838894558778</v>
      </c>
      <c r="O136" s="3">
        <v>680</v>
      </c>
    </row>
    <row r="137" spans="1:15" x14ac:dyDescent="0.2">
      <c r="A137" s="16">
        <v>57761</v>
      </c>
      <c r="B137" s="7" t="s">
        <v>151</v>
      </c>
      <c r="C137" s="2">
        <v>45595</v>
      </c>
      <c r="D137" s="10">
        <v>1.0412999999999999</v>
      </c>
      <c r="E137" s="4">
        <v>107</v>
      </c>
      <c r="F137" s="12">
        <v>10.72</v>
      </c>
      <c r="G137" s="5">
        <v>3.18</v>
      </c>
      <c r="H137" s="5">
        <v>8.83</v>
      </c>
      <c r="I137" s="6">
        <v>0.47420000000000001</v>
      </c>
      <c r="J137" s="6">
        <v>0.57230000000000003</v>
      </c>
      <c r="K137" s="6">
        <v>3.49E-2</v>
      </c>
      <c r="L137" s="5">
        <v>78.068091401276504</v>
      </c>
      <c r="M137" s="5">
        <v>33.253242756810799</v>
      </c>
      <c r="N137" s="5">
        <v>20.640356456445907</v>
      </c>
      <c r="O137" s="3">
        <v>1137</v>
      </c>
    </row>
    <row r="138" spans="1:15" x14ac:dyDescent="0.2">
      <c r="A138" s="16">
        <v>57762</v>
      </c>
      <c r="B138" s="7" t="s">
        <v>152</v>
      </c>
      <c r="C138" s="2">
        <v>45595</v>
      </c>
      <c r="D138" s="10">
        <v>1.0427</v>
      </c>
      <c r="E138" s="4">
        <v>110.7</v>
      </c>
      <c r="F138" s="12">
        <v>12.01</v>
      </c>
      <c r="G138" s="5">
        <v>3.05</v>
      </c>
      <c r="H138" s="5">
        <v>9.6999999999999993</v>
      </c>
      <c r="I138" s="6">
        <v>0.12939999999999999</v>
      </c>
      <c r="J138" s="6">
        <v>4.2200000000000001E-2</v>
      </c>
      <c r="K138" s="6">
        <v>1.14E-2</v>
      </c>
      <c r="L138" s="5">
        <v>97.139733206754272</v>
      </c>
      <c r="M138" s="5">
        <v>-0.23496736878247937</v>
      </c>
      <c r="N138" s="5">
        <v>10.528379568478229</v>
      </c>
      <c r="O138" s="3">
        <v>657</v>
      </c>
    </row>
    <row r="139" spans="1:15" x14ac:dyDescent="0.2">
      <c r="A139" s="16">
        <v>57763</v>
      </c>
      <c r="B139" s="7" t="s">
        <v>153</v>
      </c>
      <c r="C139" s="2">
        <v>45595</v>
      </c>
      <c r="D139" s="10">
        <v>1.0351999999999999</v>
      </c>
      <c r="E139" s="4">
        <v>91.3</v>
      </c>
      <c r="F139" s="11">
        <v>8.9</v>
      </c>
      <c r="G139" s="5">
        <v>3.1</v>
      </c>
      <c r="H139" s="5">
        <v>6.65</v>
      </c>
      <c r="I139" s="6">
        <v>0.29210000000000003</v>
      </c>
      <c r="J139" s="6">
        <v>7.4499999999999997E-2</v>
      </c>
      <c r="K139" s="6">
        <v>2.3800000000000002E-2</v>
      </c>
      <c r="L139" s="5">
        <v>94.816429674075053</v>
      </c>
      <c r="M139" s="5">
        <v>-1.325730402633063</v>
      </c>
      <c r="N139" s="5">
        <v>20.445306386659844</v>
      </c>
      <c r="O139" s="3">
        <v>622</v>
      </c>
    </row>
    <row r="140" spans="1:15" x14ac:dyDescent="0.2">
      <c r="A140" s="16">
        <v>57764</v>
      </c>
      <c r="B140" s="7" t="s">
        <v>154</v>
      </c>
      <c r="C140" s="2">
        <v>45595</v>
      </c>
      <c r="D140" s="10">
        <v>1.0402</v>
      </c>
      <c r="E140" s="4">
        <v>104.2</v>
      </c>
      <c r="F140" s="11">
        <v>10.39</v>
      </c>
      <c r="G140" s="5">
        <v>3.38</v>
      </c>
      <c r="H140" s="5">
        <v>5.85</v>
      </c>
      <c r="I140" s="6">
        <v>0.28660000000000002</v>
      </c>
      <c r="J140" s="6">
        <v>6.9500000000000006E-2</v>
      </c>
      <c r="K140" s="6">
        <v>1.95E-2</v>
      </c>
      <c r="L140" s="5">
        <v>95.179370544763515</v>
      </c>
      <c r="M140" s="5">
        <v>-1.3314102534834893</v>
      </c>
      <c r="N140" s="5">
        <v>20.446061885432055</v>
      </c>
      <c r="O140" s="3">
        <v>403</v>
      </c>
    </row>
    <row r="141" spans="1:15" x14ac:dyDescent="0.2">
      <c r="A141" s="16">
        <v>57765</v>
      </c>
      <c r="B141" s="7" t="s">
        <v>164</v>
      </c>
      <c r="C141" s="2">
        <v>45595</v>
      </c>
      <c r="D141" s="10">
        <v>1.0367</v>
      </c>
      <c r="E141" s="4">
        <v>95.1</v>
      </c>
      <c r="F141" s="12">
        <v>9.64</v>
      </c>
      <c r="G141" s="5">
        <v>4.08</v>
      </c>
      <c r="H141" s="5">
        <v>1.63</v>
      </c>
      <c r="I141" s="6">
        <v>0.81079999999999997</v>
      </c>
      <c r="J141" s="6">
        <v>0.1351</v>
      </c>
      <c r="K141" s="6">
        <v>3.49E-2</v>
      </c>
      <c r="L141" s="5">
        <v>90.949793896346364</v>
      </c>
      <c r="M141" s="5">
        <v>-2.615471312274853</v>
      </c>
      <c r="N141" s="5">
        <v>46.741623975888103</v>
      </c>
      <c r="O141" s="3">
        <v>1170</v>
      </c>
    </row>
    <row r="142" spans="1:15" x14ac:dyDescent="0.2">
      <c r="A142" s="16">
        <v>57766</v>
      </c>
      <c r="B142" s="7" t="s">
        <v>155</v>
      </c>
      <c r="C142" s="2">
        <v>45595</v>
      </c>
      <c r="D142" s="10">
        <v>1.0367999999999999</v>
      </c>
      <c r="E142" s="4">
        <v>95.4</v>
      </c>
      <c r="F142" s="12">
        <v>9.31</v>
      </c>
      <c r="G142" s="5">
        <v>2.91</v>
      </c>
      <c r="H142" s="5">
        <v>18.079999999999998</v>
      </c>
      <c r="I142" s="6">
        <v>1.1681999999999999</v>
      </c>
      <c r="J142" s="6">
        <v>3.2021999999999999</v>
      </c>
      <c r="K142" s="6">
        <v>7.3800000000000004E-2</v>
      </c>
      <c r="L142" s="5">
        <v>51.854869269477817</v>
      </c>
      <c r="M142" s="5">
        <v>70.628944274972454</v>
      </c>
      <c r="N142" s="5">
        <v>53.577074916928765</v>
      </c>
      <c r="O142" s="3">
        <v>914</v>
      </c>
    </row>
    <row r="143" spans="1:15" x14ac:dyDescent="0.2">
      <c r="A143" s="16">
        <v>57767</v>
      </c>
      <c r="B143" s="7" t="s">
        <v>156</v>
      </c>
      <c r="C143" s="2">
        <v>45595</v>
      </c>
      <c r="D143" s="10">
        <v>1.0437000000000001</v>
      </c>
      <c r="E143" s="4">
        <v>113.5</v>
      </c>
      <c r="F143" s="12">
        <v>12.15</v>
      </c>
      <c r="G143" s="5">
        <v>3.27</v>
      </c>
      <c r="H143" s="5">
        <v>9</v>
      </c>
      <c r="I143" s="6">
        <v>0.2838</v>
      </c>
      <c r="J143" s="6">
        <v>0.24210000000000001</v>
      </c>
      <c r="K143" s="6">
        <v>2.7199999999999998E-2</v>
      </c>
      <c r="L143" s="5">
        <v>88.712088667885155</v>
      </c>
      <c r="M143" s="5">
        <v>13.589646225837527</v>
      </c>
      <c r="N143" s="5">
        <v>15.733050835019835</v>
      </c>
      <c r="O143" s="3">
        <v>460</v>
      </c>
    </row>
    <row r="144" spans="1:15" x14ac:dyDescent="0.2">
      <c r="A144" s="16">
        <v>57768</v>
      </c>
      <c r="B144" s="7" t="s">
        <v>157</v>
      </c>
      <c r="C144" s="2">
        <v>45595</v>
      </c>
      <c r="D144" s="10">
        <v>1.0426</v>
      </c>
      <c r="E144" s="4">
        <v>110.6</v>
      </c>
      <c r="F144" s="12">
        <v>12.23</v>
      </c>
      <c r="G144" s="5">
        <v>3.25</v>
      </c>
      <c r="H144" s="5">
        <v>1.75</v>
      </c>
      <c r="I144" s="6">
        <v>0.97140000000000004</v>
      </c>
      <c r="J144" s="6">
        <v>0.1671</v>
      </c>
      <c r="K144" s="6">
        <v>4.2000000000000003E-2</v>
      </c>
      <c r="L144" s="5">
        <v>89.26549531629199</v>
      </c>
      <c r="M144" s="5">
        <v>-1.0186206244529039</v>
      </c>
      <c r="N144" s="5">
        <v>51.94558436156256</v>
      </c>
      <c r="O144" s="3">
        <v>262</v>
      </c>
    </row>
    <row r="145" spans="1:15" x14ac:dyDescent="0.2">
      <c r="A145" s="16">
        <v>57769</v>
      </c>
      <c r="B145" s="7" t="s">
        <v>158</v>
      </c>
      <c r="C145" s="2">
        <v>45595</v>
      </c>
      <c r="D145" s="10">
        <v>1.0394000000000001</v>
      </c>
      <c r="E145" s="4">
        <v>102.1</v>
      </c>
      <c r="F145" s="11">
        <v>10.039999999999999</v>
      </c>
      <c r="G145" s="5">
        <v>2.92</v>
      </c>
      <c r="H145" s="5">
        <v>15.75</v>
      </c>
      <c r="I145" s="6">
        <v>0.90629999999999999</v>
      </c>
      <c r="J145" s="6">
        <v>2.5712000000000002</v>
      </c>
      <c r="K145" s="6">
        <v>6.13E-2</v>
      </c>
      <c r="L145" s="5">
        <v>57.610992044635779</v>
      </c>
      <c r="M145" s="5">
        <v>66.916912289665177</v>
      </c>
      <c r="N145" s="5">
        <v>45.89444498814165</v>
      </c>
      <c r="O145" s="3">
        <v>414</v>
      </c>
    </row>
    <row r="146" spans="1:15" x14ac:dyDescent="0.2">
      <c r="A146" s="16">
        <v>57770</v>
      </c>
      <c r="B146" s="7" t="s">
        <v>159</v>
      </c>
      <c r="C146" s="2">
        <v>45595</v>
      </c>
      <c r="D146" s="10">
        <v>1.0385</v>
      </c>
      <c r="E146" s="4">
        <v>99.8</v>
      </c>
      <c r="F146" s="12">
        <v>9.86</v>
      </c>
      <c r="G146" s="5">
        <v>3.06</v>
      </c>
      <c r="H146" s="5">
        <v>12.18</v>
      </c>
      <c r="I146" s="6">
        <v>0.8165</v>
      </c>
      <c r="J146" s="6">
        <v>0.56659999999999999</v>
      </c>
      <c r="K146" s="6">
        <v>0.44850000000000001</v>
      </c>
      <c r="L146" s="5">
        <v>61.487352338378273</v>
      </c>
      <c r="M146" s="5">
        <v>2.2172741141189833</v>
      </c>
      <c r="N146" s="5">
        <v>17.672727517488251</v>
      </c>
      <c r="O146" s="3">
        <v>237</v>
      </c>
    </row>
    <row r="147" spans="1:15" x14ac:dyDescent="0.2">
      <c r="A147" s="16">
        <v>57771</v>
      </c>
      <c r="B147" s="7" t="s">
        <v>160</v>
      </c>
      <c r="C147" s="2">
        <v>45595</v>
      </c>
      <c r="D147" s="10">
        <v>1.0392999999999999</v>
      </c>
      <c r="E147" s="4">
        <v>102</v>
      </c>
      <c r="F147" s="11">
        <v>10.27</v>
      </c>
      <c r="G147" s="5">
        <v>3.26</v>
      </c>
      <c r="H147" s="5">
        <v>7.43</v>
      </c>
      <c r="I147" s="6">
        <v>0.43619999999999998</v>
      </c>
      <c r="J147" s="6">
        <v>0.13569999999999999</v>
      </c>
      <c r="K147" s="6">
        <v>3.2599999999999997E-2</v>
      </c>
      <c r="L147" s="5">
        <v>91.474921643472442</v>
      </c>
      <c r="M147" s="5">
        <v>1.6366903785922093</v>
      </c>
      <c r="N147" s="5">
        <v>28.259785124110735</v>
      </c>
      <c r="O147" s="3">
        <v>721</v>
      </c>
    </row>
    <row r="148" spans="1:15" x14ac:dyDescent="0.2">
      <c r="A148" s="16">
        <v>57772</v>
      </c>
      <c r="B148" s="7" t="s">
        <v>161</v>
      </c>
      <c r="C148" s="2">
        <v>45595</v>
      </c>
      <c r="D148" s="10">
        <v>1.0531999999999999</v>
      </c>
      <c r="E148" s="4">
        <v>138.19999999999999</v>
      </c>
      <c r="F148" s="12">
        <v>13.64</v>
      </c>
      <c r="G148" s="5">
        <v>4.1100000000000003</v>
      </c>
      <c r="H148" s="5">
        <v>8.83</v>
      </c>
      <c r="I148" s="6">
        <v>0.4506</v>
      </c>
      <c r="J148" s="6">
        <v>0.11609999999999999</v>
      </c>
      <c r="K148" s="6">
        <v>3.39E-2</v>
      </c>
      <c r="L148" s="5">
        <v>92.134812557130388</v>
      </c>
      <c r="M148" s="5">
        <v>-1.3378764236558482</v>
      </c>
      <c r="N148" s="5">
        <v>35.174553050818801</v>
      </c>
      <c r="O148" s="3">
        <v>854</v>
      </c>
    </row>
    <row r="149" spans="1:15" x14ac:dyDescent="0.2">
      <c r="A149" s="16">
        <v>57773</v>
      </c>
      <c r="B149" s="7" t="s">
        <v>162</v>
      </c>
      <c r="C149" s="2">
        <v>45595</v>
      </c>
      <c r="D149" s="10">
        <v>1.0406</v>
      </c>
      <c r="E149" s="4">
        <v>105.3</v>
      </c>
      <c r="F149" s="12">
        <v>10.51</v>
      </c>
      <c r="G149" s="5">
        <v>3.31</v>
      </c>
      <c r="H149" s="5">
        <v>6.68</v>
      </c>
      <c r="I149" s="6">
        <v>0.2843</v>
      </c>
      <c r="J149" s="6">
        <v>7.8100000000000003E-2</v>
      </c>
      <c r="K149" s="6">
        <v>2.8799999999999999E-2</v>
      </c>
      <c r="L149" s="5">
        <v>94.451685314171769</v>
      </c>
      <c r="M149" s="5">
        <v>-1.3158175914036452</v>
      </c>
      <c r="N149" s="5">
        <v>19.326074509756232</v>
      </c>
      <c r="O149" s="3">
        <v>513</v>
      </c>
    </row>
    <row r="150" spans="1:15" x14ac:dyDescent="0.2">
      <c r="A150" s="16">
        <v>57774</v>
      </c>
      <c r="B150" s="7" t="s">
        <v>163</v>
      </c>
      <c r="C150" s="2">
        <v>45595</v>
      </c>
      <c r="D150" s="10">
        <v>1.0374000000000001</v>
      </c>
      <c r="E150" s="4">
        <v>97</v>
      </c>
      <c r="F150" s="11">
        <v>9.57</v>
      </c>
      <c r="G150" s="5">
        <v>2.95</v>
      </c>
      <c r="H150" s="5">
        <v>13.95</v>
      </c>
      <c r="I150" s="6">
        <v>0.53110000000000002</v>
      </c>
      <c r="J150" s="6">
        <v>0.87519999999999998</v>
      </c>
      <c r="K150" s="6">
        <v>2.9600000000000001E-2</v>
      </c>
      <c r="L150" s="5">
        <v>72.675790028851637</v>
      </c>
      <c r="M150" s="5">
        <v>46.356011186851845</v>
      </c>
      <c r="N150" s="5">
        <v>23.594490318509663</v>
      </c>
      <c r="O150" s="3">
        <v>978</v>
      </c>
    </row>
    <row r="151" spans="1:15" x14ac:dyDescent="0.2">
      <c r="A151" s="15">
        <v>57851</v>
      </c>
      <c r="B151" s="7" t="s">
        <v>165</v>
      </c>
      <c r="C151" s="2">
        <v>45601</v>
      </c>
      <c r="D151" s="10">
        <v>1.0463199999999999</v>
      </c>
      <c r="E151" s="4">
        <v>120.21908568709387</v>
      </c>
      <c r="F151" s="5">
        <v>7.16</v>
      </c>
      <c r="G151" s="5">
        <v>2.92</v>
      </c>
      <c r="H151" s="5">
        <v>8.75</v>
      </c>
      <c r="I151" s="6">
        <v>3.5799999999999998E-2</v>
      </c>
      <c r="J151" s="6">
        <v>1.5900000000000001E-2</v>
      </c>
      <c r="K151" s="6">
        <v>-7.9000000000000008E-3</v>
      </c>
      <c r="L151" s="5">
        <v>99.6</v>
      </c>
      <c r="M151" s="5">
        <v>1.2</v>
      </c>
      <c r="N151" s="5">
        <v>3.1</v>
      </c>
      <c r="O151" s="12">
        <v>441</v>
      </c>
    </row>
    <row r="152" spans="1:15" x14ac:dyDescent="0.2">
      <c r="A152" s="15">
        <v>57852</v>
      </c>
      <c r="B152" s="7" t="s">
        <v>166</v>
      </c>
      <c r="C152" s="2">
        <v>45601</v>
      </c>
      <c r="D152" s="10">
        <v>1.0400199999999999</v>
      </c>
      <c r="E152" s="4">
        <v>103.80559503160111</v>
      </c>
      <c r="F152" s="5">
        <v>7.0600000000000005</v>
      </c>
      <c r="G152" s="5">
        <v>4.62</v>
      </c>
      <c r="H152" s="5">
        <v>1.1000000000000001</v>
      </c>
      <c r="I152" s="6">
        <v>1.7389999999999999</v>
      </c>
      <c r="J152" s="6">
        <v>0.20650000000000002</v>
      </c>
      <c r="K152" s="6">
        <v>4.5999999999999999E-2</v>
      </c>
      <c r="L152" s="5">
        <v>87.5</v>
      </c>
      <c r="M152" s="5">
        <v>-0.3</v>
      </c>
      <c r="N152" s="5">
        <v>77.099999999999994</v>
      </c>
      <c r="O152" s="12">
        <v>883</v>
      </c>
    </row>
    <row r="153" spans="1:15" x14ac:dyDescent="0.2">
      <c r="A153" s="15">
        <v>57853</v>
      </c>
      <c r="B153" s="7" t="s">
        <v>167</v>
      </c>
      <c r="C153" s="2">
        <v>45601</v>
      </c>
      <c r="D153" s="10">
        <v>1.05159</v>
      </c>
      <c r="E153" s="4">
        <v>133.96491102240407</v>
      </c>
      <c r="F153" s="5">
        <v>6.3250000000000002</v>
      </c>
      <c r="G153" s="5">
        <v>2.96</v>
      </c>
      <c r="H153" s="5">
        <v>15.9</v>
      </c>
      <c r="I153" s="6">
        <v>4.1799999999999997E-2</v>
      </c>
      <c r="J153" s="6">
        <v>1.6199999999999999E-2</v>
      </c>
      <c r="K153" s="6">
        <v>-7.3000000000000001E-3</v>
      </c>
      <c r="L153" s="5">
        <v>99.5</v>
      </c>
      <c r="M153" s="5">
        <v>1</v>
      </c>
      <c r="N153" s="5">
        <v>3.4</v>
      </c>
      <c r="O153" s="12">
        <v>429</v>
      </c>
    </row>
    <row r="154" spans="1:15" x14ac:dyDescent="0.2">
      <c r="A154" s="15">
        <v>57854</v>
      </c>
      <c r="B154" s="7" t="s">
        <v>168</v>
      </c>
      <c r="C154" s="2">
        <v>45601</v>
      </c>
      <c r="D154" s="10">
        <v>1.04118</v>
      </c>
      <c r="E154" s="4">
        <v>106.82622951964777</v>
      </c>
      <c r="F154" s="5">
        <v>10.07</v>
      </c>
      <c r="G154" s="5">
        <v>3</v>
      </c>
      <c r="H154" s="5">
        <v>10.75</v>
      </c>
      <c r="I154" s="6">
        <v>0.37759999999999999</v>
      </c>
      <c r="J154" s="6">
        <v>1.0427</v>
      </c>
      <c r="K154" s="6">
        <v>1.4E-2</v>
      </c>
      <c r="L154" s="5">
        <v>71.099999999999994</v>
      </c>
      <c r="M154" s="5">
        <v>55.1</v>
      </c>
      <c r="N154" s="5">
        <v>13.3</v>
      </c>
      <c r="O154" s="12">
        <v>496</v>
      </c>
    </row>
    <row r="155" spans="1:15" x14ac:dyDescent="0.2">
      <c r="A155" s="15">
        <v>57855</v>
      </c>
      <c r="B155" s="7" t="s">
        <v>169</v>
      </c>
      <c r="C155" s="2">
        <v>45601</v>
      </c>
      <c r="D155" s="10">
        <v>1.0422400000000001</v>
      </c>
      <c r="E155" s="4">
        <v>109.58706697987054</v>
      </c>
      <c r="F155" s="5">
        <v>7.0649999999999995</v>
      </c>
      <c r="G155" s="5">
        <v>3.09</v>
      </c>
      <c r="H155" s="5">
        <v>8.98</v>
      </c>
      <c r="I155" s="6">
        <v>0.40100000000000002</v>
      </c>
      <c r="J155" s="6">
        <v>0.37290000000000001</v>
      </c>
      <c r="K155" s="6">
        <v>1.41E-2</v>
      </c>
      <c r="L155" s="5">
        <v>84.4</v>
      </c>
      <c r="M155" s="5">
        <v>23.2</v>
      </c>
      <c r="N155" s="5">
        <v>20.7</v>
      </c>
      <c r="O155" s="12">
        <v>1534</v>
      </c>
    </row>
    <row r="156" spans="1:15" x14ac:dyDescent="0.2">
      <c r="A156" s="15">
        <v>57856</v>
      </c>
      <c r="B156" s="7" t="s">
        <v>170</v>
      </c>
      <c r="C156" s="2">
        <v>45601</v>
      </c>
      <c r="D156" s="10">
        <v>1.03935</v>
      </c>
      <c r="E156" s="4">
        <v>102.06123134005202</v>
      </c>
      <c r="F156" s="5">
        <v>5.1449999999999996</v>
      </c>
      <c r="G156" s="5">
        <v>3.06</v>
      </c>
      <c r="H156" s="5">
        <v>10.08</v>
      </c>
      <c r="I156" s="6">
        <v>0.5877</v>
      </c>
      <c r="J156" s="6">
        <v>1.5879000000000001</v>
      </c>
      <c r="K156" s="6">
        <v>2.6100000000000002E-2</v>
      </c>
      <c r="L156" s="5">
        <v>64.3</v>
      </c>
      <c r="M156" s="5">
        <v>63.3</v>
      </c>
      <c r="N156" s="5">
        <v>26.4</v>
      </c>
      <c r="O156" s="12">
        <v>590</v>
      </c>
    </row>
    <row r="157" spans="1:15" x14ac:dyDescent="0.2">
      <c r="A157" s="15">
        <v>57857</v>
      </c>
      <c r="B157" s="7" t="s">
        <v>171</v>
      </c>
      <c r="C157" s="2">
        <v>45601</v>
      </c>
      <c r="D157" s="10">
        <v>1.04725</v>
      </c>
      <c r="E157" s="4">
        <v>122.64376644308413</v>
      </c>
      <c r="F157" s="5">
        <v>8.39</v>
      </c>
      <c r="G157" s="5">
        <v>4.2699999999999996</v>
      </c>
      <c r="H157" s="5">
        <v>2.13</v>
      </c>
      <c r="I157" s="6">
        <v>0.96899999999999997</v>
      </c>
      <c r="J157" s="6">
        <v>0.189</v>
      </c>
      <c r="K157" s="6">
        <v>3.7499999999999999E-2</v>
      </c>
      <c r="L157" s="5">
        <v>88.5</v>
      </c>
      <c r="M157" s="5">
        <v>1.1000000000000001</v>
      </c>
      <c r="N157" s="5">
        <v>55.8</v>
      </c>
      <c r="O157" s="12">
        <v>1081</v>
      </c>
    </row>
    <row r="158" spans="1:15" x14ac:dyDescent="0.2">
      <c r="A158" s="15">
        <v>57858</v>
      </c>
      <c r="B158" s="7" t="s">
        <v>172</v>
      </c>
      <c r="C158" s="2">
        <v>45601</v>
      </c>
      <c r="D158" s="10">
        <v>1.04077</v>
      </c>
      <c r="E158" s="4">
        <v>105.75851283938209</v>
      </c>
      <c r="F158" s="5">
        <v>7.6749999999999998</v>
      </c>
      <c r="G158" s="5">
        <v>3.29</v>
      </c>
      <c r="H158" s="5">
        <v>8.73</v>
      </c>
      <c r="I158" s="6">
        <v>0.28089999999999998</v>
      </c>
      <c r="J158" s="6">
        <v>5.8200000000000002E-2</v>
      </c>
      <c r="K158" s="6">
        <v>8.2000000000000007E-3</v>
      </c>
      <c r="L158" s="5">
        <v>96.2</v>
      </c>
      <c r="M158" s="5">
        <v>-1.6</v>
      </c>
      <c r="N158" s="5">
        <v>21.3</v>
      </c>
      <c r="O158" s="12">
        <v>621</v>
      </c>
    </row>
    <row r="159" spans="1:15" x14ac:dyDescent="0.2">
      <c r="A159" s="15">
        <v>57859</v>
      </c>
      <c r="B159" s="7" t="s">
        <v>173</v>
      </c>
      <c r="C159" s="2">
        <v>45601</v>
      </c>
      <c r="D159" s="10">
        <v>1.0346500000000001</v>
      </c>
      <c r="E159" s="4">
        <v>89.831058741577181</v>
      </c>
      <c r="F159" s="5">
        <v>5.8849999999999998</v>
      </c>
      <c r="G159" s="5">
        <v>3.06</v>
      </c>
      <c r="H159" s="5">
        <v>12.4</v>
      </c>
      <c r="I159" s="6">
        <v>0.25669999999999998</v>
      </c>
      <c r="J159" s="6">
        <v>0.63429999999999997</v>
      </c>
      <c r="K159" s="6">
        <v>1.1299999999999999E-2</v>
      </c>
      <c r="L159" s="5">
        <v>78.3</v>
      </c>
      <c r="M159" s="5">
        <v>41.5</v>
      </c>
      <c r="N159" s="5">
        <v>7.1</v>
      </c>
      <c r="O159" s="12">
        <v>457</v>
      </c>
    </row>
    <row r="160" spans="1:15" x14ac:dyDescent="0.2">
      <c r="A160" s="15">
        <v>57860</v>
      </c>
      <c r="B160" s="7" t="s">
        <v>174</v>
      </c>
      <c r="C160" s="2">
        <v>45601</v>
      </c>
      <c r="D160" s="10">
        <v>1.0437799999999999</v>
      </c>
      <c r="E160" s="4">
        <v>113.59912353208983</v>
      </c>
      <c r="F160" s="5">
        <v>8.27</v>
      </c>
      <c r="G160" s="5">
        <v>3.33</v>
      </c>
      <c r="H160" s="5">
        <v>7.13</v>
      </c>
      <c r="I160" s="6">
        <v>0.4012</v>
      </c>
      <c r="J160" s="6">
        <v>8.5099999999999995E-2</v>
      </c>
      <c r="K160" s="6">
        <v>1.8200000000000001E-2</v>
      </c>
      <c r="L160" s="5">
        <v>94.2</v>
      </c>
      <c r="M160" s="5">
        <v>-2.1</v>
      </c>
      <c r="N160" s="5">
        <v>30.4</v>
      </c>
      <c r="O160" s="12">
        <v>495</v>
      </c>
    </row>
    <row r="161" spans="1:15" x14ac:dyDescent="0.2">
      <c r="A161" s="15">
        <v>57861</v>
      </c>
      <c r="B161" s="7" t="s">
        <v>175</v>
      </c>
      <c r="C161" s="2">
        <v>45601</v>
      </c>
      <c r="D161" s="10">
        <v>1.04111</v>
      </c>
      <c r="E161" s="4">
        <v>106.64393033634315</v>
      </c>
      <c r="F161" s="5">
        <v>6.25</v>
      </c>
      <c r="G161" s="5">
        <v>3.02</v>
      </c>
      <c r="H161" s="5">
        <v>11.28</v>
      </c>
      <c r="I161" s="6">
        <v>8.8099999999999998E-2</v>
      </c>
      <c r="J161" s="6">
        <v>2.3400000000000001E-2</v>
      </c>
      <c r="K161" s="6">
        <v>2.7000000000000001E-3</v>
      </c>
      <c r="L161" s="5">
        <v>98.5</v>
      </c>
      <c r="M161" s="5">
        <v>-0.4</v>
      </c>
      <c r="N161" s="5">
        <v>7.3</v>
      </c>
      <c r="O161" s="12">
        <v>301</v>
      </c>
    </row>
    <row r="162" spans="1:15" x14ac:dyDescent="0.2">
      <c r="A162" s="15">
        <v>57862</v>
      </c>
      <c r="B162" s="7" t="s">
        <v>176</v>
      </c>
      <c r="C162" s="2">
        <v>45601</v>
      </c>
      <c r="D162" s="10">
        <v>1.0415700000000001</v>
      </c>
      <c r="E162" s="4">
        <v>107.84194234734514</v>
      </c>
      <c r="F162" s="5">
        <v>8.120000000000001</v>
      </c>
      <c r="G162" s="5">
        <v>3.24</v>
      </c>
      <c r="H162" s="5">
        <v>9.0299999999999994</v>
      </c>
      <c r="I162" s="6">
        <v>0.3382</v>
      </c>
      <c r="J162" s="6">
        <v>9.2499999999999999E-2</v>
      </c>
      <c r="K162" s="6">
        <v>3.1800000000000002E-2</v>
      </c>
      <c r="L162" s="5">
        <v>93.5</v>
      </c>
      <c r="M162" s="5">
        <v>-1.1000000000000001</v>
      </c>
      <c r="N162" s="5">
        <v>23</v>
      </c>
      <c r="O162" s="11">
        <v>310</v>
      </c>
    </row>
    <row r="163" spans="1:15" x14ac:dyDescent="0.2">
      <c r="A163" s="15">
        <v>57863</v>
      </c>
      <c r="B163" s="7" t="s">
        <v>177</v>
      </c>
      <c r="C163" s="2">
        <v>45601</v>
      </c>
      <c r="D163" s="10">
        <v>1.0368599999999999</v>
      </c>
      <c r="E163" s="4">
        <v>95.580448679755591</v>
      </c>
      <c r="F163" s="5">
        <v>5.27</v>
      </c>
      <c r="G163" s="5">
        <v>2.91</v>
      </c>
      <c r="H163" s="5">
        <v>12</v>
      </c>
      <c r="I163" s="6">
        <v>0.40629999999999999</v>
      </c>
      <c r="J163" s="6">
        <v>1.0008999999999999</v>
      </c>
      <c r="K163" s="6">
        <v>2.2599999999999999E-2</v>
      </c>
      <c r="L163" s="5">
        <v>71.400000000000006</v>
      </c>
      <c r="M163" s="5">
        <v>52.6</v>
      </c>
      <c r="N163" s="5">
        <v>16</v>
      </c>
      <c r="O163" s="12">
        <v>533</v>
      </c>
    </row>
    <row r="164" spans="1:15" x14ac:dyDescent="0.2">
      <c r="A164" s="15">
        <v>57864</v>
      </c>
      <c r="B164" s="7" t="s">
        <v>178</v>
      </c>
      <c r="C164" s="2">
        <v>45601</v>
      </c>
      <c r="D164" s="10">
        <v>1.0448299999999999</v>
      </c>
      <c r="E164" s="4">
        <v>116.33531745214486</v>
      </c>
      <c r="F164" s="5">
        <v>7.68</v>
      </c>
      <c r="G164" s="5">
        <v>3.13</v>
      </c>
      <c r="H164" s="5">
        <v>9.2799999999999994</v>
      </c>
      <c r="I164" s="6">
        <v>0.38250000000000001</v>
      </c>
      <c r="J164" s="6">
        <v>7.2800000000000004E-2</v>
      </c>
      <c r="K164" s="6">
        <v>1.5599999999999999E-2</v>
      </c>
      <c r="L164" s="5">
        <v>94.9</v>
      </c>
      <c r="M164" s="5">
        <v>-2.8</v>
      </c>
      <c r="N164" s="5">
        <v>30</v>
      </c>
      <c r="O164" s="12">
        <v>501</v>
      </c>
    </row>
    <row r="165" spans="1:15" x14ac:dyDescent="0.2">
      <c r="A165" s="15">
        <v>57865</v>
      </c>
      <c r="B165" s="7" t="s">
        <v>179</v>
      </c>
      <c r="C165" s="2">
        <v>45601</v>
      </c>
      <c r="D165" s="10">
        <v>1.0349299999999999</v>
      </c>
      <c r="E165" s="4">
        <v>90.559351942888497</v>
      </c>
      <c r="F165" s="5">
        <v>7.0250000000000004</v>
      </c>
      <c r="G165" s="5">
        <v>3.95</v>
      </c>
      <c r="H165" s="5">
        <v>1.75</v>
      </c>
      <c r="I165" s="6">
        <v>0.74470000000000003</v>
      </c>
      <c r="J165" s="6">
        <v>0.14419999999999999</v>
      </c>
      <c r="K165" s="6">
        <v>2.7199999999999998E-2</v>
      </c>
      <c r="L165" s="5">
        <v>90.8</v>
      </c>
      <c r="M165" s="5">
        <v>-0.4</v>
      </c>
      <c r="N165" s="5">
        <v>44</v>
      </c>
      <c r="O165" s="12">
        <v>1068</v>
      </c>
    </row>
    <row r="166" spans="1:15" x14ac:dyDescent="0.2">
      <c r="A166" s="15">
        <v>57866</v>
      </c>
      <c r="B166" s="7" t="s">
        <v>180</v>
      </c>
      <c r="C166" s="2">
        <v>45601</v>
      </c>
      <c r="D166" s="10">
        <v>1.04165</v>
      </c>
      <c r="E166" s="4">
        <v>108.05030333158129</v>
      </c>
      <c r="F166" s="5">
        <v>7.9049999999999994</v>
      </c>
      <c r="G166" s="5">
        <v>3.05</v>
      </c>
      <c r="H166" s="5">
        <v>10.199999999999999</v>
      </c>
      <c r="I166" s="6">
        <v>0.89749999999999996</v>
      </c>
      <c r="J166" s="6">
        <v>2.5209999999999999</v>
      </c>
      <c r="K166" s="6">
        <v>6.0499999999999998E-2</v>
      </c>
      <c r="L166" s="5">
        <v>56.6</v>
      </c>
      <c r="M166" s="5">
        <v>67.900000000000006</v>
      </c>
      <c r="N166" s="5">
        <v>43.3</v>
      </c>
      <c r="O166" s="12">
        <v>618</v>
      </c>
    </row>
    <row r="167" spans="1:15" x14ac:dyDescent="0.2">
      <c r="A167" s="15">
        <v>57867</v>
      </c>
      <c r="B167" s="7" t="s">
        <v>181</v>
      </c>
      <c r="C167" s="2">
        <v>45601</v>
      </c>
      <c r="D167" s="10">
        <v>1.0403100000000001</v>
      </c>
      <c r="E167" s="4">
        <v>104.56068916603817</v>
      </c>
      <c r="F167" s="5">
        <v>7.1050000000000004</v>
      </c>
      <c r="G167" s="5">
        <v>2.98</v>
      </c>
      <c r="H167" s="5">
        <v>13.33</v>
      </c>
      <c r="I167" s="6">
        <v>4.41E-2</v>
      </c>
      <c r="J167" s="6">
        <v>5.0599999999999999E-2</v>
      </c>
      <c r="K167" s="6">
        <v>7.6E-3</v>
      </c>
      <c r="L167" s="5">
        <v>97.5</v>
      </c>
      <c r="M167" s="5">
        <v>3.4</v>
      </c>
      <c r="N167" s="5">
        <v>1.6</v>
      </c>
      <c r="O167" s="12">
        <v>186</v>
      </c>
    </row>
    <row r="168" spans="1:15" x14ac:dyDescent="0.2">
      <c r="A168" s="15">
        <v>57868</v>
      </c>
      <c r="B168" s="7" t="s">
        <v>182</v>
      </c>
      <c r="C168" s="2">
        <v>45601</v>
      </c>
      <c r="D168" s="10">
        <v>1.0366599999999999</v>
      </c>
      <c r="E168" s="4">
        <v>95.060040353979275</v>
      </c>
      <c r="F168" s="5">
        <v>8.42</v>
      </c>
      <c r="G168" s="5">
        <v>4.1500000000000004</v>
      </c>
      <c r="H168" s="5">
        <v>1.43</v>
      </c>
      <c r="I168" s="6">
        <v>1.2454999999999998</v>
      </c>
      <c r="J168" s="6">
        <v>0.21749999999999997</v>
      </c>
      <c r="K168" s="6">
        <v>6.2E-2</v>
      </c>
      <c r="L168" s="5">
        <v>86.1</v>
      </c>
      <c r="M168" s="5">
        <v>0.5</v>
      </c>
      <c r="N168" s="5">
        <v>63.8</v>
      </c>
      <c r="O168" s="12">
        <v>845</v>
      </c>
    </row>
    <row r="169" spans="1:15" x14ac:dyDescent="0.2">
      <c r="A169" s="15">
        <v>57869</v>
      </c>
      <c r="B169" s="7" t="s">
        <v>183</v>
      </c>
      <c r="C169" s="2">
        <v>45601</v>
      </c>
      <c r="D169" s="10">
        <v>1.03864</v>
      </c>
      <c r="E169" s="4">
        <v>100.21297619664574</v>
      </c>
      <c r="F169" s="5">
        <v>8.1950000000000003</v>
      </c>
      <c r="G169" s="5">
        <v>2.96</v>
      </c>
      <c r="H169" s="5">
        <v>14.43</v>
      </c>
      <c r="I169" s="6">
        <v>0.28339999999999999</v>
      </c>
      <c r="J169" s="6">
        <v>0.7329</v>
      </c>
      <c r="K169" s="6">
        <v>1.7399999999999999E-2</v>
      </c>
      <c r="L169" s="5">
        <v>76.5</v>
      </c>
      <c r="M169" s="5">
        <v>44.9</v>
      </c>
      <c r="N169" s="5">
        <v>8.5</v>
      </c>
      <c r="O169" s="11">
        <v>401</v>
      </c>
    </row>
    <row r="170" spans="1:15" x14ac:dyDescent="0.2">
      <c r="A170" s="15">
        <v>57870</v>
      </c>
      <c r="B170" s="7" t="s">
        <v>184</v>
      </c>
      <c r="C170" s="2">
        <v>45601</v>
      </c>
      <c r="D170" s="10">
        <v>1.04223</v>
      </c>
      <c r="E170" s="4">
        <v>109.56101864988477</v>
      </c>
      <c r="F170" s="5">
        <v>9.7850000000000001</v>
      </c>
      <c r="G170" s="5">
        <v>3.22</v>
      </c>
      <c r="H170" s="5">
        <v>8.9</v>
      </c>
      <c r="I170" s="6">
        <v>0.2336</v>
      </c>
      <c r="J170" s="6">
        <v>0.19339999999999999</v>
      </c>
      <c r="K170" s="6">
        <v>1.8800000000000001E-2</v>
      </c>
      <c r="L170" s="5">
        <v>90.8</v>
      </c>
      <c r="M170" s="5">
        <v>11.2</v>
      </c>
      <c r="N170" s="5">
        <v>13.2</v>
      </c>
      <c r="O170" s="12">
        <v>470</v>
      </c>
    </row>
    <row r="171" spans="1:15" x14ac:dyDescent="0.2">
      <c r="A171" s="15">
        <v>57954</v>
      </c>
      <c r="B171" s="7" t="s">
        <v>354</v>
      </c>
      <c r="C171" s="2">
        <v>45610</v>
      </c>
      <c r="D171" s="10">
        <v>1.05158</v>
      </c>
      <c r="E171" s="4">
        <v>133.93881408671587</v>
      </c>
      <c r="F171" s="5">
        <v>13.42</v>
      </c>
      <c r="G171" s="5">
        <v>2.95</v>
      </c>
      <c r="H171" s="5">
        <v>10</v>
      </c>
      <c r="I171" s="6">
        <v>2.9100000000000001E-2</v>
      </c>
      <c r="J171" s="6">
        <v>2.8400000000000002E-2</v>
      </c>
      <c r="K171" s="6">
        <v>4.0000000000000002E-4</v>
      </c>
      <c r="L171" s="5">
        <v>98.8</v>
      </c>
      <c r="M171" s="5">
        <v>2.1</v>
      </c>
      <c r="N171" s="5">
        <v>1.3</v>
      </c>
      <c r="O171" s="12">
        <v>363</v>
      </c>
    </row>
    <row r="172" spans="1:15" x14ac:dyDescent="0.2">
      <c r="A172" s="15">
        <v>57955</v>
      </c>
      <c r="B172" s="7" t="s">
        <v>355</v>
      </c>
      <c r="C172" s="2">
        <v>45610</v>
      </c>
      <c r="D172" s="10">
        <v>1.0465800000000001</v>
      </c>
      <c r="E172" s="4">
        <v>120.89690816938173</v>
      </c>
      <c r="F172" s="5">
        <v>12.5</v>
      </c>
      <c r="G172" s="5">
        <v>2.95</v>
      </c>
      <c r="H172" s="5">
        <v>10.28</v>
      </c>
      <c r="I172" s="6">
        <v>8.2199999999999995E-2</v>
      </c>
      <c r="J172" s="6">
        <v>2.4400000000000002E-2</v>
      </c>
      <c r="K172" s="6">
        <v>1.8E-3</v>
      </c>
      <c r="L172" s="5">
        <v>98.5</v>
      </c>
      <c r="M172" s="5">
        <v>0.03</v>
      </c>
      <c r="N172" s="5">
        <v>7.1</v>
      </c>
      <c r="O172" s="12">
        <v>659</v>
      </c>
    </row>
    <row r="173" spans="1:15" x14ac:dyDescent="0.2">
      <c r="A173" s="15">
        <v>57956</v>
      </c>
      <c r="B173" s="7" t="s">
        <v>356</v>
      </c>
      <c r="C173" s="2">
        <v>45610</v>
      </c>
      <c r="D173" s="10">
        <v>1.0452399999999999</v>
      </c>
      <c r="E173" s="4">
        <v>117.4038906939968</v>
      </c>
      <c r="F173" s="5">
        <v>12.36</v>
      </c>
      <c r="G173" s="5">
        <v>3.2</v>
      </c>
      <c r="H173" s="5">
        <v>5.85</v>
      </c>
      <c r="I173" s="6">
        <v>4.3799999999999999E-2</v>
      </c>
      <c r="J173" s="6">
        <v>1.46E-2</v>
      </c>
      <c r="K173" s="6">
        <v>8.9999999999999998E-4</v>
      </c>
      <c r="L173" s="5">
        <v>99.2</v>
      </c>
      <c r="M173" s="5">
        <v>0.2</v>
      </c>
      <c r="N173" s="5">
        <v>2.9</v>
      </c>
      <c r="O173" s="12">
        <v>210</v>
      </c>
    </row>
    <row r="174" spans="1:15" x14ac:dyDescent="0.2">
      <c r="A174" s="15">
        <v>57957</v>
      </c>
      <c r="B174" s="7" t="s">
        <v>357</v>
      </c>
      <c r="C174" s="2">
        <v>45610</v>
      </c>
      <c r="D174" s="10">
        <v>1.04878</v>
      </c>
      <c r="E174" s="4">
        <v>126.63373703643765</v>
      </c>
      <c r="F174" s="5">
        <v>13.04</v>
      </c>
      <c r="G174" s="5">
        <v>3.08</v>
      </c>
      <c r="H174" s="5">
        <v>8.48</v>
      </c>
      <c r="I174" s="6">
        <v>2.3699999999999999E-2</v>
      </c>
      <c r="J174" s="6">
        <v>6.1999999999999998E-3</v>
      </c>
      <c r="K174" s="6">
        <v>-6.9999999999999999E-4</v>
      </c>
      <c r="L174" s="5">
        <v>99.7</v>
      </c>
      <c r="M174" s="5">
        <v>0.1</v>
      </c>
      <c r="N174" s="5">
        <v>1.5</v>
      </c>
      <c r="O174" s="12">
        <v>422</v>
      </c>
    </row>
    <row r="175" spans="1:15" x14ac:dyDescent="0.2">
      <c r="A175" s="15">
        <v>57958</v>
      </c>
      <c r="B175" s="7" t="s">
        <v>478</v>
      </c>
      <c r="C175" s="2">
        <v>45610</v>
      </c>
      <c r="D175" s="10">
        <v>1.0510600000000001</v>
      </c>
      <c r="E175" s="4">
        <v>132.58184590305609</v>
      </c>
      <c r="F175" s="5">
        <v>13.44</v>
      </c>
      <c r="G175" s="5">
        <v>4.2</v>
      </c>
      <c r="H175" s="5">
        <v>1.63</v>
      </c>
      <c r="I175" s="6">
        <v>6.54E-2</v>
      </c>
      <c r="J175" s="6">
        <v>1.8599999999999998E-2</v>
      </c>
      <c r="K175" s="6">
        <v>4.4999999999999997E-3</v>
      </c>
      <c r="L175" s="5">
        <v>98.7</v>
      </c>
      <c r="M175" s="5">
        <v>-0.3</v>
      </c>
      <c r="N175" s="5">
        <v>4.8</v>
      </c>
      <c r="O175" s="12">
        <v>759</v>
      </c>
    </row>
    <row r="176" spans="1:15" x14ac:dyDescent="0.2">
      <c r="A176" s="15">
        <v>57959</v>
      </c>
      <c r="B176" s="7" t="s">
        <v>185</v>
      </c>
      <c r="C176" s="2">
        <v>45610</v>
      </c>
      <c r="D176" s="10">
        <v>1.0341400000000001</v>
      </c>
      <c r="E176" s="4">
        <v>88.504626064280728</v>
      </c>
      <c r="F176" s="5">
        <v>8.15</v>
      </c>
      <c r="G176" s="5">
        <v>2.84</v>
      </c>
      <c r="H176" s="5">
        <v>16.8</v>
      </c>
      <c r="I176" s="6">
        <v>0.83199999999999996</v>
      </c>
      <c r="J176" s="6">
        <v>2.4159999999999999</v>
      </c>
      <c r="K176" s="6">
        <v>4.4999999999999998E-2</v>
      </c>
      <c r="L176" s="5">
        <v>57.3</v>
      </c>
      <c r="M176" s="5">
        <v>69.099999999999994</v>
      </c>
      <c r="N176" s="5">
        <v>40.200000000000003</v>
      </c>
      <c r="O176" s="12">
        <v>668</v>
      </c>
    </row>
    <row r="177" spans="1:15" x14ac:dyDescent="0.2">
      <c r="A177" s="15">
        <v>57960</v>
      </c>
      <c r="B177" s="7" t="s">
        <v>186</v>
      </c>
      <c r="C177" s="2">
        <v>45610</v>
      </c>
      <c r="D177" s="10">
        <v>1.0336399999999999</v>
      </c>
      <c r="E177" s="4">
        <v>87.204328780150263</v>
      </c>
      <c r="F177" s="5">
        <v>8.3699999999999992</v>
      </c>
      <c r="G177" s="5">
        <v>3.03</v>
      </c>
      <c r="H177" s="5">
        <v>8.5</v>
      </c>
      <c r="I177" s="6">
        <v>0.3397</v>
      </c>
      <c r="J177" s="6">
        <v>0.34210000000000002</v>
      </c>
      <c r="K177" s="6">
        <v>1.43E-2</v>
      </c>
      <c r="L177" s="5">
        <v>85.1</v>
      </c>
      <c r="M177" s="5">
        <v>22.3</v>
      </c>
      <c r="N177" s="5">
        <v>15.6</v>
      </c>
      <c r="O177" s="12">
        <v>1198</v>
      </c>
    </row>
    <row r="178" spans="1:15" x14ac:dyDescent="0.2">
      <c r="A178" s="15">
        <v>57961</v>
      </c>
      <c r="B178" s="7" t="s">
        <v>187</v>
      </c>
      <c r="C178" s="2">
        <v>45610</v>
      </c>
      <c r="D178" s="10">
        <v>1.0419</v>
      </c>
      <c r="E178" s="4">
        <v>108.70145256123533</v>
      </c>
      <c r="F178" s="5">
        <v>10.79</v>
      </c>
      <c r="G178" s="5">
        <v>3.24</v>
      </c>
      <c r="H178" s="5">
        <v>10.48</v>
      </c>
      <c r="I178" s="6">
        <v>0.1978</v>
      </c>
      <c r="J178" s="6">
        <v>4.3299999999999998E-2</v>
      </c>
      <c r="K178" s="6">
        <v>7.4000000000000003E-3</v>
      </c>
      <c r="L178" s="5">
        <v>97.1</v>
      </c>
      <c r="M178" s="5">
        <v>-1.1000000000000001</v>
      </c>
      <c r="N178" s="5">
        <v>14.7</v>
      </c>
      <c r="O178" s="11">
        <v>641</v>
      </c>
    </row>
    <row r="179" spans="1:15" x14ac:dyDescent="0.2">
      <c r="A179" s="15">
        <v>57962</v>
      </c>
      <c r="B179" s="7" t="s">
        <v>188</v>
      </c>
      <c r="C179" s="2">
        <v>45610</v>
      </c>
      <c r="D179" s="10">
        <v>1.0505</v>
      </c>
      <c r="E179" s="4">
        <v>131.12065444202972</v>
      </c>
      <c r="F179" s="5">
        <v>13.26</v>
      </c>
      <c r="G179" s="5">
        <v>3.21</v>
      </c>
      <c r="H179" s="5">
        <v>10</v>
      </c>
      <c r="I179" s="6">
        <v>0.38590000000000002</v>
      </c>
      <c r="J179" s="6">
        <v>0.1145</v>
      </c>
      <c r="K179" s="6">
        <v>2.76E-2</v>
      </c>
      <c r="L179" s="5">
        <v>92.7</v>
      </c>
      <c r="M179" s="5">
        <v>0.7</v>
      </c>
      <c r="N179" s="5">
        <v>27.2</v>
      </c>
      <c r="O179" s="12">
        <v>523</v>
      </c>
    </row>
    <row r="180" spans="1:15" x14ac:dyDescent="0.2">
      <c r="A180" s="15">
        <v>57963</v>
      </c>
      <c r="B180" s="7" t="s">
        <v>189</v>
      </c>
      <c r="C180" s="2">
        <v>45610</v>
      </c>
      <c r="D180" s="10">
        <v>1.0350699999999999</v>
      </c>
      <c r="E180" s="4">
        <v>90.923513349682707</v>
      </c>
      <c r="F180" s="5">
        <v>8.84</v>
      </c>
      <c r="G180" s="5">
        <v>2.88</v>
      </c>
      <c r="H180" s="5">
        <v>10.83</v>
      </c>
      <c r="I180" s="6">
        <v>0.80400000000000005</v>
      </c>
      <c r="J180" s="6">
        <v>1.4792000000000001</v>
      </c>
      <c r="K180" s="6">
        <v>4.7E-2</v>
      </c>
      <c r="L180" s="5">
        <v>62.7</v>
      </c>
      <c r="M180" s="5">
        <v>59.8</v>
      </c>
      <c r="N180" s="5">
        <v>36.1</v>
      </c>
      <c r="O180" s="12">
        <v>1054</v>
      </c>
    </row>
    <row r="181" spans="1:15" x14ac:dyDescent="0.2">
      <c r="A181" s="15">
        <v>57964</v>
      </c>
      <c r="B181" s="7" t="s">
        <v>190</v>
      </c>
      <c r="C181" s="2">
        <v>45610</v>
      </c>
      <c r="D181" s="10">
        <v>1.04105</v>
      </c>
      <c r="E181" s="4">
        <v>106.48767589039335</v>
      </c>
      <c r="F181" s="5">
        <v>10.61</v>
      </c>
      <c r="G181" s="5">
        <v>3.13</v>
      </c>
      <c r="H181" s="5">
        <v>10.33</v>
      </c>
      <c r="I181" s="6">
        <v>0.1336</v>
      </c>
      <c r="J181" s="6">
        <v>3.6299999999999999E-2</v>
      </c>
      <c r="K181" s="6">
        <v>7.0000000000000001E-3</v>
      </c>
      <c r="L181" s="5">
        <v>97.7</v>
      </c>
      <c r="M181" s="5">
        <v>-0.5</v>
      </c>
      <c r="N181" s="5">
        <v>9.8000000000000007</v>
      </c>
      <c r="O181" s="12">
        <v>245</v>
      </c>
    </row>
    <row r="182" spans="1:15" x14ac:dyDescent="0.2">
      <c r="A182" s="15">
        <v>57965</v>
      </c>
      <c r="B182" s="7" t="s">
        <v>191</v>
      </c>
      <c r="C182" s="2">
        <v>45610</v>
      </c>
      <c r="D182" s="10">
        <v>1.0442899999999999</v>
      </c>
      <c r="E182" s="4">
        <v>114.92806090981639</v>
      </c>
      <c r="F182" s="5">
        <v>12.2</v>
      </c>
      <c r="G182" s="5">
        <v>3.29</v>
      </c>
      <c r="H182" s="5">
        <v>8.3800000000000008</v>
      </c>
      <c r="I182" s="6">
        <v>0.71599999999999997</v>
      </c>
      <c r="J182" s="6">
        <v>0.47270000000000001</v>
      </c>
      <c r="K182" s="6">
        <v>0.38019999999999998</v>
      </c>
      <c r="L182" s="5">
        <v>66.7</v>
      </c>
      <c r="M182" s="5">
        <v>1.4</v>
      </c>
      <c r="N182" s="5">
        <v>17.399999999999999</v>
      </c>
      <c r="O182" s="12">
        <v>632</v>
      </c>
    </row>
    <row r="183" spans="1:15" x14ac:dyDescent="0.2">
      <c r="A183" s="15">
        <v>57966</v>
      </c>
      <c r="B183" s="7" t="s">
        <v>192</v>
      </c>
      <c r="C183" s="2">
        <v>45610</v>
      </c>
      <c r="D183" s="10">
        <v>1.0475099999999999</v>
      </c>
      <c r="E183" s="4">
        <v>123.3217146260281</v>
      </c>
      <c r="F183" s="5">
        <v>12.76</v>
      </c>
      <c r="G183" s="5">
        <v>2.97</v>
      </c>
      <c r="H183" s="5">
        <v>12.15</v>
      </c>
      <c r="I183" s="6">
        <v>1.3569999999999998</v>
      </c>
      <c r="J183" s="6">
        <v>3.347</v>
      </c>
      <c r="K183" s="6">
        <v>7.5999999999999998E-2</v>
      </c>
      <c r="L183" s="5">
        <v>51.5</v>
      </c>
      <c r="M183" s="5">
        <v>70.5</v>
      </c>
      <c r="N183" s="5">
        <v>59</v>
      </c>
      <c r="O183" s="12">
        <v>2139</v>
      </c>
    </row>
    <row r="184" spans="1:15" x14ac:dyDescent="0.2">
      <c r="A184" s="15">
        <v>57967</v>
      </c>
      <c r="B184" s="7" t="s">
        <v>193</v>
      </c>
      <c r="C184" s="2">
        <v>45610</v>
      </c>
      <c r="D184" s="10">
        <v>1.0395300000000001</v>
      </c>
      <c r="E184" s="4">
        <v>102.52984386964772</v>
      </c>
      <c r="F184" s="5">
        <v>10.18</v>
      </c>
      <c r="G184" s="5">
        <v>3</v>
      </c>
      <c r="H184" s="5">
        <v>11.65</v>
      </c>
      <c r="I184" s="6">
        <v>0.42249999999999999</v>
      </c>
      <c r="J184" s="6">
        <v>0.5504</v>
      </c>
      <c r="K184" s="6">
        <v>1.9900000000000001E-2</v>
      </c>
      <c r="L184" s="5">
        <v>79.7</v>
      </c>
      <c r="M184" s="5">
        <v>33.299999999999997</v>
      </c>
      <c r="N184" s="5">
        <v>20.3</v>
      </c>
      <c r="O184" s="12">
        <v>1076</v>
      </c>
    </row>
    <row r="185" spans="1:15" x14ac:dyDescent="0.2">
      <c r="A185" s="15">
        <v>57968</v>
      </c>
      <c r="B185" s="7" t="s">
        <v>194</v>
      </c>
      <c r="C185" s="2">
        <v>45610</v>
      </c>
      <c r="D185" s="10">
        <v>1.03498</v>
      </c>
      <c r="E185" s="4">
        <v>90.689408454715249</v>
      </c>
      <c r="F185" s="5">
        <v>8.6300000000000008</v>
      </c>
      <c r="G185" s="5">
        <v>3.17</v>
      </c>
      <c r="H185" s="5">
        <v>9.35</v>
      </c>
      <c r="I185" s="6">
        <v>0.73460000000000003</v>
      </c>
      <c r="J185" s="6">
        <v>0.20380000000000001</v>
      </c>
      <c r="K185" s="6">
        <v>7.7799999999999994E-2</v>
      </c>
      <c r="L185" s="5">
        <v>86.4</v>
      </c>
      <c r="M185" s="5">
        <v>0.6</v>
      </c>
      <c r="N185" s="5">
        <v>40.1</v>
      </c>
      <c r="O185" s="12">
        <v>154</v>
      </c>
    </row>
    <row r="186" spans="1:15" x14ac:dyDescent="0.2">
      <c r="A186" s="15">
        <v>57969</v>
      </c>
      <c r="B186" s="7" t="s">
        <v>195</v>
      </c>
      <c r="C186" s="2">
        <v>45610</v>
      </c>
      <c r="D186" s="10">
        <v>1.04436</v>
      </c>
      <c r="E186" s="4">
        <v>115.1104745563789</v>
      </c>
      <c r="F186" s="5">
        <v>12.15</v>
      </c>
      <c r="G186" s="5">
        <v>2.97</v>
      </c>
      <c r="H186" s="5">
        <v>15.53</v>
      </c>
      <c r="I186" s="6">
        <v>0.89999999999999991</v>
      </c>
      <c r="J186" s="6">
        <v>2.5840000000000001</v>
      </c>
      <c r="K186" s="6">
        <v>5.6000000000000001E-2</v>
      </c>
      <c r="L186" s="5">
        <v>56</v>
      </c>
      <c r="M186" s="5">
        <v>69.099999999999994</v>
      </c>
      <c r="N186" s="5">
        <v>42.5</v>
      </c>
      <c r="O186" s="12">
        <v>779</v>
      </c>
    </row>
    <row r="187" spans="1:15" x14ac:dyDescent="0.2">
      <c r="A187" s="15">
        <v>57970</v>
      </c>
      <c r="B187" s="7" t="s">
        <v>196</v>
      </c>
      <c r="C187" s="2">
        <v>45610</v>
      </c>
      <c r="D187" s="10">
        <v>1.0423199999999999</v>
      </c>
      <c r="E187" s="4">
        <v>109.79545546862209</v>
      </c>
      <c r="F187" s="5">
        <v>10.95</v>
      </c>
      <c r="G187" s="5">
        <v>3.01</v>
      </c>
      <c r="H187" s="5">
        <v>12.15</v>
      </c>
      <c r="I187" s="6">
        <v>2.2700000000000001E-2</v>
      </c>
      <c r="J187" s="6">
        <v>1.1599999999999999E-2</v>
      </c>
      <c r="K187" s="6">
        <v>3.3E-3</v>
      </c>
      <c r="L187" s="5">
        <v>99.3</v>
      </c>
      <c r="M187" s="5">
        <v>0.3</v>
      </c>
      <c r="N187" s="5">
        <v>1.1000000000000001</v>
      </c>
      <c r="O187" s="12">
        <v>311</v>
      </c>
    </row>
    <row r="188" spans="1:15" x14ac:dyDescent="0.2">
      <c r="A188" s="15">
        <v>57971</v>
      </c>
      <c r="B188" s="7" t="s">
        <v>197</v>
      </c>
      <c r="C188" s="2">
        <v>45610</v>
      </c>
      <c r="D188" s="10">
        <v>1.04362</v>
      </c>
      <c r="E188" s="4">
        <v>113.18222964756887</v>
      </c>
      <c r="F188" s="5">
        <v>12.13</v>
      </c>
      <c r="G188" s="5">
        <v>3.01</v>
      </c>
      <c r="H188" s="5">
        <v>9.4499999999999993</v>
      </c>
      <c r="I188" s="6">
        <v>3.9E-2</v>
      </c>
      <c r="J188" s="6">
        <v>5.5300000000000002E-2</v>
      </c>
      <c r="K188" s="6">
        <v>6.9999999999999999E-4</v>
      </c>
      <c r="L188" s="5">
        <v>97.8</v>
      </c>
      <c r="M188" s="5">
        <v>4.4000000000000004</v>
      </c>
      <c r="N188" s="5">
        <v>1.6</v>
      </c>
      <c r="O188" s="12">
        <v>176</v>
      </c>
    </row>
    <row r="189" spans="1:15" x14ac:dyDescent="0.2">
      <c r="A189" s="15">
        <v>57972</v>
      </c>
      <c r="B189" s="7" t="s">
        <v>198</v>
      </c>
      <c r="C189" s="2">
        <v>45610</v>
      </c>
      <c r="D189" s="10">
        <v>1.04922</v>
      </c>
      <c r="E189" s="4">
        <v>127.78140574332792</v>
      </c>
      <c r="F189" s="5">
        <v>13.01</v>
      </c>
      <c r="G189" s="5">
        <v>3.17</v>
      </c>
      <c r="H189" s="5">
        <v>11.55</v>
      </c>
      <c r="I189" s="6">
        <v>2.7099999999999999E-2</v>
      </c>
      <c r="J189" s="6">
        <v>1.3899999999999999E-2</v>
      </c>
      <c r="K189" s="6">
        <v>3.8E-3</v>
      </c>
      <c r="L189" s="5">
        <v>99.1</v>
      </c>
      <c r="M189" s="5">
        <v>0.4</v>
      </c>
      <c r="N189" s="5">
        <v>1.5</v>
      </c>
      <c r="O189" s="12">
        <v>215</v>
      </c>
    </row>
    <row r="190" spans="1:15" x14ac:dyDescent="0.2">
      <c r="A190" s="15">
        <v>57973</v>
      </c>
      <c r="B190" s="7" t="s">
        <v>199</v>
      </c>
      <c r="C190" s="2">
        <v>45610</v>
      </c>
      <c r="D190" s="10">
        <v>1.0348200000000001</v>
      </c>
      <c r="E190" s="4">
        <v>90.273232048956288</v>
      </c>
      <c r="F190" s="5">
        <v>8.65</v>
      </c>
      <c r="G190" s="5">
        <v>3.09</v>
      </c>
      <c r="H190" s="5">
        <v>7.95</v>
      </c>
      <c r="I190" s="6">
        <v>1.8499999999999999E-2</v>
      </c>
      <c r="J190" s="6">
        <v>3.0000000000000001E-3</v>
      </c>
      <c r="K190" s="6">
        <v>-1.2999999999999999E-3</v>
      </c>
      <c r="L190" s="5">
        <v>99.9</v>
      </c>
      <c r="M190" s="5">
        <v>-0.1</v>
      </c>
      <c r="N190" s="5">
        <v>1.2</v>
      </c>
      <c r="O190" s="12">
        <v>220</v>
      </c>
    </row>
    <row r="191" spans="1:15" x14ac:dyDescent="0.2">
      <c r="A191" s="15">
        <v>58026</v>
      </c>
      <c r="B191" s="7" t="s">
        <v>219</v>
      </c>
      <c r="C191" s="2">
        <v>45617</v>
      </c>
      <c r="D191" s="10">
        <v>1.0396099999999999</v>
      </c>
      <c r="E191" s="4">
        <v>102.73812140734344</v>
      </c>
      <c r="F191" s="5">
        <v>10.210000000000001</v>
      </c>
      <c r="G191" s="5">
        <v>3.01</v>
      </c>
      <c r="H191" s="5">
        <v>10.199999999999999</v>
      </c>
      <c r="I191" s="6">
        <v>2.07E-2</v>
      </c>
      <c r="J191" s="6">
        <v>1.0800000000000001E-2</v>
      </c>
      <c r="K191" s="6">
        <v>-4.0000000000000002E-4</v>
      </c>
      <c r="L191" s="5">
        <v>99.5</v>
      </c>
      <c r="M191" s="5">
        <v>0.6</v>
      </c>
      <c r="N191" s="5">
        <v>1.2</v>
      </c>
      <c r="O191" s="12">
        <v>199</v>
      </c>
    </row>
    <row r="192" spans="1:15" x14ac:dyDescent="0.2">
      <c r="A192" s="15">
        <v>58027</v>
      </c>
      <c r="B192" s="7" t="s">
        <v>200</v>
      </c>
      <c r="C192" s="2">
        <v>45617</v>
      </c>
      <c r="D192" s="10">
        <v>1.04009</v>
      </c>
      <c r="E192" s="4">
        <v>103.98785520057254</v>
      </c>
      <c r="F192" s="5">
        <v>10.38</v>
      </c>
      <c r="G192" s="5">
        <v>3.04</v>
      </c>
      <c r="H192" s="5">
        <v>8.58</v>
      </c>
      <c r="I192" s="6">
        <v>3.5000000000000003E-2</v>
      </c>
      <c r="J192" s="6">
        <v>5.33E-2</v>
      </c>
      <c r="K192" s="6">
        <v>-8.0000000000000004E-4</v>
      </c>
      <c r="L192" s="5">
        <v>97.9</v>
      </c>
      <c r="M192" s="5">
        <v>4.4000000000000004</v>
      </c>
      <c r="N192" s="5">
        <v>1.5</v>
      </c>
      <c r="O192" s="12">
        <v>313</v>
      </c>
    </row>
    <row r="193" spans="1:15" x14ac:dyDescent="0.2">
      <c r="A193" s="15">
        <v>58028</v>
      </c>
      <c r="B193" s="7" t="s">
        <v>201</v>
      </c>
      <c r="C193" s="2">
        <v>45617</v>
      </c>
      <c r="D193" s="10">
        <v>1.0404199999999999</v>
      </c>
      <c r="E193" s="4">
        <v>104.84711542137075</v>
      </c>
      <c r="F193" s="5">
        <v>10.45</v>
      </c>
      <c r="G193" s="5">
        <v>3.1</v>
      </c>
      <c r="H193" s="5">
        <v>8.73</v>
      </c>
      <c r="I193" s="6">
        <v>3.3099999999999997E-2</v>
      </c>
      <c r="J193" s="6">
        <v>1.9900000000000001E-2</v>
      </c>
      <c r="K193" s="6">
        <v>-4.8999999999999998E-3</v>
      </c>
      <c r="L193" s="5">
        <v>99.4</v>
      </c>
      <c r="M193" s="5">
        <v>1.5</v>
      </c>
      <c r="N193" s="5">
        <v>2</v>
      </c>
      <c r="O193" s="12">
        <v>153</v>
      </c>
    </row>
    <row r="194" spans="1:15" x14ac:dyDescent="0.2">
      <c r="A194" s="15">
        <v>58029</v>
      </c>
      <c r="B194" s="7" t="s">
        <v>202</v>
      </c>
      <c r="C194" s="2">
        <v>45617</v>
      </c>
      <c r="D194" s="10">
        <v>1.0386299999999999</v>
      </c>
      <c r="E194" s="4">
        <v>100.18694626645174</v>
      </c>
      <c r="F194" s="5">
        <v>9.94</v>
      </c>
      <c r="G194" s="5">
        <v>3.04</v>
      </c>
      <c r="H194" s="5">
        <v>10.23</v>
      </c>
      <c r="I194" s="6">
        <v>0.314</v>
      </c>
      <c r="J194" s="6">
        <v>8.8999999999999999E-3</v>
      </c>
      <c r="K194" s="6">
        <v>-3.7000000000000002E-3</v>
      </c>
      <c r="L194" s="5">
        <v>99.7</v>
      </c>
      <c r="M194" s="5">
        <v>0.4</v>
      </c>
      <c r="N194" s="5">
        <v>2.2000000000000002</v>
      </c>
      <c r="O194" s="12">
        <v>195</v>
      </c>
    </row>
    <row r="195" spans="1:15" x14ac:dyDescent="0.2">
      <c r="A195" s="15">
        <v>58030</v>
      </c>
      <c r="B195" s="7" t="s">
        <v>203</v>
      </c>
      <c r="C195" s="2">
        <v>45617</v>
      </c>
      <c r="D195" s="10">
        <v>1.04766</v>
      </c>
      <c r="E195" s="4">
        <v>123.71285458641159</v>
      </c>
      <c r="F195" s="5">
        <v>12.7</v>
      </c>
      <c r="G195" s="5">
        <v>3.14</v>
      </c>
      <c r="H195" s="5">
        <v>10.1</v>
      </c>
      <c r="I195" s="6">
        <v>2.53E-2</v>
      </c>
      <c r="J195" s="6">
        <v>1.6E-2</v>
      </c>
      <c r="K195" s="6">
        <v>-4.1999999999999997E-3</v>
      </c>
      <c r="L195" s="5">
        <v>99.5</v>
      </c>
      <c r="M195" s="5">
        <v>1.3</v>
      </c>
      <c r="N195" s="5">
        <v>1.6</v>
      </c>
      <c r="O195" s="12">
        <v>150</v>
      </c>
    </row>
    <row r="196" spans="1:15" x14ac:dyDescent="0.2">
      <c r="A196" s="15">
        <v>58031</v>
      </c>
      <c r="B196" s="7" t="s">
        <v>204</v>
      </c>
      <c r="C196" s="2">
        <v>45617</v>
      </c>
      <c r="D196" s="10">
        <v>1.0485100000000001</v>
      </c>
      <c r="E196" s="4">
        <v>125.92953586114481</v>
      </c>
      <c r="F196" s="5">
        <v>12.89</v>
      </c>
      <c r="G196" s="5">
        <v>3.07</v>
      </c>
      <c r="H196" s="5">
        <v>10.9</v>
      </c>
      <c r="I196" s="6">
        <v>1.6199999999999999E-2</v>
      </c>
      <c r="J196" s="6">
        <v>1.7999999999999999E-2</v>
      </c>
      <c r="K196" s="6">
        <v>-6.7999999999999996E-3</v>
      </c>
      <c r="L196" s="5">
        <v>99.6</v>
      </c>
      <c r="M196" s="5">
        <v>1.9</v>
      </c>
      <c r="N196" s="5">
        <v>1.1000000000000001</v>
      </c>
      <c r="O196" s="12">
        <v>211</v>
      </c>
    </row>
    <row r="197" spans="1:15" x14ac:dyDescent="0.2">
      <c r="A197" s="15">
        <v>58032</v>
      </c>
      <c r="B197" s="7" t="s">
        <v>205</v>
      </c>
      <c r="C197" s="2">
        <v>45617</v>
      </c>
      <c r="D197" s="10">
        <v>1.04688</v>
      </c>
      <c r="E197" s="4">
        <v>121.67905466480261</v>
      </c>
      <c r="F197" s="5">
        <v>12.51</v>
      </c>
      <c r="G197" s="5">
        <v>2.95</v>
      </c>
      <c r="H197" s="5">
        <v>15.15</v>
      </c>
      <c r="I197" s="6">
        <v>2.3099999999999999E-2</v>
      </c>
      <c r="J197" s="6">
        <v>3.0999999999999999E-3</v>
      </c>
      <c r="K197" s="6">
        <v>-3.0000000000000001E-3</v>
      </c>
      <c r="L197" s="5">
        <v>99.9</v>
      </c>
      <c r="M197" s="5">
        <v>-0.1</v>
      </c>
      <c r="N197" s="5">
        <v>1.7</v>
      </c>
      <c r="O197" s="11">
        <v>719</v>
      </c>
    </row>
    <row r="198" spans="1:15" x14ac:dyDescent="0.2">
      <c r="A198" s="15">
        <v>58033</v>
      </c>
      <c r="B198" s="7" t="s">
        <v>206</v>
      </c>
      <c r="C198" s="2">
        <v>45617</v>
      </c>
      <c r="D198" s="10">
        <v>1.0411900000000001</v>
      </c>
      <c r="E198" s="4">
        <v>106.85227246495378</v>
      </c>
      <c r="F198" s="5">
        <v>10.48</v>
      </c>
      <c r="G198" s="5">
        <v>2.98</v>
      </c>
      <c r="H198" s="5">
        <v>13.85</v>
      </c>
      <c r="I198" s="6">
        <v>9.5999999999999992E-3</v>
      </c>
      <c r="J198" s="6">
        <v>-4.5999999999999999E-3</v>
      </c>
      <c r="K198" s="6">
        <v>-8.3000000000000001E-3</v>
      </c>
      <c r="L198" s="5">
        <v>100.5</v>
      </c>
      <c r="M198" s="5">
        <v>-0.1</v>
      </c>
      <c r="N198" s="5">
        <v>1.1000000000000001</v>
      </c>
      <c r="O198" s="12">
        <v>254</v>
      </c>
    </row>
    <row r="199" spans="1:15" x14ac:dyDescent="0.2">
      <c r="A199" s="15">
        <v>58034</v>
      </c>
      <c r="B199" s="7" t="s">
        <v>207</v>
      </c>
      <c r="C199" s="2">
        <v>45617</v>
      </c>
      <c r="D199" s="10">
        <v>1.04945</v>
      </c>
      <c r="E199" s="4">
        <v>128.38136376370585</v>
      </c>
      <c r="F199" s="5">
        <v>13.09</v>
      </c>
      <c r="G199" s="5">
        <v>2.99</v>
      </c>
      <c r="H199" s="5">
        <v>13.18</v>
      </c>
      <c r="I199" s="6">
        <v>3.4500000000000003E-2</v>
      </c>
      <c r="J199" s="6">
        <v>2.1899999999999999E-2</v>
      </c>
      <c r="K199" s="6">
        <v>-5.1999999999999998E-3</v>
      </c>
      <c r="L199" s="5">
        <v>99.3</v>
      </c>
      <c r="M199" s="5">
        <v>1.7</v>
      </c>
      <c r="N199" s="5">
        <v>2.2000000000000002</v>
      </c>
      <c r="O199" s="12">
        <v>787</v>
      </c>
    </row>
    <row r="200" spans="1:15" x14ac:dyDescent="0.2">
      <c r="A200" s="15">
        <v>58035</v>
      </c>
      <c r="B200" s="7" t="s">
        <v>208</v>
      </c>
      <c r="C200" s="2">
        <v>45617</v>
      </c>
      <c r="D200" s="10">
        <v>1.04708</v>
      </c>
      <c r="E200" s="4">
        <v>122.20051164982806</v>
      </c>
      <c r="F200" s="5">
        <v>12.6</v>
      </c>
      <c r="G200" s="5">
        <v>3.08</v>
      </c>
      <c r="H200" s="5">
        <v>9.73</v>
      </c>
      <c r="I200" s="6">
        <v>1.61E-2</v>
      </c>
      <c r="J200" s="6">
        <v>1.29E-2</v>
      </c>
      <c r="K200" s="6">
        <v>-8.3999999999999995E-3</v>
      </c>
      <c r="L200" s="5">
        <v>99.9</v>
      </c>
      <c r="M200" s="5">
        <v>1.6</v>
      </c>
      <c r="N200" s="5">
        <v>1.3</v>
      </c>
      <c r="O200" s="12">
        <v>148</v>
      </c>
    </row>
    <row r="201" spans="1:15" x14ac:dyDescent="0.2">
      <c r="A201" s="15">
        <v>58036</v>
      </c>
      <c r="B201" s="7" t="s">
        <v>209</v>
      </c>
      <c r="C201" s="2">
        <v>45617</v>
      </c>
      <c r="D201" s="10">
        <v>1.0482400000000001</v>
      </c>
      <c r="E201" s="4">
        <v>125.22537274017805</v>
      </c>
      <c r="F201" s="5">
        <v>12.79</v>
      </c>
      <c r="G201" s="5">
        <v>3.14</v>
      </c>
      <c r="H201" s="5">
        <v>9.85</v>
      </c>
      <c r="I201" s="6">
        <v>1.89E-2</v>
      </c>
      <c r="J201" s="6">
        <v>-5.0000000000000001E-4</v>
      </c>
      <c r="K201" s="6">
        <v>-1.0999999999999999E-2</v>
      </c>
      <c r="L201" s="5">
        <v>100.5</v>
      </c>
      <c r="M201" s="5">
        <v>0.3</v>
      </c>
      <c r="N201" s="5">
        <v>1.8</v>
      </c>
      <c r="O201" s="12">
        <v>238</v>
      </c>
    </row>
    <row r="202" spans="1:15" x14ac:dyDescent="0.2">
      <c r="A202" s="15">
        <v>58037</v>
      </c>
      <c r="B202" s="7" t="s">
        <v>210</v>
      </c>
      <c r="C202" s="2">
        <v>45617</v>
      </c>
      <c r="D202" s="10">
        <v>1.0403500000000001</v>
      </c>
      <c r="E202" s="4">
        <v>104.66484345257186</v>
      </c>
      <c r="F202" s="5">
        <v>10.39</v>
      </c>
      <c r="G202" s="5">
        <v>3.1</v>
      </c>
      <c r="H202" s="5">
        <v>9.65</v>
      </c>
      <c r="I202" s="6">
        <v>1.6199999999999999E-2</v>
      </c>
      <c r="J202" s="6">
        <v>-4.8999999999999998E-3</v>
      </c>
      <c r="K202" s="6">
        <v>-1.0200000000000001E-2</v>
      </c>
      <c r="L202" s="5">
        <v>100.6</v>
      </c>
      <c r="M202" s="5">
        <v>-0.1</v>
      </c>
      <c r="N202" s="5">
        <v>1.7</v>
      </c>
      <c r="O202" s="12">
        <v>390</v>
      </c>
    </row>
    <row r="203" spans="1:15" x14ac:dyDescent="0.2">
      <c r="A203" s="15">
        <v>58038</v>
      </c>
      <c r="B203" s="7" t="s">
        <v>211</v>
      </c>
      <c r="C203" s="2">
        <v>45617</v>
      </c>
      <c r="D203" s="10">
        <v>1.0448999999999999</v>
      </c>
      <c r="E203" s="4">
        <v>116.51775063078594</v>
      </c>
      <c r="F203" s="5">
        <v>12.24</v>
      </c>
      <c r="G203" s="5">
        <v>3.08</v>
      </c>
      <c r="H203" s="5">
        <v>12.2</v>
      </c>
      <c r="I203" s="6">
        <v>8.0999999999999996E-3</v>
      </c>
      <c r="J203" s="6">
        <v>-6.7999999999999996E-3</v>
      </c>
      <c r="K203" s="6">
        <v>-1.37E-2</v>
      </c>
      <c r="L203" s="5">
        <v>100.9</v>
      </c>
      <c r="M203" s="5">
        <v>0.2</v>
      </c>
      <c r="N203" s="5">
        <v>1.3</v>
      </c>
      <c r="O203" s="12">
        <v>156</v>
      </c>
    </row>
    <row r="204" spans="1:15" x14ac:dyDescent="0.2">
      <c r="A204" s="15">
        <v>58039</v>
      </c>
      <c r="B204" s="7" t="s">
        <v>212</v>
      </c>
      <c r="C204" s="2">
        <v>45617</v>
      </c>
      <c r="D204" s="10">
        <v>1.04484</v>
      </c>
      <c r="E204" s="4">
        <v>116.36137917968563</v>
      </c>
      <c r="F204" s="5">
        <v>12.2</v>
      </c>
      <c r="G204" s="5">
        <v>3.14</v>
      </c>
      <c r="H204" s="5">
        <v>11.4</v>
      </c>
      <c r="I204" s="6">
        <v>9.7000000000000003E-3</v>
      </c>
      <c r="J204" s="6">
        <v>-4.7999999999999996E-3</v>
      </c>
      <c r="K204" s="6">
        <v>-1.35E-2</v>
      </c>
      <c r="L204" s="5">
        <v>100.8</v>
      </c>
      <c r="M204" s="5">
        <v>0.3</v>
      </c>
      <c r="N204" s="5">
        <v>1.4</v>
      </c>
      <c r="O204" s="12">
        <v>215</v>
      </c>
    </row>
    <row r="205" spans="1:15" x14ac:dyDescent="0.2">
      <c r="A205" s="15">
        <v>58040</v>
      </c>
      <c r="B205" s="7" t="s">
        <v>213</v>
      </c>
      <c r="C205" s="2">
        <v>45617</v>
      </c>
      <c r="D205" s="10">
        <v>1.05548</v>
      </c>
      <c r="E205" s="4">
        <v>144.12062347806977</v>
      </c>
      <c r="F205" s="5">
        <v>14.41</v>
      </c>
      <c r="G205" s="5">
        <v>3.06</v>
      </c>
      <c r="H205" s="5">
        <v>13.33</v>
      </c>
      <c r="I205" s="6">
        <v>2.3800000000000002E-2</v>
      </c>
      <c r="J205" s="6">
        <v>6.0000000000000001E-3</v>
      </c>
      <c r="K205" s="6">
        <v>-1.3299999999999999E-2</v>
      </c>
      <c r="L205" s="5">
        <v>100.3</v>
      </c>
      <c r="M205" s="5">
        <v>1</v>
      </c>
      <c r="N205" s="5">
        <v>2.1</v>
      </c>
      <c r="O205" s="12">
        <v>240</v>
      </c>
    </row>
    <row r="206" spans="1:15" x14ac:dyDescent="0.2">
      <c r="A206" s="15">
        <v>58041</v>
      </c>
      <c r="B206" s="7" t="s">
        <v>214</v>
      </c>
      <c r="C206" s="2">
        <v>45617</v>
      </c>
      <c r="D206" s="10">
        <v>1.0426800000000001</v>
      </c>
      <c r="E206" s="4">
        <v>110.73324435908262</v>
      </c>
      <c r="F206" s="5">
        <v>11.95</v>
      </c>
      <c r="G206" s="5">
        <v>3.01</v>
      </c>
      <c r="H206" s="5">
        <v>11.85</v>
      </c>
      <c r="I206" s="6">
        <v>1.1599999999999999E-2</v>
      </c>
      <c r="J206" s="6">
        <v>-3.8999999999999998E-3</v>
      </c>
      <c r="K206" s="6">
        <v>-1.0999999999999999E-2</v>
      </c>
      <c r="L206" s="5">
        <v>100.6</v>
      </c>
      <c r="M206" s="5">
        <v>0.2</v>
      </c>
      <c r="N206" s="5">
        <v>1.5</v>
      </c>
      <c r="O206" s="12">
        <v>453</v>
      </c>
    </row>
    <row r="207" spans="1:15" x14ac:dyDescent="0.2">
      <c r="A207" s="15">
        <v>58042</v>
      </c>
      <c r="B207" s="7" t="s">
        <v>215</v>
      </c>
      <c r="C207" s="2">
        <v>45617</v>
      </c>
      <c r="D207" s="10">
        <v>1.04592</v>
      </c>
      <c r="E207" s="4">
        <v>119.1763503745442</v>
      </c>
      <c r="F207" s="5">
        <v>12.33</v>
      </c>
      <c r="G207" s="5">
        <v>2.94</v>
      </c>
      <c r="H207" s="5">
        <v>14.83</v>
      </c>
      <c r="I207" s="6">
        <v>1E-3</v>
      </c>
      <c r="J207" s="6">
        <v>-1.49E-2</v>
      </c>
      <c r="K207" s="6">
        <v>-1.7100000000000001E-2</v>
      </c>
      <c r="L207" s="5">
        <v>101.4</v>
      </c>
      <c r="M207" s="5">
        <v>-0.2</v>
      </c>
      <c r="N207" s="5">
        <v>11.1</v>
      </c>
      <c r="O207" s="12">
        <v>384</v>
      </c>
    </row>
    <row r="208" spans="1:15" x14ac:dyDescent="0.2">
      <c r="A208" s="15">
        <v>58043</v>
      </c>
      <c r="B208" s="7" t="s">
        <v>216</v>
      </c>
      <c r="C208" s="2">
        <v>45617</v>
      </c>
      <c r="D208" s="10">
        <v>1.04196</v>
      </c>
      <c r="E208" s="4">
        <v>108.85773314723019</v>
      </c>
      <c r="F208" s="5">
        <v>10.95</v>
      </c>
      <c r="G208" s="5">
        <v>3.09</v>
      </c>
      <c r="H208" s="5">
        <v>9.4499999999999993</v>
      </c>
      <c r="I208" s="6">
        <v>1.5E-3</v>
      </c>
      <c r="J208" s="6">
        <v>-1.1299999999999999E-2</v>
      </c>
      <c r="K208" s="6">
        <v>-1.7899999999999999E-2</v>
      </c>
      <c r="L208" s="5">
        <v>101.3</v>
      </c>
      <c r="M208" s="5">
        <v>0.2</v>
      </c>
      <c r="N208" s="5">
        <v>1.2</v>
      </c>
      <c r="O208" s="12">
        <v>188</v>
      </c>
    </row>
    <row r="209" spans="1:15" x14ac:dyDescent="0.2">
      <c r="A209" s="15">
        <v>58044</v>
      </c>
      <c r="B209" s="7" t="s">
        <v>217</v>
      </c>
      <c r="C209" s="2">
        <v>45617</v>
      </c>
      <c r="D209" s="10">
        <v>1.0495000000000001</v>
      </c>
      <c r="E209" s="4">
        <v>128.51179308267638</v>
      </c>
      <c r="F209" s="5">
        <v>13.11</v>
      </c>
      <c r="G209" s="5">
        <v>3.1</v>
      </c>
      <c r="H209" s="5">
        <v>10.33</v>
      </c>
      <c r="I209" s="6">
        <v>1.38E-2</v>
      </c>
      <c r="J209" s="6">
        <v>1.0800000000000001E-2</v>
      </c>
      <c r="K209" s="6">
        <v>-1.8200000000000001E-2</v>
      </c>
      <c r="L209" s="5">
        <v>100.4</v>
      </c>
      <c r="M209" s="5">
        <v>2.1</v>
      </c>
      <c r="N209" s="5">
        <v>1.7</v>
      </c>
      <c r="O209" s="12">
        <v>241</v>
      </c>
    </row>
    <row r="210" spans="1:15" x14ac:dyDescent="0.2">
      <c r="A210" s="15">
        <v>58045</v>
      </c>
      <c r="B210" s="7" t="s">
        <v>218</v>
      </c>
      <c r="C210" s="2">
        <v>45617</v>
      </c>
      <c r="D210" s="10">
        <v>1.04691</v>
      </c>
      <c r="E210" s="4">
        <v>121.75727188678547</v>
      </c>
      <c r="F210" s="5">
        <v>12.53</v>
      </c>
      <c r="G210" s="5">
        <v>2.98</v>
      </c>
      <c r="H210" s="5">
        <v>12.3</v>
      </c>
      <c r="I210" s="6">
        <v>2.3E-3</v>
      </c>
      <c r="J210" s="6">
        <v>-1.18E-2</v>
      </c>
      <c r="K210" s="6">
        <v>-1.8800000000000001E-2</v>
      </c>
      <c r="L210" s="5">
        <v>101.3</v>
      </c>
      <c r="M210" s="5">
        <v>0.2</v>
      </c>
      <c r="N210" s="5">
        <v>1.3</v>
      </c>
      <c r="O210" s="12">
        <v>259</v>
      </c>
    </row>
    <row r="211" spans="1:15" x14ac:dyDescent="0.2">
      <c r="A211" s="15">
        <v>58075</v>
      </c>
      <c r="B211" s="7" t="s">
        <v>220</v>
      </c>
      <c r="C211" s="2">
        <v>45622</v>
      </c>
      <c r="D211" s="10">
        <v>1.03851</v>
      </c>
      <c r="E211" s="4">
        <v>99.874591071349641</v>
      </c>
      <c r="F211" s="4">
        <v>10.02</v>
      </c>
      <c r="G211" s="5">
        <v>2.81</v>
      </c>
      <c r="H211" s="5">
        <f>2.5*5</f>
        <v>12.5</v>
      </c>
      <c r="I211" s="6">
        <v>4.0300000000000002E-2</v>
      </c>
      <c r="J211" s="6">
        <v>1.7299999999999999E-2</v>
      </c>
      <c r="K211" s="6">
        <v>3.7000000000000002E-3</v>
      </c>
      <c r="L211" s="5">
        <v>99</v>
      </c>
      <c r="M211" s="5">
        <v>0.4</v>
      </c>
      <c r="N211" s="5">
        <v>2.2999999999999998</v>
      </c>
      <c r="O211" s="3">
        <v>634</v>
      </c>
    </row>
    <row r="212" spans="1:15" x14ac:dyDescent="0.2">
      <c r="A212" s="19">
        <v>58076</v>
      </c>
      <c r="B212" s="7" t="s">
        <v>221</v>
      </c>
      <c r="C212" s="2">
        <v>45622</v>
      </c>
      <c r="D212" s="10">
        <v>1.04501</v>
      </c>
      <c r="E212" s="4">
        <v>116.80443645987862</v>
      </c>
      <c r="F212" s="4">
        <v>12.29</v>
      </c>
      <c r="G212" s="5">
        <v>3.04</v>
      </c>
      <c r="H212" s="5">
        <f>2.5*4.82</f>
        <v>12.05</v>
      </c>
      <c r="I212" s="6">
        <v>3.09E-2</v>
      </c>
      <c r="J212" s="6">
        <v>1.47E-2</v>
      </c>
      <c r="K212" s="6">
        <v>-2.9999999999999997E-4</v>
      </c>
      <c r="L212" s="5">
        <v>99.3</v>
      </c>
      <c r="M212" s="5">
        <v>0.7</v>
      </c>
      <c r="N212" s="5">
        <v>1.8</v>
      </c>
      <c r="O212" s="3">
        <v>296</v>
      </c>
    </row>
    <row r="213" spans="1:15" x14ac:dyDescent="0.2">
      <c r="A213" s="15">
        <v>58077</v>
      </c>
      <c r="B213" s="7" t="s">
        <v>222</v>
      </c>
      <c r="C213" s="2">
        <v>45622</v>
      </c>
      <c r="D213" s="10">
        <v>1.04636</v>
      </c>
      <c r="E213" s="4">
        <v>120.32336378456785</v>
      </c>
      <c r="F213" s="4">
        <v>12.55</v>
      </c>
      <c r="G213" s="5">
        <v>4.29</v>
      </c>
      <c r="H213" s="5">
        <f>2.5*0.74</f>
        <v>1.85</v>
      </c>
      <c r="I213" s="6">
        <v>0.36159999999999998</v>
      </c>
      <c r="J213" s="6">
        <v>4.0399999999999998E-2</v>
      </c>
      <c r="K213" s="6">
        <v>5.0000000000000001E-3</v>
      </c>
      <c r="L213" s="5">
        <v>97</v>
      </c>
      <c r="M213" s="5">
        <v>-5</v>
      </c>
      <c r="N213" s="5">
        <v>27.2</v>
      </c>
      <c r="O213" s="3">
        <v>519</v>
      </c>
    </row>
    <row r="214" spans="1:15" x14ac:dyDescent="0.2">
      <c r="A214" s="15">
        <v>58078</v>
      </c>
      <c r="B214" s="7" t="s">
        <v>223</v>
      </c>
      <c r="C214" s="2">
        <v>45622</v>
      </c>
      <c r="D214" s="10">
        <v>1.04715</v>
      </c>
      <c r="E214" s="4">
        <v>122.38302650875812</v>
      </c>
      <c r="F214" s="4">
        <v>12.86</v>
      </c>
      <c r="G214" s="5">
        <v>4.34</v>
      </c>
      <c r="H214" s="5">
        <f>2.5*0.52</f>
        <v>1.3</v>
      </c>
      <c r="I214" s="6">
        <v>0.1487</v>
      </c>
      <c r="J214" s="6">
        <v>2.29E-2</v>
      </c>
      <c r="K214" s="6">
        <v>3.2000000000000002E-3</v>
      </c>
      <c r="L214" s="5">
        <v>98.4</v>
      </c>
      <c r="M214" s="5">
        <v>-1.9</v>
      </c>
      <c r="N214" s="5">
        <v>11.2</v>
      </c>
      <c r="O214" s="3">
        <v>897</v>
      </c>
    </row>
    <row r="215" spans="1:15" x14ac:dyDescent="0.2">
      <c r="A215" s="15">
        <v>58079</v>
      </c>
      <c r="B215" s="7" t="s">
        <v>224</v>
      </c>
      <c r="C215" s="2">
        <v>45622</v>
      </c>
      <c r="D215" s="10">
        <v>1.04583</v>
      </c>
      <c r="E215" s="4">
        <v>118.94174636545358</v>
      </c>
      <c r="F215" s="4">
        <v>12.45</v>
      </c>
      <c r="G215" s="5">
        <v>3.37</v>
      </c>
      <c r="H215" s="5">
        <f>2.5*2.23</f>
        <v>5.5750000000000002</v>
      </c>
      <c r="I215" s="6">
        <v>5.1999999999999998E-2</v>
      </c>
      <c r="J215" s="6">
        <v>1.9E-2</v>
      </c>
      <c r="K215" s="6">
        <v>5.4999999999999997E-3</v>
      </c>
      <c r="L215" s="5">
        <v>98.7</v>
      </c>
      <c r="M215" s="5">
        <v>0.1</v>
      </c>
      <c r="N215" s="5">
        <v>3.5</v>
      </c>
      <c r="O215" s="3">
        <v>478</v>
      </c>
    </row>
    <row r="216" spans="1:15" x14ac:dyDescent="0.2">
      <c r="A216" s="15">
        <v>58080</v>
      </c>
      <c r="B216" s="7" t="s">
        <v>225</v>
      </c>
      <c r="C216" s="2">
        <v>45622</v>
      </c>
      <c r="D216" s="10">
        <v>1.04776</v>
      </c>
      <c r="E216" s="4">
        <v>123.97362107046456</v>
      </c>
      <c r="F216" s="4">
        <v>12.83</v>
      </c>
      <c r="G216" s="5">
        <v>3.4</v>
      </c>
      <c r="H216" s="5">
        <f>2.5*2.36</f>
        <v>5.8999999999999995</v>
      </c>
      <c r="I216" s="6">
        <v>4.4999999999999998E-2</v>
      </c>
      <c r="J216" s="6">
        <v>1.49E-2</v>
      </c>
      <c r="K216" s="6">
        <v>2.3999999999999998E-3</v>
      </c>
      <c r="L216" s="5">
        <v>99</v>
      </c>
      <c r="M216" s="5">
        <v>0.1</v>
      </c>
      <c r="N216" s="5">
        <v>3.2</v>
      </c>
      <c r="O216" s="3">
        <v>945</v>
      </c>
    </row>
    <row r="217" spans="1:15" x14ac:dyDescent="0.2">
      <c r="A217" s="15">
        <v>58081</v>
      </c>
      <c r="B217" s="7" t="s">
        <v>226</v>
      </c>
      <c r="C217" s="2">
        <v>45622</v>
      </c>
      <c r="D217" s="10">
        <v>1.0509299999999999</v>
      </c>
      <c r="E217" s="4">
        <v>132.24262606481398</v>
      </c>
      <c r="F217" s="4">
        <v>13.38</v>
      </c>
      <c r="G217" s="5">
        <v>3.42</v>
      </c>
      <c r="H217" s="5">
        <f>2.5*2.12</f>
        <v>5.3000000000000007</v>
      </c>
      <c r="I217" s="6">
        <v>3.9100000000000003E-2</v>
      </c>
      <c r="J217" s="6">
        <v>2.2200000000000001E-2</v>
      </c>
      <c r="K217" s="6">
        <v>3.3E-3</v>
      </c>
      <c r="L217" s="5">
        <v>98.8</v>
      </c>
      <c r="M217" s="5">
        <v>1</v>
      </c>
      <c r="N217" s="5">
        <v>2.2000000000000002</v>
      </c>
      <c r="O217" s="3">
        <v>549</v>
      </c>
    </row>
    <row r="218" spans="1:15" x14ac:dyDescent="0.2">
      <c r="A218" s="15">
        <v>58082</v>
      </c>
      <c r="B218" s="7" t="s">
        <v>227</v>
      </c>
      <c r="C218" s="2">
        <v>45622</v>
      </c>
      <c r="D218" s="10">
        <v>1.05121</v>
      </c>
      <c r="E218" s="4">
        <v>132.97326444335522</v>
      </c>
      <c r="F218" s="4">
        <v>13.39</v>
      </c>
      <c r="G218" s="5">
        <v>3.43</v>
      </c>
      <c r="H218" s="5">
        <f>2.5*2.59</f>
        <v>6.4749999999999996</v>
      </c>
      <c r="I218" s="6">
        <v>0.16700000000000001</v>
      </c>
      <c r="J218" s="6">
        <v>3.7900000000000003E-2</v>
      </c>
      <c r="K218" s="6">
        <v>8.3999999999999995E-3</v>
      </c>
      <c r="L218" s="5">
        <v>97.4</v>
      </c>
      <c r="M218" s="5">
        <v>-1.2</v>
      </c>
      <c r="N218" s="5">
        <v>12.7</v>
      </c>
      <c r="O218" s="3">
        <v>509</v>
      </c>
    </row>
    <row r="219" spans="1:15" x14ac:dyDescent="0.2">
      <c r="A219" s="15">
        <v>58083</v>
      </c>
      <c r="B219" s="7" t="s">
        <v>228</v>
      </c>
      <c r="C219" s="2">
        <v>45622</v>
      </c>
      <c r="D219" s="10">
        <v>1.0471900000000001</v>
      </c>
      <c r="E219" s="4">
        <v>122.48732185820791</v>
      </c>
      <c r="F219" s="4">
        <v>12.7</v>
      </c>
      <c r="G219" s="5">
        <v>3.17</v>
      </c>
      <c r="H219" s="5">
        <f>2.5*2.73</f>
        <v>6.8250000000000002</v>
      </c>
      <c r="I219" s="6">
        <v>3.6600000000000001E-2</v>
      </c>
      <c r="J219" s="6">
        <v>1.6199999999999999E-2</v>
      </c>
      <c r="K219" s="6">
        <v>2.5999999999999999E-3</v>
      </c>
      <c r="L219" s="5">
        <v>99.1</v>
      </c>
      <c r="M219" s="5">
        <v>0.5</v>
      </c>
      <c r="N219" s="5">
        <v>2.1</v>
      </c>
      <c r="O219" s="3">
        <v>923</v>
      </c>
    </row>
    <row r="220" spans="1:15" x14ac:dyDescent="0.2">
      <c r="A220" s="15">
        <v>58084</v>
      </c>
      <c r="B220" s="7" t="s">
        <v>229</v>
      </c>
      <c r="C220" s="2">
        <v>45622</v>
      </c>
      <c r="D220" s="10">
        <v>1.04688</v>
      </c>
      <c r="E220" s="4">
        <v>121.67905466480261</v>
      </c>
      <c r="F220" s="4">
        <v>12.6</v>
      </c>
      <c r="G220" s="5">
        <v>3.19</v>
      </c>
      <c r="H220" s="5">
        <f>2.5*2.83</f>
        <v>7.0750000000000002</v>
      </c>
      <c r="I220" s="6">
        <v>3.49E-2</v>
      </c>
      <c r="J220" s="6">
        <v>1.2200000000000001E-2</v>
      </c>
      <c r="K220" s="6">
        <v>3.3999999999999998E-3</v>
      </c>
      <c r="L220" s="5">
        <v>99.2</v>
      </c>
      <c r="M220" s="5">
        <v>0</v>
      </c>
      <c r="N220" s="5">
        <v>2.2000000000000002</v>
      </c>
      <c r="O220" s="3">
        <v>419</v>
      </c>
    </row>
    <row r="221" spans="1:15" x14ac:dyDescent="0.2">
      <c r="A221" s="15">
        <v>58085</v>
      </c>
      <c r="B221" s="7" t="s">
        <v>230</v>
      </c>
      <c r="C221" s="2">
        <v>45622</v>
      </c>
      <c r="D221" s="10">
        <v>1.0355700000000001</v>
      </c>
      <c r="E221" s="4">
        <v>92.224170446384505</v>
      </c>
      <c r="F221" s="4">
        <v>9.01</v>
      </c>
      <c r="G221" s="5">
        <v>3.06</v>
      </c>
      <c r="H221" s="5">
        <f>2.5*3.88</f>
        <v>9.6999999999999993</v>
      </c>
      <c r="I221" s="6">
        <v>0.16880000000000001</v>
      </c>
      <c r="J221" s="6">
        <v>0.34649999999999997</v>
      </c>
      <c r="K221" s="6">
        <v>1.2200000000000001E-2</v>
      </c>
      <c r="L221" s="5">
        <v>85.8</v>
      </c>
      <c r="M221" s="5">
        <v>25.7</v>
      </c>
      <c r="N221" s="5">
        <v>4.3</v>
      </c>
      <c r="O221" s="3">
        <v>612</v>
      </c>
    </row>
    <row r="222" spans="1:15" x14ac:dyDescent="0.2">
      <c r="A222" s="15">
        <v>58086</v>
      </c>
      <c r="B222" s="7" t="s">
        <v>231</v>
      </c>
      <c r="C222" s="2">
        <v>45622</v>
      </c>
      <c r="D222" s="10">
        <v>1.0356799999999999</v>
      </c>
      <c r="E222" s="4">
        <v>92.51033192899331</v>
      </c>
      <c r="F222" s="4">
        <v>8.92</v>
      </c>
      <c r="G222" s="5">
        <v>3.08</v>
      </c>
      <c r="H222" s="5">
        <f>2.5*4.8</f>
        <v>12</v>
      </c>
      <c r="I222" s="6">
        <v>0.254</v>
      </c>
      <c r="J222" s="6">
        <v>0.61570000000000003</v>
      </c>
      <c r="K222" s="6">
        <v>1.72E-2</v>
      </c>
      <c r="L222" s="5">
        <v>79.5</v>
      </c>
      <c r="M222" s="5">
        <v>39.200000000000003</v>
      </c>
      <c r="N222" s="5">
        <v>8.4</v>
      </c>
      <c r="O222" s="3">
        <v>324</v>
      </c>
    </row>
    <row r="223" spans="1:15" x14ac:dyDescent="0.2">
      <c r="A223" s="15">
        <v>58087</v>
      </c>
      <c r="B223" s="7" t="s">
        <v>232</v>
      </c>
      <c r="C223" s="2">
        <v>45622</v>
      </c>
      <c r="D223" s="10">
        <v>1.04834</v>
      </c>
      <c r="E223" s="4">
        <v>125.48616946071343</v>
      </c>
      <c r="F223" s="4">
        <v>12.88</v>
      </c>
      <c r="G223" s="5">
        <v>3.17</v>
      </c>
      <c r="H223" s="5">
        <f>2.5*4.18</f>
        <v>10.45</v>
      </c>
      <c r="I223" s="6">
        <v>0.89259999999999995</v>
      </c>
      <c r="J223" s="6">
        <v>0.26040000000000002</v>
      </c>
      <c r="K223" s="6">
        <v>9.7199999999999995E-2</v>
      </c>
      <c r="L223" s="5">
        <v>83.3</v>
      </c>
      <c r="M223" s="5">
        <v>2.7</v>
      </c>
      <c r="N223" s="5">
        <v>49.5</v>
      </c>
      <c r="O223" s="3">
        <v>373</v>
      </c>
    </row>
    <row r="224" spans="1:15" x14ac:dyDescent="0.2">
      <c r="A224" s="15">
        <v>58088</v>
      </c>
      <c r="B224" s="7" t="s">
        <v>233</v>
      </c>
      <c r="C224" s="2">
        <v>45622</v>
      </c>
      <c r="D224" s="10">
        <v>1.0379</v>
      </c>
      <c r="E224" s="4">
        <v>98.286898666104207</v>
      </c>
      <c r="F224" s="4">
        <v>9.98</v>
      </c>
      <c r="G224" s="5">
        <v>4.24</v>
      </c>
      <c r="H224" s="5">
        <f>2.5*0.64</f>
        <v>1.6</v>
      </c>
      <c r="I224" s="6">
        <v>0.73719999999999997</v>
      </c>
      <c r="J224" s="6">
        <v>0.108</v>
      </c>
      <c r="K224" s="6">
        <v>2.4199999999999999E-2</v>
      </c>
      <c r="L224" s="5">
        <v>92.6</v>
      </c>
      <c r="M224" s="5">
        <v>-3.9</v>
      </c>
      <c r="N224" s="5">
        <v>42.9</v>
      </c>
      <c r="O224" s="3">
        <v>503</v>
      </c>
    </row>
    <row r="225" spans="1:15" x14ac:dyDescent="0.2">
      <c r="A225" s="15">
        <v>58089</v>
      </c>
      <c r="B225" s="7" t="s">
        <v>234</v>
      </c>
      <c r="C225" s="2">
        <v>45622</v>
      </c>
      <c r="D225" s="10">
        <v>1.0443499999999999</v>
      </c>
      <c r="E225" s="4">
        <v>115.08441530910204</v>
      </c>
      <c r="F225" s="4">
        <v>12.27</v>
      </c>
      <c r="G225" s="5">
        <v>4.68</v>
      </c>
      <c r="H225" s="5">
        <f>2.5*0.49</f>
        <v>1.2250000000000001</v>
      </c>
      <c r="I225" s="6">
        <v>0.19309999999999999</v>
      </c>
      <c r="J225" s="6">
        <v>2.8500000000000001E-2</v>
      </c>
      <c r="K225" s="6">
        <v>5.8999999999999999E-3</v>
      </c>
      <c r="L225" s="5">
        <v>97.9</v>
      </c>
      <c r="M225" s="5">
        <v>-2.9</v>
      </c>
      <c r="N225" s="5">
        <v>14.8</v>
      </c>
      <c r="O225" s="3">
        <v>423</v>
      </c>
    </row>
    <row r="226" spans="1:15" x14ac:dyDescent="0.2">
      <c r="A226" s="15">
        <v>58090</v>
      </c>
      <c r="B226" s="7" t="s">
        <v>235</v>
      </c>
      <c r="C226" s="2">
        <v>45622</v>
      </c>
      <c r="D226" s="10">
        <v>1.0445199999999999</v>
      </c>
      <c r="E226" s="4">
        <v>115.52742953682218</v>
      </c>
      <c r="F226" s="4">
        <v>12.22</v>
      </c>
      <c r="G226" s="5">
        <v>3.13</v>
      </c>
      <c r="H226" s="5">
        <f>2.5*4.08</f>
        <v>10.199999999999999</v>
      </c>
      <c r="I226" s="6">
        <v>2.86E-2</v>
      </c>
      <c r="J226" s="6">
        <v>7.1000000000000004E-3</v>
      </c>
      <c r="K226" s="6">
        <v>2.7000000000000001E-3</v>
      </c>
      <c r="L226" s="5">
        <v>99.5</v>
      </c>
      <c r="M226" s="5">
        <v>-0.3</v>
      </c>
      <c r="N226" s="5">
        <v>1.7</v>
      </c>
      <c r="O226" s="3">
        <v>168</v>
      </c>
    </row>
    <row r="227" spans="1:15" x14ac:dyDescent="0.2">
      <c r="A227" s="15">
        <v>58091</v>
      </c>
      <c r="B227" s="7" t="s">
        <v>236</v>
      </c>
      <c r="C227" s="2">
        <v>45622</v>
      </c>
      <c r="D227" s="10">
        <v>1.0391999999999999</v>
      </c>
      <c r="E227" s="4">
        <v>101.67073351265844</v>
      </c>
      <c r="F227" s="4">
        <v>10.050000000000001</v>
      </c>
      <c r="G227" s="5">
        <v>3.07</v>
      </c>
      <c r="H227" s="5">
        <f>2.5*4.54</f>
        <v>11.35</v>
      </c>
      <c r="I227" s="6">
        <v>2.5899999999999999E-2</v>
      </c>
      <c r="J227" s="6">
        <v>1.52E-2</v>
      </c>
      <c r="K227" s="6">
        <v>2.8999999999999998E-3</v>
      </c>
      <c r="L227" s="5">
        <v>99.2</v>
      </c>
      <c r="M227" s="5">
        <v>0.6</v>
      </c>
      <c r="N227" s="5">
        <v>1.3</v>
      </c>
      <c r="O227" s="3">
        <v>451</v>
      </c>
    </row>
    <row r="228" spans="1:15" x14ac:dyDescent="0.2">
      <c r="A228" s="15">
        <v>58092</v>
      </c>
      <c r="B228" s="7" t="s">
        <v>237</v>
      </c>
      <c r="C228" s="2">
        <v>45622</v>
      </c>
      <c r="D228" s="10">
        <v>1.0488599999999999</v>
      </c>
      <c r="E228" s="4">
        <v>126.84239654853081</v>
      </c>
      <c r="F228" s="4">
        <v>12.97</v>
      </c>
      <c r="G228" s="5">
        <v>2.98</v>
      </c>
      <c r="H228" s="5">
        <f>2.5*5.33</f>
        <v>13.324999999999999</v>
      </c>
      <c r="I228" s="6">
        <v>3.0499999999999999E-2</v>
      </c>
      <c r="J228" s="6">
        <v>2.64E-2</v>
      </c>
      <c r="K228" s="6">
        <v>2E-3</v>
      </c>
      <c r="L228" s="5">
        <v>98.8</v>
      </c>
      <c r="M228" s="5">
        <v>1.7</v>
      </c>
      <c r="N228" s="5">
        <v>1.5</v>
      </c>
      <c r="O228" s="3">
        <v>279</v>
      </c>
    </row>
    <row r="229" spans="1:15" x14ac:dyDescent="0.2">
      <c r="A229" s="15">
        <v>58093</v>
      </c>
      <c r="B229" s="7" t="s">
        <v>238</v>
      </c>
      <c r="C229" s="2">
        <v>45622</v>
      </c>
      <c r="D229" s="10">
        <v>1.0496300000000001</v>
      </c>
      <c r="E229" s="4">
        <v>128.85091543554427</v>
      </c>
      <c r="F229" s="4">
        <v>13.15</v>
      </c>
      <c r="G229" s="5">
        <v>3.21</v>
      </c>
      <c r="H229" s="5">
        <f>2.5*3.65</f>
        <v>9.125</v>
      </c>
      <c r="I229" s="6">
        <v>0.1469</v>
      </c>
      <c r="J229" s="6">
        <v>7.1499999999999994E-2</v>
      </c>
      <c r="K229" s="6">
        <v>3.7199999999999997E-2</v>
      </c>
      <c r="L229" s="5">
        <v>94.8</v>
      </c>
      <c r="M229" s="5">
        <v>0.6</v>
      </c>
      <c r="N229" s="5">
        <v>7.8</v>
      </c>
      <c r="O229" s="3">
        <v>164</v>
      </c>
    </row>
    <row r="230" spans="1:15" x14ac:dyDescent="0.2">
      <c r="A230" s="15">
        <v>58094</v>
      </c>
      <c r="B230" s="7" t="s">
        <v>239</v>
      </c>
      <c r="C230" s="2">
        <v>45622</v>
      </c>
      <c r="D230" s="10">
        <v>1.04321</v>
      </c>
      <c r="E230" s="4">
        <v>112.11399928044921</v>
      </c>
      <c r="F230" s="4">
        <v>12.08</v>
      </c>
      <c r="G230" s="5">
        <v>3.05</v>
      </c>
      <c r="H230" s="5">
        <f>2.5*4.13</f>
        <v>10.324999999999999</v>
      </c>
      <c r="I230" s="6">
        <v>3.3300000000000003E-2</v>
      </c>
      <c r="J230" s="6">
        <v>2.8500000000000001E-2</v>
      </c>
      <c r="K230" s="6">
        <v>3.5000000000000001E-3</v>
      </c>
      <c r="L230" s="5">
        <v>98.6</v>
      </c>
      <c r="M230" s="5">
        <v>1.7</v>
      </c>
      <c r="N230" s="5">
        <v>1.6</v>
      </c>
      <c r="O230" s="3">
        <v>193</v>
      </c>
    </row>
    <row r="231" spans="1:15" x14ac:dyDescent="0.2">
      <c r="A231" s="15">
        <v>58096</v>
      </c>
      <c r="B231" s="7" t="s">
        <v>240</v>
      </c>
      <c r="C231" s="2">
        <v>45623</v>
      </c>
      <c r="D231" s="10">
        <v>1.0372399999999999</v>
      </c>
      <c r="E231" s="4">
        <v>96.569280299579077</v>
      </c>
      <c r="F231" s="4">
        <v>9.74</v>
      </c>
      <c r="G231" s="4">
        <v>3.16</v>
      </c>
      <c r="H231" s="4">
        <f>2.5*2.71</f>
        <v>6.7750000000000004</v>
      </c>
      <c r="I231" s="6">
        <f>5*0.0858</f>
        <v>0.42899999999999999</v>
      </c>
      <c r="J231" s="6">
        <f>5*0.0171</f>
        <v>8.5500000000000007E-2</v>
      </c>
      <c r="K231" s="6">
        <f>5*0.0045</f>
        <v>2.2499999999999999E-2</v>
      </c>
      <c r="L231" s="5">
        <v>98.7</v>
      </c>
      <c r="M231" s="5">
        <v>-1</v>
      </c>
      <c r="N231" s="5">
        <v>6.4</v>
      </c>
      <c r="O231" s="3">
        <v>570</v>
      </c>
    </row>
    <row r="232" spans="1:15" x14ac:dyDescent="0.2">
      <c r="A232" s="15">
        <v>58097</v>
      </c>
      <c r="B232" s="7" t="s">
        <v>241</v>
      </c>
      <c r="C232" s="2">
        <v>45623</v>
      </c>
      <c r="D232" s="10">
        <v>1.03918</v>
      </c>
      <c r="E232" s="4">
        <v>101.61866800181679</v>
      </c>
      <c r="F232" s="4">
        <v>10.23</v>
      </c>
      <c r="G232" s="4">
        <v>4.3099999999999996</v>
      </c>
      <c r="H232" s="4">
        <f>2.5*0.72</f>
        <v>1.7999999999999998</v>
      </c>
      <c r="I232" s="6">
        <f>5*0.2144</f>
        <v>1.0720000000000001</v>
      </c>
      <c r="J232" s="6">
        <f>5*0.0252</f>
        <v>0.126</v>
      </c>
      <c r="K232" s="6">
        <f>5*0.0045</f>
        <v>2.2499999999999999E-2</v>
      </c>
      <c r="L232" s="5">
        <v>98.1</v>
      </c>
      <c r="M232" s="5">
        <v>-3.4</v>
      </c>
      <c r="N232" s="5">
        <v>15.6</v>
      </c>
      <c r="O232" s="3">
        <v>517</v>
      </c>
    </row>
    <row r="233" spans="1:15" x14ac:dyDescent="0.2">
      <c r="A233" s="15">
        <v>58098</v>
      </c>
      <c r="B233" s="7" t="s">
        <v>242</v>
      </c>
      <c r="C233" s="2">
        <v>45623</v>
      </c>
      <c r="D233" s="10">
        <v>1.0402199999999999</v>
      </c>
      <c r="E233" s="4">
        <v>104.32634501018492</v>
      </c>
      <c r="F233" s="4">
        <v>10.29</v>
      </c>
      <c r="G233" s="4">
        <v>3.09</v>
      </c>
      <c r="H233" s="4">
        <f>2.5*4.87</f>
        <v>12.175000000000001</v>
      </c>
      <c r="I233" s="6">
        <f>5*0.0816</f>
        <v>0.40800000000000003</v>
      </c>
      <c r="J233" s="6">
        <f>5*0.114</f>
        <v>0.57000000000000006</v>
      </c>
      <c r="K233" s="6">
        <f>5*0.0054</f>
        <v>2.7000000000000003E-2</v>
      </c>
      <c r="L233" s="5">
        <v>94.9</v>
      </c>
      <c r="M233" s="5">
        <v>8.6999999999999993</v>
      </c>
      <c r="N233" s="5">
        <v>3.5</v>
      </c>
      <c r="O233" s="3">
        <v>714</v>
      </c>
    </row>
    <row r="234" spans="1:15" x14ac:dyDescent="0.2">
      <c r="A234" s="15">
        <v>58099</v>
      </c>
      <c r="B234" s="7" t="s">
        <v>243</v>
      </c>
      <c r="C234" s="2">
        <v>45623</v>
      </c>
      <c r="D234" s="10">
        <v>1.03945</v>
      </c>
      <c r="E234" s="4">
        <v>102.32156959520535</v>
      </c>
      <c r="F234" s="4">
        <v>10.33</v>
      </c>
      <c r="G234" s="4">
        <v>4.22</v>
      </c>
      <c r="H234" s="4">
        <f>2.5*0.82</f>
        <v>2.0499999999999998</v>
      </c>
      <c r="I234" s="6">
        <f>5*0.16</f>
        <v>0.8</v>
      </c>
      <c r="J234" s="6">
        <f>5*0.0175</f>
        <v>8.7500000000000008E-2</v>
      </c>
      <c r="K234" s="6">
        <f>5*0.0031</f>
        <v>1.55E-2</v>
      </c>
      <c r="L234" s="5">
        <v>98.6</v>
      </c>
      <c r="M234" s="5">
        <v>-2.9</v>
      </c>
      <c r="N234" s="5">
        <v>12.2</v>
      </c>
      <c r="O234" s="3">
        <v>532</v>
      </c>
    </row>
    <row r="235" spans="1:15" x14ac:dyDescent="0.2">
      <c r="A235" s="15">
        <v>58100</v>
      </c>
      <c r="B235" s="7" t="s">
        <v>244</v>
      </c>
      <c r="C235" s="2">
        <v>45623</v>
      </c>
      <c r="D235" s="10">
        <v>1.0426800000000001</v>
      </c>
      <c r="E235" s="4">
        <v>110.73324435908262</v>
      </c>
      <c r="F235" s="4">
        <v>12.01</v>
      </c>
      <c r="G235" s="4">
        <v>3.2</v>
      </c>
      <c r="H235" s="4">
        <f>2.5*3.97</f>
        <v>9.9250000000000007</v>
      </c>
      <c r="I235" s="6">
        <f>5*0.0469</f>
        <v>0.23449999999999999</v>
      </c>
      <c r="J235" s="6">
        <f>5*0.0115</f>
        <v>5.7499999999999996E-2</v>
      </c>
      <c r="K235" s="6">
        <f>5*0.0016</f>
        <v>8.0000000000000002E-3</v>
      </c>
      <c r="L235" s="5">
        <v>99.2</v>
      </c>
      <c r="M235" s="5">
        <v>-0.3</v>
      </c>
      <c r="N235" s="5">
        <v>3.8</v>
      </c>
      <c r="O235" s="3">
        <v>915</v>
      </c>
    </row>
    <row r="236" spans="1:15" x14ac:dyDescent="0.2">
      <c r="A236" s="15">
        <v>58101</v>
      </c>
      <c r="B236" s="7" t="s">
        <v>245</v>
      </c>
      <c r="C236" s="2">
        <v>45623</v>
      </c>
      <c r="D236" s="10">
        <v>1.04599</v>
      </c>
      <c r="E236" s="4">
        <v>119.35882306300118</v>
      </c>
      <c r="F236" s="4">
        <v>12.43</v>
      </c>
      <c r="G236" s="4">
        <v>3.13</v>
      </c>
      <c r="H236" s="4">
        <f>2.5*3.73</f>
        <v>9.3249999999999993</v>
      </c>
      <c r="I236" s="6">
        <f>5*0.0841</f>
        <v>0.42049999999999998</v>
      </c>
      <c r="J236" s="6">
        <f>5*0.0197</f>
        <v>9.849999999999999E-2</v>
      </c>
      <c r="K236" s="6">
        <f>5*0.0049</f>
        <v>2.4500000000000001E-2</v>
      </c>
      <c r="L236" s="5">
        <v>98.6</v>
      </c>
      <c r="M236" s="5">
        <v>-0.8</v>
      </c>
      <c r="N236" s="5">
        <v>6.6</v>
      </c>
      <c r="O236" s="3">
        <v>606</v>
      </c>
    </row>
    <row r="237" spans="1:15" x14ac:dyDescent="0.2">
      <c r="A237" s="15">
        <v>58102</v>
      </c>
      <c r="B237" s="7" t="s">
        <v>246</v>
      </c>
      <c r="C237" s="2">
        <v>45623</v>
      </c>
      <c r="D237" s="10">
        <v>1.0384599999999999</v>
      </c>
      <c r="E237" s="4">
        <v>99.744445234676277</v>
      </c>
      <c r="F237" s="4">
        <v>10.07</v>
      </c>
      <c r="G237" s="4">
        <v>3.27</v>
      </c>
      <c r="H237" s="4">
        <f>2.5*2.39</f>
        <v>5.9750000000000005</v>
      </c>
      <c r="I237" s="6">
        <f>5*0.0998</f>
        <v>0.499</v>
      </c>
      <c r="J237" s="6">
        <f>5*0.0187</f>
        <v>9.35E-2</v>
      </c>
      <c r="K237" s="6">
        <f>5*0.0053</f>
        <v>2.6499999999999999E-2</v>
      </c>
      <c r="L237" s="5">
        <v>98.6</v>
      </c>
      <c r="M237" s="5">
        <v>-1.4</v>
      </c>
      <c r="N237" s="5">
        <v>8.1</v>
      </c>
      <c r="O237" s="3">
        <v>524</v>
      </c>
    </row>
    <row r="238" spans="1:15" x14ac:dyDescent="0.2">
      <c r="A238" s="15">
        <v>58103</v>
      </c>
      <c r="B238" s="7" t="s">
        <v>247</v>
      </c>
      <c r="C238" s="2">
        <v>45623</v>
      </c>
      <c r="D238" s="10">
        <v>1.03183</v>
      </c>
      <c r="E238" s="4">
        <v>82.49830069212976</v>
      </c>
      <c r="F238" s="4">
        <v>7.66</v>
      </c>
      <c r="G238" s="4">
        <v>3.04</v>
      </c>
      <c r="H238" s="4">
        <f>2.5*4</f>
        <v>10</v>
      </c>
      <c r="I238" s="6">
        <f>5*0.1209</f>
        <v>0.60449999999999993</v>
      </c>
      <c r="J238" s="6">
        <f>5*0.2057</f>
        <v>1.0285</v>
      </c>
      <c r="K238" s="6">
        <f>5*0.0072</f>
        <v>3.5999999999999997E-2</v>
      </c>
      <c r="L238" s="5">
        <v>90.9</v>
      </c>
      <c r="M238" s="5">
        <v>16.100000000000001</v>
      </c>
      <c r="N238" s="5">
        <v>3.6</v>
      </c>
      <c r="O238" s="3">
        <v>1617</v>
      </c>
    </row>
    <row r="239" spans="1:15" x14ac:dyDescent="0.2">
      <c r="A239" s="15">
        <v>58104</v>
      </c>
      <c r="B239" s="7" t="s">
        <v>248</v>
      </c>
      <c r="C239" s="2">
        <v>45623</v>
      </c>
      <c r="D239" s="10">
        <v>1.0340400000000001</v>
      </c>
      <c r="E239" s="4">
        <v>88.244556560723595</v>
      </c>
      <c r="F239" s="4">
        <v>8.3800000000000008</v>
      </c>
      <c r="G239" s="4">
        <v>2.96</v>
      </c>
      <c r="H239" s="4">
        <f>2.5*4.18</f>
        <v>10.45</v>
      </c>
      <c r="I239" s="6">
        <f>5*0.0777</f>
        <v>0.38850000000000001</v>
      </c>
      <c r="J239" s="6">
        <f>5*0.2083</f>
        <v>1.0415000000000001</v>
      </c>
      <c r="K239" s="6">
        <f>5*0.0038</f>
        <v>1.9E-2</v>
      </c>
      <c r="L239" s="5">
        <v>91.8</v>
      </c>
      <c r="M239" s="5">
        <v>17.100000000000001</v>
      </c>
      <c r="N239" s="5">
        <v>1.4</v>
      </c>
      <c r="O239" s="3">
        <v>482</v>
      </c>
    </row>
    <row r="240" spans="1:15" x14ac:dyDescent="0.2">
      <c r="A240" s="15">
        <v>58105</v>
      </c>
      <c r="B240" s="7" t="s">
        <v>249</v>
      </c>
      <c r="C240" s="2">
        <v>45623</v>
      </c>
      <c r="D240" s="10">
        <v>1.0455300000000001</v>
      </c>
      <c r="E240" s="4">
        <v>118.15976332204491</v>
      </c>
      <c r="F240" s="4">
        <v>12.34</v>
      </c>
      <c r="G240" s="4">
        <v>3.22</v>
      </c>
      <c r="H240" s="4">
        <f>2.5*4.64</f>
        <v>11.6</v>
      </c>
      <c r="I240" s="6">
        <f>5*0.0954</f>
        <v>0.47699999999999998</v>
      </c>
      <c r="J240" s="6">
        <f>5*0.0188</f>
        <v>9.4E-2</v>
      </c>
      <c r="K240" s="6">
        <f>5*0.0039</f>
        <v>1.95E-2</v>
      </c>
      <c r="L240" s="5">
        <v>98.6</v>
      </c>
      <c r="M240" s="5">
        <v>-1.1000000000000001</v>
      </c>
      <c r="N240" s="5">
        <v>8</v>
      </c>
      <c r="O240" s="3">
        <v>963</v>
      </c>
    </row>
    <row r="241" spans="1:15" x14ac:dyDescent="0.2">
      <c r="A241" s="15">
        <v>58106</v>
      </c>
      <c r="B241" s="7" t="s">
        <v>250</v>
      </c>
      <c r="C241" s="2">
        <v>45623</v>
      </c>
      <c r="D241" s="10">
        <v>1.0339700000000001</v>
      </c>
      <c r="E241" s="4">
        <v>88.062510898019809</v>
      </c>
      <c r="F241" s="4">
        <v>8.3000000000000007</v>
      </c>
      <c r="G241" s="4">
        <v>2.93</v>
      </c>
      <c r="H241" s="4">
        <f>2.5*5.01</f>
        <v>12.524999999999999</v>
      </c>
      <c r="I241" s="6">
        <f>5*0.0957</f>
        <v>0.47849999999999998</v>
      </c>
      <c r="J241" s="6">
        <f>5*0.2179</f>
        <v>1.0895000000000001</v>
      </c>
      <c r="K241" s="6">
        <f>5*0.0068</f>
        <v>3.3999999999999996E-2</v>
      </c>
      <c r="L241" s="5">
        <v>90.7</v>
      </c>
      <c r="M241" s="5">
        <v>17.600000000000001</v>
      </c>
      <c r="N241" s="5">
        <v>1.8</v>
      </c>
      <c r="O241" s="3">
        <v>620</v>
      </c>
    </row>
    <row r="242" spans="1:15" x14ac:dyDescent="0.2">
      <c r="A242" s="15">
        <v>58107</v>
      </c>
      <c r="B242" s="7" t="s">
        <v>251</v>
      </c>
      <c r="C242" s="2">
        <v>45623</v>
      </c>
      <c r="D242" s="10">
        <v>1.0383100000000001</v>
      </c>
      <c r="E242" s="4">
        <v>99.354015350565987</v>
      </c>
      <c r="F242" s="4">
        <v>10.210000000000001</v>
      </c>
      <c r="G242" s="4">
        <v>3.95</v>
      </c>
      <c r="H242" s="4">
        <f>2.5*0.64</f>
        <v>1.6</v>
      </c>
      <c r="I242" s="6">
        <f>5*0.1149</f>
        <v>0.57450000000000001</v>
      </c>
      <c r="J242" s="6">
        <f>5*0.0234</f>
        <v>0.11700000000000001</v>
      </c>
      <c r="K242" s="6">
        <f>5*0.0032</f>
        <v>1.6E-2</v>
      </c>
      <c r="L242" s="5">
        <v>98.4</v>
      </c>
      <c r="M242" s="5">
        <v>-1</v>
      </c>
      <c r="N242" s="5">
        <v>8.8000000000000007</v>
      </c>
      <c r="O242" s="3">
        <v>1635</v>
      </c>
    </row>
    <row r="243" spans="1:15" x14ac:dyDescent="0.2">
      <c r="A243" s="15">
        <v>58108</v>
      </c>
      <c r="B243" s="7" t="s">
        <v>252</v>
      </c>
      <c r="C243" s="2">
        <v>45623</v>
      </c>
      <c r="D243" s="10">
        <v>1.0532699999999999</v>
      </c>
      <c r="E243" s="4">
        <v>138.34994422933732</v>
      </c>
      <c r="F243" s="4">
        <v>13.82</v>
      </c>
      <c r="G243" s="4">
        <v>4.6500000000000004</v>
      </c>
      <c r="H243" s="4">
        <f>2.5*0.55</f>
        <v>1.375</v>
      </c>
      <c r="I243" s="6">
        <f>5*0.8094</f>
        <v>4.0469999999999997</v>
      </c>
      <c r="J243" s="6">
        <f>5*0.2001</f>
        <v>1.0004999999999999</v>
      </c>
      <c r="K243" s="6">
        <f>5*0.0723</f>
        <v>0.36150000000000004</v>
      </c>
      <c r="L243" s="5">
        <v>86.8</v>
      </c>
      <c r="M243" s="5">
        <v>-0.2</v>
      </c>
      <c r="N243" s="5">
        <v>48.1</v>
      </c>
      <c r="O243" s="3">
        <v>492</v>
      </c>
    </row>
    <row r="244" spans="1:15" x14ac:dyDescent="0.2">
      <c r="A244" s="15">
        <v>58109</v>
      </c>
      <c r="B244" s="7" t="s">
        <v>253</v>
      </c>
      <c r="C244" s="2">
        <v>45623</v>
      </c>
      <c r="D244" s="10">
        <v>1.04403</v>
      </c>
      <c r="E244" s="4">
        <v>114.25054665432299</v>
      </c>
      <c r="F244" s="4">
        <v>12.13</v>
      </c>
      <c r="G244" s="4">
        <v>3.16</v>
      </c>
      <c r="H244" s="4">
        <f>2.5*4.94</f>
        <v>12.350000000000001</v>
      </c>
      <c r="I244" s="6">
        <f>5*0.0764</f>
        <v>0.38200000000000001</v>
      </c>
      <c r="J244" s="6">
        <f>5*0.019</f>
        <v>9.5000000000000001E-2</v>
      </c>
      <c r="K244" s="6">
        <f>5*0.007</f>
        <v>3.5000000000000003E-2</v>
      </c>
      <c r="L244" s="5">
        <v>98.6</v>
      </c>
      <c r="M244" s="5">
        <v>-0.9</v>
      </c>
      <c r="N244" s="5">
        <v>5.9</v>
      </c>
      <c r="O244" s="3">
        <v>372</v>
      </c>
    </row>
    <row r="245" spans="1:15" x14ac:dyDescent="0.2">
      <c r="A245" s="15">
        <v>58110</v>
      </c>
      <c r="B245" s="7" t="s">
        <v>254</v>
      </c>
      <c r="C245" s="2">
        <v>45623</v>
      </c>
      <c r="D245" s="10">
        <v>1.04895</v>
      </c>
      <c r="E245" s="4">
        <v>127.07714249664104</v>
      </c>
      <c r="F245" s="4">
        <v>13.02</v>
      </c>
      <c r="G245" s="4">
        <v>3.49</v>
      </c>
      <c r="H245" s="4">
        <f>2.5*2.77</f>
        <v>6.9249999999999998</v>
      </c>
      <c r="I245" s="6">
        <f>5*0.211</f>
        <v>1.0549999999999999</v>
      </c>
      <c r="J245" s="6">
        <f>5*0.0573</f>
        <v>0.28649999999999998</v>
      </c>
      <c r="K245" s="6">
        <f>5*0.0228</f>
        <v>0.114</v>
      </c>
      <c r="L245" s="5">
        <v>95.8</v>
      </c>
      <c r="M245" s="5">
        <v>-1.7</v>
      </c>
      <c r="N245" s="5">
        <v>15.3</v>
      </c>
      <c r="O245" s="3">
        <v>324</v>
      </c>
    </row>
    <row r="246" spans="1:15" x14ac:dyDescent="0.2">
      <c r="A246" s="15">
        <v>58111</v>
      </c>
      <c r="B246" s="7" t="s">
        <v>255</v>
      </c>
      <c r="C246" s="2">
        <v>45623</v>
      </c>
      <c r="D246" s="10">
        <v>1.04227</v>
      </c>
      <c r="E246" s="4">
        <v>109.66521227795874</v>
      </c>
      <c r="F246" s="4">
        <v>11.97</v>
      </c>
      <c r="G246" s="4">
        <v>3.34</v>
      </c>
      <c r="H246" s="4">
        <f>2.5*2.66</f>
        <v>6.65</v>
      </c>
      <c r="I246" s="6">
        <f>5*0.0763</f>
        <v>0.38150000000000006</v>
      </c>
      <c r="J246" s="6">
        <f>5*0.0137</f>
        <v>6.8500000000000005E-2</v>
      </c>
      <c r="K246" s="6">
        <f>5*0.0029</f>
        <v>1.4499999999999999E-2</v>
      </c>
      <c r="L246" s="5">
        <v>99</v>
      </c>
      <c r="M246" s="5">
        <v>-1.1000000000000001</v>
      </c>
      <c r="N246" s="5">
        <v>6.6</v>
      </c>
      <c r="O246" s="3">
        <v>609</v>
      </c>
    </row>
    <row r="247" spans="1:15" x14ac:dyDescent="0.2">
      <c r="A247" s="15">
        <v>58112</v>
      </c>
      <c r="B247" s="7" t="s">
        <v>256</v>
      </c>
      <c r="C247" s="2">
        <v>45623</v>
      </c>
      <c r="D247" s="10">
        <v>1.0384899999999999</v>
      </c>
      <c r="E247" s="4">
        <v>99.822532584137662</v>
      </c>
      <c r="F247" s="4">
        <v>9.9</v>
      </c>
      <c r="G247" s="4">
        <v>3.15</v>
      </c>
      <c r="H247" s="4">
        <f>2.5*4.91</f>
        <v>12.275</v>
      </c>
      <c r="I247" s="6">
        <f>5*0.0927</f>
        <v>0.46350000000000002</v>
      </c>
      <c r="J247" s="6">
        <f>5*0.0765</f>
        <v>0.38250000000000001</v>
      </c>
      <c r="K247" s="6">
        <f>5*0.0055</f>
        <v>2.7499999999999997E-2</v>
      </c>
      <c r="L247" s="5">
        <v>96.1</v>
      </c>
      <c r="M247" s="5">
        <v>4.9000000000000004</v>
      </c>
      <c r="N247" s="5">
        <v>5.3</v>
      </c>
      <c r="O247" s="3">
        <v>817</v>
      </c>
    </row>
    <row r="248" spans="1:15" x14ac:dyDescent="0.2">
      <c r="A248" s="15">
        <v>58113</v>
      </c>
      <c r="B248" s="7" t="s">
        <v>257</v>
      </c>
      <c r="C248" s="2">
        <v>45623</v>
      </c>
      <c r="D248" s="10">
        <v>1.032</v>
      </c>
      <c r="E248" s="4">
        <v>82.940233577405706</v>
      </c>
      <c r="F248" s="4">
        <v>7.69</v>
      </c>
      <c r="G248" s="4">
        <v>3.18</v>
      </c>
      <c r="H248" s="4">
        <f>2.5*3.38</f>
        <v>8.4499999999999993</v>
      </c>
      <c r="I248" s="6">
        <f>5*0.2322</f>
        <v>1.161</v>
      </c>
      <c r="J248" s="6">
        <f>5*0.3542</f>
        <v>1.7710000000000001</v>
      </c>
      <c r="K248" s="6">
        <f>5*0.0175</f>
        <v>8.7500000000000008E-2</v>
      </c>
      <c r="L248" s="5">
        <v>84.9</v>
      </c>
      <c r="M248" s="5">
        <v>24.8</v>
      </c>
      <c r="N248" s="5">
        <v>8.4</v>
      </c>
      <c r="O248" s="3">
        <v>1806</v>
      </c>
    </row>
    <row r="249" spans="1:15" x14ac:dyDescent="0.2">
      <c r="A249" s="15">
        <v>58114</v>
      </c>
      <c r="B249" s="7" t="s">
        <v>258</v>
      </c>
      <c r="C249" s="2">
        <v>45623</v>
      </c>
      <c r="D249" s="10">
        <v>1.0409299999999999</v>
      </c>
      <c r="E249" s="4">
        <v>106.17517252710604</v>
      </c>
      <c r="F249" s="4">
        <v>10.46</v>
      </c>
      <c r="G249" s="4">
        <v>3.24</v>
      </c>
      <c r="H249" s="4">
        <f>2.5*4.08</f>
        <v>10.199999999999999</v>
      </c>
      <c r="I249" s="6">
        <f>5*0.0153</f>
        <v>7.6499999999999999E-2</v>
      </c>
      <c r="J249" s="6">
        <f>5*0.0045</f>
        <v>2.2499999999999999E-2</v>
      </c>
      <c r="K249" s="6">
        <f>5*0.0011</f>
        <v>5.5000000000000005E-3</v>
      </c>
      <c r="L249" s="5">
        <v>99.7</v>
      </c>
      <c r="M249" s="5">
        <v>-0.1</v>
      </c>
      <c r="N249" s="5">
        <v>1.1000000000000001</v>
      </c>
      <c r="O249" s="3">
        <v>170</v>
      </c>
    </row>
    <row r="250" spans="1:15" x14ac:dyDescent="0.2">
      <c r="A250" s="15">
        <v>58115</v>
      </c>
      <c r="B250" s="7" t="s">
        <v>259</v>
      </c>
      <c r="C250" s="2">
        <v>45623</v>
      </c>
      <c r="D250" s="10">
        <v>1.0448500000000001</v>
      </c>
      <c r="E250" s="4">
        <v>116.38744095893117</v>
      </c>
      <c r="F250" s="4">
        <v>12.28</v>
      </c>
      <c r="G250" s="4">
        <v>3.32</v>
      </c>
      <c r="H250" s="4">
        <f>2.5*2.82</f>
        <v>7.05</v>
      </c>
      <c r="I250" s="6">
        <f>5*0.0175</f>
        <v>8.7500000000000008E-2</v>
      </c>
      <c r="J250" s="6">
        <f>5*0.012</f>
        <v>0.06</v>
      </c>
      <c r="K250" s="6">
        <f>5*0.0028</f>
        <v>1.4E-2</v>
      </c>
      <c r="L250" s="5">
        <v>99.3</v>
      </c>
      <c r="M250" s="5">
        <v>0.6</v>
      </c>
      <c r="N250" s="5">
        <v>0.9</v>
      </c>
      <c r="O250" s="3">
        <v>184</v>
      </c>
    </row>
    <row r="251" spans="1:15" x14ac:dyDescent="0.2">
      <c r="A251" s="15">
        <v>58122</v>
      </c>
      <c r="B251" s="7" t="s">
        <v>260</v>
      </c>
      <c r="C251" s="2">
        <v>45628</v>
      </c>
      <c r="D251" s="10">
        <v>1.0527500000000001</v>
      </c>
      <c r="E251" s="4">
        <v>136.99</v>
      </c>
      <c r="F251" s="11">
        <v>13.73</v>
      </c>
      <c r="G251" s="18">
        <v>4.32</v>
      </c>
      <c r="H251" s="4">
        <v>1.3</v>
      </c>
      <c r="I251" s="6">
        <v>0.28100000000000003</v>
      </c>
      <c r="J251" s="6">
        <v>3.85E-2</v>
      </c>
      <c r="K251" s="6">
        <v>5.0000000000000001E-3</v>
      </c>
      <c r="L251" s="5">
        <v>97.264568073144815</v>
      </c>
      <c r="M251" s="5">
        <v>-3.6757833511708582</v>
      </c>
      <c r="N251" s="5">
        <v>22.644759906707534</v>
      </c>
      <c r="O251" s="3">
        <v>731</v>
      </c>
    </row>
    <row r="252" spans="1:15" x14ac:dyDescent="0.2">
      <c r="A252" s="15">
        <v>58123</v>
      </c>
      <c r="B252" s="7" t="s">
        <v>261</v>
      </c>
      <c r="C252" s="2">
        <v>45628</v>
      </c>
      <c r="D252" s="10">
        <v>1.0434699999999999</v>
      </c>
      <c r="E252" s="4">
        <v>112.79</v>
      </c>
      <c r="F252" s="12">
        <v>12.1</v>
      </c>
      <c r="G252" s="18">
        <v>3.16</v>
      </c>
      <c r="H252" s="4">
        <v>9.0250000000000004</v>
      </c>
      <c r="I252" s="6">
        <v>2.35E-2</v>
      </c>
      <c r="J252" s="6">
        <v>3.5000000000000001E-3</v>
      </c>
      <c r="K252" s="6">
        <v>1E-3</v>
      </c>
      <c r="L252" s="5">
        <v>99.726301209954542</v>
      </c>
      <c r="M252" s="5">
        <v>-0.29172380322461944</v>
      </c>
      <c r="N252" s="5">
        <v>1.4212759509928397</v>
      </c>
      <c r="O252" s="3">
        <v>370</v>
      </c>
    </row>
    <row r="253" spans="1:15" x14ac:dyDescent="0.2">
      <c r="A253" s="15">
        <v>58124</v>
      </c>
      <c r="B253" s="7" t="s">
        <v>262</v>
      </c>
      <c r="C253" s="2">
        <v>45628</v>
      </c>
      <c r="D253" s="10">
        <v>1.0443499999999999</v>
      </c>
      <c r="E253" s="4">
        <v>115.08</v>
      </c>
      <c r="F253" s="12">
        <v>12.33</v>
      </c>
      <c r="G253" s="18">
        <v>4.3099999999999996</v>
      </c>
      <c r="H253" s="4">
        <v>1.3</v>
      </c>
      <c r="I253" s="6">
        <v>1.5890000000000002</v>
      </c>
      <c r="J253" s="6">
        <v>0.23050000000000001</v>
      </c>
      <c r="K253" s="6">
        <v>2.9499999999999998E-2</v>
      </c>
      <c r="L253" s="5">
        <v>86.981349036802982</v>
      </c>
      <c r="M253" s="5">
        <v>3.5646697517987547</v>
      </c>
      <c r="N253" s="5">
        <v>76.946887898754682</v>
      </c>
      <c r="O253" s="3">
        <v>1308</v>
      </c>
    </row>
    <row r="254" spans="1:15" x14ac:dyDescent="0.2">
      <c r="A254" s="15">
        <v>58125</v>
      </c>
      <c r="B254" s="7" t="s">
        <v>263</v>
      </c>
      <c r="C254" s="2">
        <v>45628</v>
      </c>
      <c r="D254" s="10">
        <v>1.0435700000000001</v>
      </c>
      <c r="E254" s="4">
        <v>113.05</v>
      </c>
      <c r="F254" s="12">
        <v>12.15</v>
      </c>
      <c r="G254" s="18">
        <v>3.39</v>
      </c>
      <c r="H254" s="4">
        <v>5.5750000000000002</v>
      </c>
      <c r="I254" s="6">
        <v>8.1499999999999989E-2</v>
      </c>
      <c r="J254" s="6">
        <v>3.7000000000000005E-2</v>
      </c>
      <c r="K254" s="6">
        <v>0.01</v>
      </c>
      <c r="L254" s="5">
        <v>97.642724108104417</v>
      </c>
      <c r="M254" s="5">
        <v>0.81862864114590206</v>
      </c>
      <c r="N254" s="5">
        <v>5.5120876986350931</v>
      </c>
      <c r="O254" s="3">
        <v>320</v>
      </c>
    </row>
    <row r="255" spans="1:15" x14ac:dyDescent="0.2">
      <c r="A255" s="15">
        <v>58126</v>
      </c>
      <c r="B255" s="7" t="s">
        <v>264</v>
      </c>
      <c r="C255" s="2">
        <v>45628</v>
      </c>
      <c r="D255" s="10">
        <v>1.0363599999999999</v>
      </c>
      <c r="E255" s="4">
        <v>94.28</v>
      </c>
      <c r="F255" s="12">
        <v>9.44</v>
      </c>
      <c r="G255" s="18">
        <v>3.17</v>
      </c>
      <c r="H255" s="4">
        <v>7.9</v>
      </c>
      <c r="I255" s="6">
        <v>0.25950000000000001</v>
      </c>
      <c r="J255" s="6">
        <v>9.8000000000000004E-2</v>
      </c>
      <c r="K255" s="6">
        <v>1.7500000000000002E-2</v>
      </c>
      <c r="L255" s="5">
        <v>94.213089979604717</v>
      </c>
      <c r="M255" s="5">
        <v>2.1886513291446419</v>
      </c>
      <c r="N255" s="5">
        <v>17.155455679645538</v>
      </c>
      <c r="O255" s="3">
        <v>498</v>
      </c>
    </row>
    <row r="256" spans="1:15" x14ac:dyDescent="0.2">
      <c r="A256" s="15">
        <v>58127</v>
      </c>
      <c r="B256" s="7" t="s">
        <v>265</v>
      </c>
      <c r="C256" s="2">
        <v>45628</v>
      </c>
      <c r="D256" s="10">
        <v>1.0464100000000001</v>
      </c>
      <c r="E256" s="4">
        <v>120.45</v>
      </c>
      <c r="F256" s="12">
        <v>12.59</v>
      </c>
      <c r="G256" s="18">
        <v>3.7</v>
      </c>
      <c r="H256" s="4">
        <v>3.8250000000000002</v>
      </c>
      <c r="I256" s="6">
        <v>0.44600000000000001</v>
      </c>
      <c r="J256" s="6">
        <v>7.4499999999999997E-2</v>
      </c>
      <c r="K256" s="6">
        <v>1.3500000000000002E-2</v>
      </c>
      <c r="L256" s="5">
        <v>94.875581792085796</v>
      </c>
      <c r="M256" s="5">
        <v>-3.1777023202188559</v>
      </c>
      <c r="N256" s="5">
        <v>30.960495816544164</v>
      </c>
      <c r="O256" s="3">
        <v>539</v>
      </c>
    </row>
    <row r="257" spans="1:15" x14ac:dyDescent="0.2">
      <c r="A257" s="15">
        <v>58128</v>
      </c>
      <c r="B257" s="7" t="s">
        <v>266</v>
      </c>
      <c r="C257" s="2">
        <v>45628</v>
      </c>
      <c r="D257" s="10">
        <v>1.0417000000000001</v>
      </c>
      <c r="E257" s="4">
        <v>108.18</v>
      </c>
      <c r="F257" s="12">
        <v>11.99</v>
      </c>
      <c r="G257" s="18">
        <v>4.28</v>
      </c>
      <c r="H257" s="4">
        <v>1.925</v>
      </c>
      <c r="I257" s="6">
        <v>0.45449999999999996</v>
      </c>
      <c r="J257" s="6">
        <v>7.0499999999999993E-2</v>
      </c>
      <c r="K257" s="6">
        <v>1.15E-2</v>
      </c>
      <c r="L257" s="5">
        <v>95.222369184568365</v>
      </c>
      <c r="M257" s="5">
        <v>-3.5792612012921499</v>
      </c>
      <c r="N257" s="5">
        <v>31.21450208280978</v>
      </c>
      <c r="O257" s="3">
        <v>530</v>
      </c>
    </row>
    <row r="258" spans="1:15" x14ac:dyDescent="0.2">
      <c r="A258" s="15">
        <v>58129</v>
      </c>
      <c r="B258" s="7" t="s">
        <v>267</v>
      </c>
      <c r="C258" s="2">
        <v>45628</v>
      </c>
      <c r="D258" s="10">
        <v>1.0442</v>
      </c>
      <c r="E258" s="4">
        <v>114.69</v>
      </c>
      <c r="F258" s="12">
        <v>12.22</v>
      </c>
      <c r="G258" s="18">
        <v>3.15</v>
      </c>
      <c r="H258" s="4">
        <v>9.15</v>
      </c>
      <c r="I258" s="6">
        <v>0.51500000000000001</v>
      </c>
      <c r="J258" s="6">
        <v>0.29600000000000004</v>
      </c>
      <c r="K258" s="6">
        <v>2.3999999999999997E-2</v>
      </c>
      <c r="L258" s="5">
        <v>85.989013896245297</v>
      </c>
      <c r="M258" s="5">
        <v>15.080316466798749</v>
      </c>
      <c r="N258" s="5">
        <v>29.722028517638964</v>
      </c>
      <c r="O258" s="3">
        <v>1017</v>
      </c>
    </row>
    <row r="259" spans="1:15" x14ac:dyDescent="0.2">
      <c r="A259" s="15">
        <v>58130</v>
      </c>
      <c r="B259" s="7" t="s">
        <v>268</v>
      </c>
      <c r="C259" s="2">
        <v>45628</v>
      </c>
      <c r="D259" s="10">
        <v>1.0390299999999999</v>
      </c>
      <c r="E259" s="4">
        <v>101.23</v>
      </c>
      <c r="F259" s="12">
        <v>10.06</v>
      </c>
      <c r="G259" s="18">
        <v>3.06</v>
      </c>
      <c r="H259" s="4">
        <v>11.274999999999999</v>
      </c>
      <c r="I259" s="6">
        <v>0.62250000000000005</v>
      </c>
      <c r="J259" s="6">
        <v>0.151</v>
      </c>
      <c r="K259" s="6">
        <v>5.1500000000000004E-2</v>
      </c>
      <c r="L259" s="5">
        <v>89.668474492430221</v>
      </c>
      <c r="M259" s="5">
        <v>-1.1904743089514724</v>
      </c>
      <c r="N259" s="5">
        <v>39.319403033480157</v>
      </c>
      <c r="O259" s="3">
        <v>357</v>
      </c>
    </row>
    <row r="260" spans="1:15" x14ac:dyDescent="0.2">
      <c r="A260" s="15">
        <v>58131</v>
      </c>
      <c r="B260" s="7" t="s">
        <v>193</v>
      </c>
      <c r="C260" s="2">
        <v>45628</v>
      </c>
      <c r="D260" s="10">
        <v>1.0441499999999999</v>
      </c>
      <c r="E260" s="4">
        <v>114.56</v>
      </c>
      <c r="F260" s="12">
        <v>12.24</v>
      </c>
      <c r="G260" s="18">
        <v>4.38</v>
      </c>
      <c r="H260" s="4">
        <v>2.0250000000000004</v>
      </c>
      <c r="I260" s="6">
        <v>0.39899999999999997</v>
      </c>
      <c r="J260" s="6">
        <v>4.1500000000000002E-2</v>
      </c>
      <c r="K260" s="6">
        <v>7.0000000000000001E-3</v>
      </c>
      <c r="L260" s="5">
        <v>96.942274813980546</v>
      </c>
      <c r="M260" s="5">
        <v>-5.3108424505655671</v>
      </c>
      <c r="N260" s="5">
        <v>26.60723377356906</v>
      </c>
      <c r="O260" s="3">
        <v>376</v>
      </c>
    </row>
    <row r="261" spans="1:15" x14ac:dyDescent="0.2">
      <c r="A261" s="15">
        <v>58132</v>
      </c>
      <c r="B261" s="7" t="s">
        <v>269</v>
      </c>
      <c r="C261" s="2">
        <v>45628</v>
      </c>
      <c r="D261" s="10">
        <v>1.04105</v>
      </c>
      <c r="E261" s="4">
        <v>106.49</v>
      </c>
      <c r="F261" s="12">
        <v>10.63</v>
      </c>
      <c r="G261" s="18">
        <v>3.06</v>
      </c>
      <c r="H261" s="4">
        <v>11.725000000000001</v>
      </c>
      <c r="I261" s="6">
        <v>0.42599999999999999</v>
      </c>
      <c r="J261" s="6">
        <v>0.43200000000000005</v>
      </c>
      <c r="K261" s="6">
        <v>1.9E-2</v>
      </c>
      <c r="L261" s="5">
        <v>82.934482274843745</v>
      </c>
      <c r="M261" s="5">
        <v>26.121664367494912</v>
      </c>
      <c r="N261" s="5">
        <v>21.119036674230962</v>
      </c>
      <c r="O261" s="3">
        <v>805</v>
      </c>
    </row>
    <row r="262" spans="1:15" x14ac:dyDescent="0.2">
      <c r="A262" s="15">
        <v>58133</v>
      </c>
      <c r="B262" s="7" t="s">
        <v>270</v>
      </c>
      <c r="C262" s="2">
        <v>45628</v>
      </c>
      <c r="D262" s="10">
        <v>1.0370900000000001</v>
      </c>
      <c r="E262" s="4">
        <v>96.18</v>
      </c>
      <c r="F262" s="12">
        <v>9.68</v>
      </c>
      <c r="G262" s="18">
        <v>3.16</v>
      </c>
      <c r="H262" s="4">
        <v>8.75</v>
      </c>
      <c r="I262" s="6">
        <v>0.48</v>
      </c>
      <c r="J262" s="6">
        <v>9.7500000000000003E-2</v>
      </c>
      <c r="K262" s="6">
        <v>2.0500000000000001E-2</v>
      </c>
      <c r="L262" s="5">
        <v>93.461659886747228</v>
      </c>
      <c r="M262" s="5">
        <v>-2.1539152741981149</v>
      </c>
      <c r="N262" s="5">
        <v>35.024545581884617</v>
      </c>
      <c r="O262" s="3">
        <v>551</v>
      </c>
    </row>
    <row r="263" spans="1:15" x14ac:dyDescent="0.2">
      <c r="A263" s="15">
        <v>58134</v>
      </c>
      <c r="B263" s="7" t="s">
        <v>271</v>
      </c>
      <c r="C263" s="2">
        <v>45628</v>
      </c>
      <c r="D263" s="10">
        <v>1.0393300000000001</v>
      </c>
      <c r="E263" s="4">
        <v>102.01</v>
      </c>
      <c r="F263" s="12">
        <v>10.18</v>
      </c>
      <c r="G263" s="18">
        <v>3.08</v>
      </c>
      <c r="H263" s="4">
        <v>9.9250000000000007</v>
      </c>
      <c r="I263" s="6">
        <v>0.45699999999999996</v>
      </c>
      <c r="J263" s="6">
        <v>0.32550000000000001</v>
      </c>
      <c r="K263" s="6">
        <v>1.7500000000000002E-2</v>
      </c>
      <c r="L263" s="5">
        <v>85.655033317027403</v>
      </c>
      <c r="M263" s="5">
        <v>17.973547696041592</v>
      </c>
      <c r="N263" s="5">
        <v>28.293073070023823</v>
      </c>
      <c r="O263" s="3">
        <v>914</v>
      </c>
    </row>
    <row r="264" spans="1:15" x14ac:dyDescent="0.2">
      <c r="A264" s="15">
        <v>58135</v>
      </c>
      <c r="B264" s="7" t="s">
        <v>272</v>
      </c>
      <c r="C264" s="2">
        <v>45628</v>
      </c>
      <c r="D264" s="10">
        <v>1.0312600000000001</v>
      </c>
      <c r="E264" s="4">
        <v>81.02</v>
      </c>
      <c r="F264" s="12">
        <v>7.34</v>
      </c>
      <c r="G264" s="18">
        <v>3.12</v>
      </c>
      <c r="H264" s="4">
        <v>10.4</v>
      </c>
      <c r="I264" s="6">
        <v>0.26050000000000001</v>
      </c>
      <c r="J264" s="6">
        <v>5.8999999999999997E-2</v>
      </c>
      <c r="K264" s="6">
        <v>1.4999999999999999E-2</v>
      </c>
      <c r="L264" s="5">
        <v>95.871437277415026</v>
      </c>
      <c r="M264" s="5">
        <v>-1.6626833072155844</v>
      </c>
      <c r="N264" s="5">
        <v>19.518283927638215</v>
      </c>
      <c r="O264" s="3">
        <v>466</v>
      </c>
    </row>
    <row r="265" spans="1:15" x14ac:dyDescent="0.2">
      <c r="A265" s="15">
        <v>58136</v>
      </c>
      <c r="B265" s="7" t="s">
        <v>273</v>
      </c>
      <c r="C265" s="2">
        <v>45628</v>
      </c>
      <c r="D265" s="10">
        <v>1.03932</v>
      </c>
      <c r="E265" s="4">
        <v>101.98</v>
      </c>
      <c r="F265" s="12">
        <v>10.17</v>
      </c>
      <c r="G265" s="18">
        <v>3.01</v>
      </c>
      <c r="H265" s="4">
        <v>10.049999999999999</v>
      </c>
      <c r="I265" s="6">
        <v>0.66100000000000003</v>
      </c>
      <c r="J265" s="6">
        <v>1.873</v>
      </c>
      <c r="K265" s="6">
        <v>3.7000000000000005E-2</v>
      </c>
      <c r="L265" s="5">
        <v>61.944453926186952</v>
      </c>
      <c r="M265" s="5">
        <v>65.046019680139565</v>
      </c>
      <c r="N265" s="5">
        <v>32.012134712680229</v>
      </c>
      <c r="O265" s="3">
        <v>480</v>
      </c>
    </row>
    <row r="266" spans="1:15" x14ac:dyDescent="0.2">
      <c r="A266" s="15">
        <v>58137</v>
      </c>
      <c r="B266" s="7" t="s">
        <v>274</v>
      </c>
      <c r="C266" s="2">
        <v>45628</v>
      </c>
      <c r="D266" s="10">
        <v>1.0438799999999999</v>
      </c>
      <c r="E266" s="4">
        <v>113.86</v>
      </c>
      <c r="F266" s="12">
        <v>12.2</v>
      </c>
      <c r="G266" s="18">
        <v>3.21</v>
      </c>
      <c r="H266" s="4">
        <v>7.4750000000000005</v>
      </c>
      <c r="I266" s="6">
        <v>0.44900000000000001</v>
      </c>
      <c r="J266" s="6">
        <v>0.23499999999999999</v>
      </c>
      <c r="K266" s="6">
        <v>2.5000000000000001E-2</v>
      </c>
      <c r="L266" s="5">
        <v>88.292844419928599</v>
      </c>
      <c r="M266" s="5">
        <v>10.789954406831615</v>
      </c>
      <c r="N266" s="5">
        <v>26.540266253107635</v>
      </c>
      <c r="O266" s="3">
        <v>658</v>
      </c>
    </row>
    <row r="267" spans="1:15" x14ac:dyDescent="0.2">
      <c r="A267" s="15">
        <v>58138</v>
      </c>
      <c r="B267" s="7" t="s">
        <v>275</v>
      </c>
      <c r="C267" s="2">
        <v>45628</v>
      </c>
      <c r="D267" s="10">
        <v>1.0395000000000001</v>
      </c>
      <c r="E267" s="4">
        <v>102.45</v>
      </c>
      <c r="F267" s="12">
        <v>10.31</v>
      </c>
      <c r="G267" s="18">
        <v>3.17</v>
      </c>
      <c r="H267" s="4">
        <v>7.65</v>
      </c>
      <c r="I267" s="6">
        <v>0.35399999999999998</v>
      </c>
      <c r="J267" s="6">
        <v>6.7999999999999991E-2</v>
      </c>
      <c r="K267" s="6">
        <v>1.7999999999999999E-2</v>
      </c>
      <c r="L267" s="5">
        <v>95.175103894812665</v>
      </c>
      <c r="M267" s="5">
        <v>-2.5249286280387695</v>
      </c>
      <c r="N267" s="5">
        <v>23.926946409467998</v>
      </c>
      <c r="O267" s="3">
        <v>469</v>
      </c>
    </row>
    <row r="268" spans="1:15" x14ac:dyDescent="0.2">
      <c r="A268" s="15">
        <v>58139</v>
      </c>
      <c r="B268" s="7" t="s">
        <v>276</v>
      </c>
      <c r="C268" s="2">
        <v>45628</v>
      </c>
      <c r="D268" s="10">
        <v>1.0396000000000001</v>
      </c>
      <c r="E268" s="4">
        <v>102.71</v>
      </c>
      <c r="F268" s="12">
        <v>10.44</v>
      </c>
      <c r="G268" s="18">
        <v>4.0999999999999996</v>
      </c>
      <c r="H268" s="4">
        <v>2.1749999999999998</v>
      </c>
      <c r="I268" s="6">
        <v>0.85999999999999988</v>
      </c>
      <c r="J268" s="6">
        <v>0.20299999999999999</v>
      </c>
      <c r="K268" s="6">
        <v>2.5500000000000002E-2</v>
      </c>
      <c r="L268" s="5">
        <v>88.313336975541006</v>
      </c>
      <c r="M268" s="5">
        <v>4.2521216498248577</v>
      </c>
      <c r="N268" s="5">
        <v>46.828040681205231</v>
      </c>
      <c r="O268" s="3">
        <v>1338</v>
      </c>
    </row>
    <row r="269" spans="1:15" x14ac:dyDescent="0.2">
      <c r="A269" s="15">
        <v>58140</v>
      </c>
      <c r="B269" s="7" t="s">
        <v>277</v>
      </c>
      <c r="C269" s="2">
        <v>45628</v>
      </c>
      <c r="D269" s="10">
        <v>1.05135</v>
      </c>
      <c r="E269" s="4">
        <v>133.34</v>
      </c>
      <c r="F269" s="12">
        <v>13.33</v>
      </c>
      <c r="G269" s="18">
        <v>3.12</v>
      </c>
      <c r="H269" s="4">
        <v>13.225</v>
      </c>
      <c r="I269" s="6">
        <v>0.308</v>
      </c>
      <c r="J269" s="6">
        <v>7.2999999999999995E-2</v>
      </c>
      <c r="K269" s="6">
        <v>1.2999999999999999E-2</v>
      </c>
      <c r="L269" s="5">
        <v>95.265121146198524</v>
      </c>
      <c r="M269" s="5">
        <v>-0.83795540140296776</v>
      </c>
      <c r="N269" s="5">
        <v>22.476215470382076</v>
      </c>
      <c r="O269" s="3">
        <v>963</v>
      </c>
    </row>
    <row r="270" spans="1:15" x14ac:dyDescent="0.2">
      <c r="A270" s="15">
        <v>58141</v>
      </c>
      <c r="B270" s="7" t="s">
        <v>278</v>
      </c>
      <c r="C270" s="2">
        <v>45628</v>
      </c>
      <c r="D270" s="10">
        <v>1.04128</v>
      </c>
      <c r="E270" s="4">
        <v>107.09</v>
      </c>
      <c r="F270" s="12">
        <v>10.63</v>
      </c>
      <c r="G270" s="18">
        <v>3.21</v>
      </c>
      <c r="H270" s="4">
        <v>10.549999999999999</v>
      </c>
      <c r="I270" s="6">
        <v>0.69750000000000001</v>
      </c>
      <c r="J270" s="6">
        <v>1.5674999999999999</v>
      </c>
      <c r="K270" s="6">
        <v>4.4000000000000004E-2</v>
      </c>
      <c r="L270" s="5">
        <v>62.721154914601868</v>
      </c>
      <c r="M270" s="5">
        <v>61.800510350833726</v>
      </c>
      <c r="N270" s="5">
        <v>29.885779089465192</v>
      </c>
      <c r="O270" s="3">
        <v>1568</v>
      </c>
    </row>
    <row r="271" spans="1:15" x14ac:dyDescent="0.2">
      <c r="A271" s="15">
        <v>58142</v>
      </c>
      <c r="B271" s="7" t="s">
        <v>279</v>
      </c>
      <c r="C271" s="2">
        <v>45629</v>
      </c>
      <c r="D271" s="10">
        <v>1.0366</v>
      </c>
      <c r="E271" s="4">
        <v>94.903921803606863</v>
      </c>
      <c r="F271" s="5">
        <v>9.68</v>
      </c>
      <c r="G271" s="18">
        <v>3.12</v>
      </c>
      <c r="H271" s="5">
        <v>6.9</v>
      </c>
      <c r="I271" s="6">
        <v>1.9800000000000002E-2</v>
      </c>
      <c r="J271" s="6">
        <v>7.4999999999999997E-3</v>
      </c>
      <c r="K271" s="6">
        <v>2.5000000000000001E-3</v>
      </c>
      <c r="L271" s="5">
        <v>99.504365016587954</v>
      </c>
      <c r="M271" s="5">
        <v>7.4830579203599701E-2</v>
      </c>
      <c r="N271" s="5">
        <v>1.1039109427490645</v>
      </c>
      <c r="O271" s="3">
        <v>176</v>
      </c>
    </row>
    <row r="272" spans="1:15" x14ac:dyDescent="0.2">
      <c r="A272" s="15">
        <v>58143</v>
      </c>
      <c r="B272" s="7" t="s">
        <v>280</v>
      </c>
      <c r="C272" s="2">
        <v>45629</v>
      </c>
      <c r="D272" s="10">
        <v>1.0340199999999999</v>
      </c>
      <c r="E272" s="4">
        <v>88.192543263020525</v>
      </c>
      <c r="F272" s="5">
        <v>8.6300000000000008</v>
      </c>
      <c r="G272" s="18">
        <v>3.25</v>
      </c>
      <c r="H272" s="5">
        <f>2.5*2.07</f>
        <v>5.1749999999999998</v>
      </c>
      <c r="I272" s="6">
        <v>3.7499999999999999E-2</v>
      </c>
      <c r="J272" s="6">
        <v>1.7999999999999999E-2</v>
      </c>
      <c r="K272" s="6">
        <v>1.04E-2</v>
      </c>
      <c r="L272" s="5">
        <v>98.582058587146761</v>
      </c>
      <c r="M272" s="5">
        <v>5.9973569606575072E-2</v>
      </c>
      <c r="N272" s="5">
        <v>1.8655846446621771</v>
      </c>
      <c r="O272" s="3">
        <v>221</v>
      </c>
    </row>
    <row r="273" spans="1:15" x14ac:dyDescent="0.2">
      <c r="A273" s="15">
        <v>58144</v>
      </c>
      <c r="B273" s="7" t="s">
        <v>281</v>
      </c>
      <c r="C273" s="2">
        <v>45629</v>
      </c>
      <c r="D273" s="10">
        <v>1.04518</v>
      </c>
      <c r="E273" s="4">
        <v>117.24750868951878</v>
      </c>
      <c r="F273" s="5">
        <v>12.39</v>
      </c>
      <c r="G273" s="18">
        <v>3.27</v>
      </c>
      <c r="H273" s="5">
        <f>2.5*2.73</f>
        <v>6.8250000000000002</v>
      </c>
      <c r="I273" s="6">
        <v>0.56220000000000003</v>
      </c>
      <c r="J273" s="6">
        <v>0.20899999999999999</v>
      </c>
      <c r="K273" s="6">
        <v>9.2200000000000004E-2</v>
      </c>
      <c r="L273" s="5">
        <v>85.875088613681555</v>
      </c>
      <c r="M273" s="5">
        <v>1.7268088344873367</v>
      </c>
      <c r="N273" s="5">
        <v>30.879253529559936</v>
      </c>
      <c r="O273" s="3">
        <v>200</v>
      </c>
    </row>
    <row r="274" spans="1:15" x14ac:dyDescent="0.2">
      <c r="A274" s="15">
        <v>58145</v>
      </c>
      <c r="B274" s="7" t="s">
        <v>282</v>
      </c>
      <c r="C274" s="2">
        <v>45629</v>
      </c>
      <c r="D274" s="10">
        <v>1.0433699999999999</v>
      </c>
      <c r="E274" s="4">
        <v>112.53085936545176</v>
      </c>
      <c r="F274" s="5">
        <v>12.19</v>
      </c>
      <c r="G274" s="18">
        <v>3.3</v>
      </c>
      <c r="H274" s="5">
        <f>2.5*2.69</f>
        <v>6.7249999999999996</v>
      </c>
      <c r="I274" s="6">
        <v>3.78E-2</v>
      </c>
      <c r="J274" s="6">
        <v>1.4800000000000001E-2</v>
      </c>
      <c r="K274" s="6">
        <v>5.8999999999999999E-3</v>
      </c>
      <c r="L274" s="5">
        <v>98.888629938881792</v>
      </c>
      <c r="M274" s="5">
        <v>7.848273729521571E-2</v>
      </c>
      <c r="N274" s="5">
        <v>2.2173858339051167</v>
      </c>
      <c r="O274" s="3">
        <v>704</v>
      </c>
    </row>
    <row r="275" spans="1:15" x14ac:dyDescent="0.2">
      <c r="A275" s="15">
        <v>58146</v>
      </c>
      <c r="B275" s="7" t="s">
        <v>283</v>
      </c>
      <c r="C275" s="2">
        <v>45629</v>
      </c>
      <c r="D275" s="10">
        <v>1.04806</v>
      </c>
      <c r="E275" s="4">
        <v>124.75595178770209</v>
      </c>
      <c r="F275" s="5">
        <v>13.08</v>
      </c>
      <c r="G275" s="18">
        <v>4.1500000000000004</v>
      </c>
      <c r="H275" s="5">
        <f>2.5*0.65</f>
        <v>1.625</v>
      </c>
      <c r="I275" s="6">
        <v>0.4471</v>
      </c>
      <c r="J275" s="6">
        <v>6.7100000000000007E-2</v>
      </c>
      <c r="K275" s="6">
        <v>1.0699999999999999E-2</v>
      </c>
      <c r="L275" s="5">
        <v>95.366071480372213</v>
      </c>
      <c r="M275" s="5">
        <v>-3.8199366866493167</v>
      </c>
      <c r="N275" s="5">
        <v>32.462874677087797</v>
      </c>
      <c r="O275" s="3">
        <v>817</v>
      </c>
    </row>
    <row r="276" spans="1:15" x14ac:dyDescent="0.2">
      <c r="A276" s="15">
        <v>58147</v>
      </c>
      <c r="B276" s="7" t="s">
        <v>284</v>
      </c>
      <c r="C276" s="2">
        <v>45629</v>
      </c>
      <c r="D276" s="10">
        <v>1.04209</v>
      </c>
      <c r="E276" s="4">
        <v>109.19634742152084</v>
      </c>
      <c r="F276" s="5">
        <v>12.02</v>
      </c>
      <c r="G276" s="18">
        <v>3.08</v>
      </c>
      <c r="H276" s="5">
        <f>2.5*3.72</f>
        <v>9.3000000000000007</v>
      </c>
      <c r="I276" s="6">
        <v>3.3000000000000002E-2</v>
      </c>
      <c r="J276" s="6">
        <v>2.0899999999999998E-2</v>
      </c>
      <c r="K276" s="6">
        <v>2.3E-3</v>
      </c>
      <c r="L276" s="5">
        <v>98.949968628860844</v>
      </c>
      <c r="M276" s="5">
        <v>1.0881645564720377</v>
      </c>
      <c r="N276" s="5">
        <v>1.8649773909057865</v>
      </c>
      <c r="O276" s="3">
        <v>252</v>
      </c>
    </row>
    <row r="277" spans="1:15" x14ac:dyDescent="0.2">
      <c r="A277" s="15">
        <v>58148</v>
      </c>
      <c r="B277" s="7" t="s">
        <v>285</v>
      </c>
      <c r="C277" s="2">
        <v>45629</v>
      </c>
      <c r="D277" s="10">
        <v>1.0408599999999999</v>
      </c>
      <c r="E277" s="4">
        <v>105.99288230196589</v>
      </c>
      <c r="F277" s="5">
        <v>10.71</v>
      </c>
      <c r="G277" s="18">
        <v>3.29</v>
      </c>
      <c r="H277" s="5">
        <f>2.5*3.37</f>
        <v>8.4250000000000007</v>
      </c>
      <c r="I277" s="6">
        <v>0.2465</v>
      </c>
      <c r="J277" s="6">
        <v>0.20119999999999999</v>
      </c>
      <c r="K277" s="6">
        <v>1.6299999999999999E-2</v>
      </c>
      <c r="L277" s="5">
        <v>90.586717767590017</v>
      </c>
      <c r="M277" s="5">
        <v>11.94589095461318</v>
      </c>
      <c r="N277" s="5">
        <v>13.733266234447349</v>
      </c>
      <c r="O277" s="3">
        <v>564</v>
      </c>
    </row>
    <row r="278" spans="1:15" x14ac:dyDescent="0.2">
      <c r="A278" s="15">
        <v>58149</v>
      </c>
      <c r="B278" s="7" t="s">
        <v>286</v>
      </c>
      <c r="C278" s="2">
        <v>45629</v>
      </c>
      <c r="D278" s="10">
        <v>1.0458400000000001</v>
      </c>
      <c r="E278" s="4">
        <v>118.96781327020153</v>
      </c>
      <c r="F278" s="5">
        <v>12.42</v>
      </c>
      <c r="G278" s="18">
        <v>3.16</v>
      </c>
      <c r="H278" s="5">
        <f>2.5*4.81</f>
        <v>12.024999999999999</v>
      </c>
      <c r="I278" s="6">
        <v>3.4700000000000002E-2</v>
      </c>
      <c r="J278" s="6">
        <v>1.9E-2</v>
      </c>
      <c r="K278" s="6">
        <v>2.8999999999999998E-3</v>
      </c>
      <c r="L278" s="5">
        <v>99.02000601615751</v>
      </c>
      <c r="M278" s="5">
        <v>0.81381138604119663</v>
      </c>
      <c r="N278" s="5">
        <v>1.760972090771773</v>
      </c>
      <c r="O278" s="3">
        <v>273</v>
      </c>
    </row>
    <row r="279" spans="1:15" x14ac:dyDescent="0.2">
      <c r="A279" s="15">
        <v>58150</v>
      </c>
      <c r="B279" s="7" t="s">
        <v>287</v>
      </c>
      <c r="C279" s="2">
        <v>45629</v>
      </c>
      <c r="D279" s="10">
        <v>1.0464199999999999</v>
      </c>
      <c r="E279" s="4">
        <v>120.47978248811933</v>
      </c>
      <c r="F279" s="5">
        <v>12.47</v>
      </c>
      <c r="G279" s="18">
        <v>3.07</v>
      </c>
      <c r="H279" s="5">
        <f>2.5*5.66</f>
        <v>14.15</v>
      </c>
      <c r="I279" s="6">
        <v>2.3300000000000001E-2</v>
      </c>
      <c r="J279" s="6">
        <v>6.6E-3</v>
      </c>
      <c r="K279" s="6">
        <v>5.9999999999999995E-4</v>
      </c>
      <c r="L279" s="5">
        <v>99.641629947087111</v>
      </c>
      <c r="M279" s="5">
        <v>2.1048743032381356E-2</v>
      </c>
      <c r="N279" s="5">
        <v>1.3500360454618221</v>
      </c>
      <c r="O279" s="3">
        <v>188</v>
      </c>
    </row>
    <row r="280" spans="1:15" x14ac:dyDescent="0.2">
      <c r="A280" s="15">
        <v>58151</v>
      </c>
      <c r="B280" s="7" t="s">
        <v>288</v>
      </c>
      <c r="C280" s="2">
        <v>45629</v>
      </c>
      <c r="D280" s="10">
        <v>1.0499799999999999</v>
      </c>
      <c r="E280" s="4">
        <v>129.76398113873984</v>
      </c>
      <c r="F280" s="5">
        <v>13.2</v>
      </c>
      <c r="G280" s="18">
        <v>3.2</v>
      </c>
      <c r="H280" s="5">
        <f>2.5*4.3</f>
        <v>10.75</v>
      </c>
      <c r="I280" s="6">
        <v>3.8699999999999998E-2</v>
      </c>
      <c r="J280" s="6">
        <v>3.2399999999999998E-2</v>
      </c>
      <c r="K280" s="6">
        <v>4.0000000000000001E-3</v>
      </c>
      <c r="L280" s="5">
        <v>98.438460193444143</v>
      </c>
      <c r="M280" s="5">
        <v>1.971608764164412</v>
      </c>
      <c r="N280" s="5">
        <v>1.7919892166297746</v>
      </c>
      <c r="O280" s="3">
        <v>402</v>
      </c>
    </row>
    <row r="281" spans="1:15" x14ac:dyDescent="0.2">
      <c r="A281" s="15">
        <v>58152</v>
      </c>
      <c r="B281" s="7" t="s">
        <v>289</v>
      </c>
      <c r="C281" s="2">
        <v>45629</v>
      </c>
      <c r="D281" s="10">
        <v>1.04498</v>
      </c>
      <c r="E281" s="4">
        <v>116.72624879491786</v>
      </c>
      <c r="F281" s="5">
        <v>12.32</v>
      </c>
      <c r="G281" s="18">
        <v>3.03</v>
      </c>
      <c r="H281" s="5">
        <f>2.5*5.45</f>
        <v>13.625</v>
      </c>
      <c r="I281" s="6">
        <v>2.7199999999999998E-2</v>
      </c>
      <c r="J281" s="6">
        <v>1.03E-2</v>
      </c>
      <c r="K281" s="6">
        <v>3.5999999999999999E-3</v>
      </c>
      <c r="L281" s="5">
        <v>99.338696838842779</v>
      </c>
      <c r="M281" s="5">
        <v>5.6904654066436411E-2</v>
      </c>
      <c r="N281" s="5">
        <v>1.4418337108130119</v>
      </c>
      <c r="O281" s="3">
        <v>432</v>
      </c>
    </row>
    <row r="282" spans="1:15" x14ac:dyDescent="0.2">
      <c r="A282" s="15">
        <v>58153</v>
      </c>
      <c r="B282" s="7" t="s">
        <v>290</v>
      </c>
      <c r="C282" s="2">
        <v>45629</v>
      </c>
      <c r="D282" s="10">
        <v>1.0321899999999999</v>
      </c>
      <c r="E282" s="4">
        <v>83.434175657474498</v>
      </c>
      <c r="F282" s="5">
        <v>7.87</v>
      </c>
      <c r="G282" s="18">
        <v>3.15</v>
      </c>
      <c r="H282" s="5">
        <f>2.5*2.94</f>
        <v>7.35</v>
      </c>
      <c r="I282" s="6">
        <v>2.81E-2</v>
      </c>
      <c r="J282" s="6">
        <v>1.0800000000000001E-2</v>
      </c>
      <c r="K282" s="6">
        <v>4.3E-3</v>
      </c>
      <c r="L282" s="5">
        <v>99.283684182264579</v>
      </c>
      <c r="M282" s="5">
        <v>4.7344267275151175E-2</v>
      </c>
      <c r="N282" s="5">
        <v>1.4653401572946922</v>
      </c>
      <c r="O282" s="3">
        <v>154</v>
      </c>
    </row>
    <row r="283" spans="1:15" x14ac:dyDescent="0.2">
      <c r="A283" s="15">
        <v>58154</v>
      </c>
      <c r="B283" s="7" t="s">
        <v>291</v>
      </c>
      <c r="C283" s="2">
        <v>45629</v>
      </c>
      <c r="D283" s="10">
        <v>1.0379</v>
      </c>
      <c r="E283" s="4">
        <v>98.286898666104207</v>
      </c>
      <c r="F283" s="5">
        <v>9.89</v>
      </c>
      <c r="G283" s="18">
        <v>3.21</v>
      </c>
      <c r="H283" s="5">
        <f>2.5*3.61</f>
        <v>9.0250000000000004</v>
      </c>
      <c r="I283" s="6">
        <v>2.69E-2</v>
      </c>
      <c r="J283" s="6">
        <v>1.4500000000000001E-2</v>
      </c>
      <c r="K283" s="6">
        <v>2.0999999999999999E-3</v>
      </c>
      <c r="L283" s="5">
        <v>99.237876265471002</v>
      </c>
      <c r="M283" s="5">
        <v>0.6167951182295961</v>
      </c>
      <c r="N283" s="5">
        <v>1.5153473922230543</v>
      </c>
      <c r="O283" s="3">
        <v>182</v>
      </c>
    </row>
    <row r="284" spans="1:15" x14ac:dyDescent="0.2">
      <c r="A284" s="15">
        <v>58155</v>
      </c>
      <c r="B284" s="7" t="s">
        <v>292</v>
      </c>
      <c r="C284" s="2">
        <v>45629</v>
      </c>
      <c r="D284" s="10">
        <v>1.04487</v>
      </c>
      <c r="E284" s="4">
        <v>116.43956467254384</v>
      </c>
      <c r="F284" s="5">
        <v>12.27</v>
      </c>
      <c r="G284" s="18">
        <v>3.05</v>
      </c>
      <c r="H284" s="5">
        <f>2.5*5.48</f>
        <v>13.700000000000001</v>
      </c>
      <c r="I284" s="6">
        <v>2.47E-2</v>
      </c>
      <c r="J284" s="6">
        <v>9.4000000000000004E-3</v>
      </c>
      <c r="K284" s="6">
        <v>2.7000000000000001E-3</v>
      </c>
      <c r="L284" s="5">
        <v>99.409123266511997</v>
      </c>
      <c r="M284" s="5">
        <v>9.4908149442129996E-2</v>
      </c>
      <c r="N284" s="5">
        <v>1.3702691495727448</v>
      </c>
      <c r="O284" s="3">
        <v>351</v>
      </c>
    </row>
    <row r="285" spans="1:15" x14ac:dyDescent="0.2">
      <c r="A285" s="15">
        <v>58156</v>
      </c>
      <c r="B285" s="7" t="s">
        <v>293</v>
      </c>
      <c r="C285" s="2">
        <v>45629</v>
      </c>
      <c r="D285" s="10">
        <v>1.03905</v>
      </c>
      <c r="E285" s="4">
        <v>101.28024714762023</v>
      </c>
      <c r="F285" s="5">
        <v>10.199999999999999</v>
      </c>
      <c r="G285" s="18">
        <v>3.17</v>
      </c>
      <c r="H285" s="5">
        <f>2.5*4.07</f>
        <v>10.175000000000001</v>
      </c>
      <c r="I285" s="6">
        <v>1.7399999999999999E-2</v>
      </c>
      <c r="J285" s="6">
        <v>9.7999999999999997E-3</v>
      </c>
      <c r="K285" s="6">
        <v>1.4E-3</v>
      </c>
      <c r="L285" s="5">
        <v>99.508027190571582</v>
      </c>
      <c r="M285" s="5">
        <v>0.44780077339845459</v>
      </c>
      <c r="N285" s="5">
        <v>0.91507099957348625</v>
      </c>
      <c r="O285" s="3">
        <v>117</v>
      </c>
    </row>
    <row r="286" spans="1:15" x14ac:dyDescent="0.2">
      <c r="A286" s="15">
        <v>58157</v>
      </c>
      <c r="B286" s="7" t="s">
        <v>294</v>
      </c>
      <c r="C286" s="2">
        <v>45629</v>
      </c>
      <c r="D286" s="10">
        <v>1.0440100000000001</v>
      </c>
      <c r="E286" s="4">
        <v>114.19843161811878</v>
      </c>
      <c r="F286" s="5">
        <v>12.26</v>
      </c>
      <c r="G286" s="18">
        <v>3.27</v>
      </c>
      <c r="H286" s="5">
        <f>2.5*2.84</f>
        <v>7.1</v>
      </c>
      <c r="I286" s="6">
        <v>4.3299999999999998E-2</v>
      </c>
      <c r="J286" s="6">
        <v>5.6300000000000003E-2</v>
      </c>
      <c r="K286" s="6">
        <v>3.8E-3</v>
      </c>
      <c r="L286" s="5">
        <v>97.559864655940899</v>
      </c>
      <c r="M286" s="5">
        <v>4.2091182817616257</v>
      </c>
      <c r="N286" s="5">
        <v>1.6623467558785299</v>
      </c>
      <c r="O286" s="3">
        <v>256</v>
      </c>
    </row>
    <row r="287" spans="1:15" x14ac:dyDescent="0.2">
      <c r="A287" s="15">
        <v>58158</v>
      </c>
      <c r="B287" s="7" t="s">
        <v>295</v>
      </c>
      <c r="C287" s="2">
        <v>45629</v>
      </c>
      <c r="D287" s="10">
        <v>1.0291999999999999</v>
      </c>
      <c r="E287" s="4">
        <v>75.663174034621534</v>
      </c>
      <c r="F287" s="5">
        <v>6.99</v>
      </c>
      <c r="G287" s="18">
        <v>3.17</v>
      </c>
      <c r="H287" s="5">
        <f>2.5*2.67</f>
        <v>6.6749999999999998</v>
      </c>
      <c r="I287" s="6">
        <v>2.53E-2</v>
      </c>
      <c r="J287" s="6">
        <v>9.1000000000000004E-3</v>
      </c>
      <c r="K287" s="6">
        <v>2.3999999999999998E-3</v>
      </c>
      <c r="L287" s="5">
        <v>99.4217325098099</v>
      </c>
      <c r="M287" s="5">
        <v>6.4700714086041167E-2</v>
      </c>
      <c r="N287" s="5">
        <v>1.625223860028524</v>
      </c>
      <c r="O287" s="3">
        <v>134</v>
      </c>
    </row>
    <row r="288" spans="1:15" x14ac:dyDescent="0.2">
      <c r="A288" s="15">
        <v>58159</v>
      </c>
      <c r="B288" s="7" t="s">
        <v>296</v>
      </c>
      <c r="C288" s="2">
        <v>45629</v>
      </c>
      <c r="D288" s="10">
        <v>1.0294000000000001</v>
      </c>
      <c r="E288" s="4">
        <v>76.182834707273742</v>
      </c>
      <c r="F288" s="5">
        <v>7.04</v>
      </c>
      <c r="G288" s="18">
        <v>3.16</v>
      </c>
      <c r="H288" s="5">
        <f>2.5*2.94</f>
        <v>7.35</v>
      </c>
      <c r="I288" s="6">
        <v>1.89E-2</v>
      </c>
      <c r="J288" s="6">
        <v>5.7999999999999996E-3</v>
      </c>
      <c r="K288" s="6">
        <v>2.0999999999999999E-3</v>
      </c>
      <c r="L288" s="5">
        <v>99.594459426838029</v>
      </c>
      <c r="M288" s="5">
        <v>-5.4496661398784063E-2</v>
      </c>
      <c r="N288" s="5">
        <v>1.0949809776199748</v>
      </c>
      <c r="O288" s="3">
        <v>168</v>
      </c>
    </row>
    <row r="289" spans="1:15" x14ac:dyDescent="0.2">
      <c r="A289" s="15">
        <v>58160</v>
      </c>
      <c r="B289" s="7" t="s">
        <v>297</v>
      </c>
      <c r="C289" s="2">
        <v>45629</v>
      </c>
      <c r="D289" s="10">
        <v>1.0376399999999999</v>
      </c>
      <c r="E289" s="4">
        <v>97.610234749795836</v>
      </c>
      <c r="F289" s="5">
        <v>9.69</v>
      </c>
      <c r="G289" s="18">
        <v>3.05</v>
      </c>
      <c r="H289" s="5">
        <f>2.5*5.31</f>
        <v>13.274999999999999</v>
      </c>
      <c r="I289" s="6">
        <v>1.2800000000000001E-2</v>
      </c>
      <c r="J289" s="6">
        <v>2E-3</v>
      </c>
      <c r="K289" s="6">
        <v>1E-4</v>
      </c>
      <c r="L289" s="5">
        <v>99.878064187671427</v>
      </c>
      <c r="M289" s="5">
        <v>-0.13509166370240244</v>
      </c>
      <c r="N289" s="5">
        <v>0.77502602881847071</v>
      </c>
      <c r="O289" s="3">
        <v>217</v>
      </c>
    </row>
    <row r="290" spans="1:15" x14ac:dyDescent="0.2">
      <c r="A290" s="15">
        <v>58161</v>
      </c>
      <c r="B290" s="7" t="s">
        <v>298</v>
      </c>
      <c r="C290" s="2">
        <v>45629</v>
      </c>
      <c r="D290" s="10">
        <v>1.04304</v>
      </c>
      <c r="E290" s="4">
        <v>111.67109988160064</v>
      </c>
      <c r="F290" s="5">
        <v>12.07</v>
      </c>
      <c r="G290" s="18">
        <v>3.11</v>
      </c>
      <c r="H290" s="5">
        <f>2.5*3.92</f>
        <v>9.8000000000000007</v>
      </c>
      <c r="I290" s="6">
        <v>3.0300000000000001E-2</v>
      </c>
      <c r="J290" s="6">
        <v>3.2199999999999999E-2</v>
      </c>
      <c r="K290" s="6">
        <v>2.7000000000000001E-3</v>
      </c>
      <c r="L290" s="5">
        <v>98.553391996661176</v>
      </c>
      <c r="M290" s="5">
        <v>2.2611451514183978</v>
      </c>
      <c r="N290" s="5">
        <v>1.33589396796574</v>
      </c>
      <c r="O290" s="3">
        <v>366</v>
      </c>
    </row>
    <row r="291" spans="1:15" x14ac:dyDescent="0.2">
      <c r="A291" s="15">
        <v>58162</v>
      </c>
      <c r="B291" s="7" t="s">
        <v>299</v>
      </c>
      <c r="C291" s="2">
        <v>45630</v>
      </c>
      <c r="D291" s="10">
        <v>1.05169</v>
      </c>
      <c r="E291" s="4">
        <v>134.225883273416</v>
      </c>
      <c r="F291" s="5">
        <v>13.39</v>
      </c>
      <c r="G291" s="18">
        <v>3.23</v>
      </c>
      <c r="H291" s="5">
        <f>2.5*3.96</f>
        <v>9.9</v>
      </c>
      <c r="I291" s="6">
        <v>1.9900000000000001E-2</v>
      </c>
      <c r="J291" s="6">
        <v>5.4999999999999997E-3</v>
      </c>
      <c r="K291" s="6">
        <v>2.0999999999999999E-3</v>
      </c>
      <c r="L291" s="5">
        <v>99.6</v>
      </c>
      <c r="M291" s="5">
        <v>-0.1</v>
      </c>
      <c r="N291" s="5">
        <v>1.1000000000000001</v>
      </c>
      <c r="O291" s="3">
        <v>275</v>
      </c>
    </row>
    <row r="292" spans="1:15" x14ac:dyDescent="0.2">
      <c r="A292" s="15">
        <v>58163</v>
      </c>
      <c r="B292" s="7" t="s">
        <v>300</v>
      </c>
      <c r="C292" s="2">
        <v>45630</v>
      </c>
      <c r="D292" s="10">
        <v>1.0432900000000001</v>
      </c>
      <c r="E292" s="4">
        <v>112.32242767507933</v>
      </c>
      <c r="F292" s="5">
        <v>12.14</v>
      </c>
      <c r="G292" s="18">
        <v>3.19</v>
      </c>
      <c r="H292" s="5">
        <f>2.5*2.33</f>
        <v>5.8250000000000002</v>
      </c>
      <c r="I292" s="6">
        <v>2.52E-2</v>
      </c>
      <c r="J292" s="6">
        <v>1.15E-2</v>
      </c>
      <c r="K292" s="6">
        <v>2.3999999999999998E-3</v>
      </c>
      <c r="L292" s="5">
        <v>99.4</v>
      </c>
      <c r="M292" s="5">
        <v>0.3</v>
      </c>
      <c r="N292" s="5">
        <v>1.4</v>
      </c>
      <c r="O292" s="3">
        <v>363</v>
      </c>
    </row>
    <row r="293" spans="1:15" x14ac:dyDescent="0.2">
      <c r="A293" s="15">
        <v>58164</v>
      </c>
      <c r="B293" s="7" t="s">
        <v>301</v>
      </c>
      <c r="C293" s="2">
        <v>45630</v>
      </c>
      <c r="D293" s="10">
        <v>1.0434300000000001</v>
      </c>
      <c r="E293" s="4">
        <v>112.68718529647822</v>
      </c>
      <c r="F293" s="5">
        <v>12.17</v>
      </c>
      <c r="G293" s="18">
        <v>4.3499999999999996</v>
      </c>
      <c r="H293" s="5">
        <f>2.5*0.7</f>
        <v>1.75</v>
      </c>
      <c r="I293" s="6">
        <v>1.1539999999999999</v>
      </c>
      <c r="J293" s="6">
        <v>0.1072</v>
      </c>
      <c r="K293" s="6">
        <v>1.7600000000000001E-2</v>
      </c>
      <c r="L293" s="5">
        <v>92.6</v>
      </c>
      <c r="M293" s="5">
        <v>-6.4</v>
      </c>
      <c r="N293" s="5">
        <v>66.400000000000006</v>
      </c>
      <c r="O293" s="3">
        <v>386</v>
      </c>
    </row>
    <row r="294" spans="1:15" x14ac:dyDescent="0.2">
      <c r="A294" s="15">
        <v>58165</v>
      </c>
      <c r="B294" s="7" t="s">
        <v>302</v>
      </c>
      <c r="C294" s="2">
        <v>45630</v>
      </c>
      <c r="D294" s="10">
        <v>1.0335099999999999</v>
      </c>
      <c r="E294" s="4">
        <v>86.866272047191615</v>
      </c>
      <c r="F294" s="5">
        <v>8.1300000000000008</v>
      </c>
      <c r="G294" s="18">
        <v>3.11</v>
      </c>
      <c r="H294" s="5">
        <f>2.5*3.5</f>
        <v>8.75</v>
      </c>
      <c r="I294" s="6">
        <v>0.42730000000000001</v>
      </c>
      <c r="J294" s="6">
        <v>0.13969999999999999</v>
      </c>
      <c r="K294" s="6">
        <v>6.7000000000000004E-2</v>
      </c>
      <c r="L294" s="5">
        <v>90</v>
      </c>
      <c r="M294" s="5">
        <v>-0.9</v>
      </c>
      <c r="N294" s="5">
        <v>25.5</v>
      </c>
      <c r="O294" s="3">
        <v>227</v>
      </c>
    </row>
    <row r="295" spans="1:15" x14ac:dyDescent="0.2">
      <c r="A295" s="15">
        <v>58166</v>
      </c>
      <c r="B295" s="7" t="s">
        <v>303</v>
      </c>
      <c r="C295" s="2">
        <v>45630</v>
      </c>
      <c r="D295" s="10">
        <v>1.0322100000000001</v>
      </c>
      <c r="E295" s="4">
        <v>83.486170610424779</v>
      </c>
      <c r="F295" s="5">
        <v>7.72</v>
      </c>
      <c r="G295" s="18">
        <v>3.02</v>
      </c>
      <c r="H295" s="5">
        <f>2.5*3.11</f>
        <v>7.7749999999999995</v>
      </c>
      <c r="I295" s="6">
        <v>0.22009999999999999</v>
      </c>
      <c r="J295" s="6">
        <v>3.27E-2</v>
      </c>
      <c r="K295" s="6">
        <v>5.4000000000000003E-3</v>
      </c>
      <c r="L295" s="5">
        <v>97.6</v>
      </c>
      <c r="M295" s="5">
        <v>-3.2</v>
      </c>
      <c r="N295" s="5">
        <v>17.2</v>
      </c>
      <c r="O295" s="3">
        <v>273</v>
      </c>
    </row>
    <row r="296" spans="1:15" x14ac:dyDescent="0.2">
      <c r="A296" s="15">
        <v>58167</v>
      </c>
      <c r="B296" s="7" t="s">
        <v>304</v>
      </c>
      <c r="C296" s="2">
        <v>45630</v>
      </c>
      <c r="D296" s="10">
        <v>1.03308</v>
      </c>
      <c r="E296" s="4">
        <v>85.748144787191904</v>
      </c>
      <c r="F296" s="5">
        <v>8.07</v>
      </c>
      <c r="G296" s="18">
        <v>3.01</v>
      </c>
      <c r="H296" s="5">
        <f>2.5*3.28</f>
        <v>8.1999999999999993</v>
      </c>
      <c r="I296" s="6">
        <v>0.36870000000000003</v>
      </c>
      <c r="J296" s="6">
        <v>0.68169999999999997</v>
      </c>
      <c r="K296" s="6">
        <v>2.24E-2</v>
      </c>
      <c r="L296" s="5">
        <v>76.099999999999994</v>
      </c>
      <c r="M296" s="5">
        <v>41.2</v>
      </c>
      <c r="N296" s="5">
        <v>15.3</v>
      </c>
      <c r="O296" s="3">
        <v>508</v>
      </c>
    </row>
    <row r="297" spans="1:15" x14ac:dyDescent="0.2">
      <c r="A297" s="15">
        <v>58168</v>
      </c>
      <c r="B297" s="7" t="s">
        <v>305</v>
      </c>
      <c r="C297" s="2">
        <v>45630</v>
      </c>
      <c r="D297" s="10">
        <v>1.04261</v>
      </c>
      <c r="E297" s="4">
        <v>110.55089130275201</v>
      </c>
      <c r="F297" s="5">
        <v>11.98</v>
      </c>
      <c r="G297" s="18">
        <v>3.07</v>
      </c>
      <c r="H297" s="5">
        <f>2.5*4.02</f>
        <v>10.049999999999999</v>
      </c>
      <c r="I297" s="6">
        <v>2.18E-2</v>
      </c>
      <c r="J297" s="6">
        <v>6.8999999999999999E-3</v>
      </c>
      <c r="K297" s="6">
        <v>-4.3E-3</v>
      </c>
      <c r="L297" s="5">
        <v>99.9</v>
      </c>
      <c r="M297" s="5">
        <v>0.4</v>
      </c>
      <c r="N297" s="5">
        <v>1.6</v>
      </c>
      <c r="O297" s="3">
        <v>278</v>
      </c>
    </row>
    <row r="298" spans="1:15" x14ac:dyDescent="0.2">
      <c r="A298" s="15">
        <v>58169</v>
      </c>
      <c r="B298" s="7" t="s">
        <v>306</v>
      </c>
      <c r="C298" s="2">
        <v>45630</v>
      </c>
      <c r="D298" s="10">
        <v>1.0409999999999999</v>
      </c>
      <c r="E298" s="4">
        <v>106.35746525993682</v>
      </c>
      <c r="F298" s="5">
        <v>10.53</v>
      </c>
      <c r="G298" s="18">
        <v>3.05</v>
      </c>
      <c r="H298" s="5">
        <f>2.5*4.41</f>
        <v>11.025</v>
      </c>
      <c r="I298" s="6">
        <v>2.1899999999999999E-2</v>
      </c>
      <c r="J298" s="6">
        <v>6.4000000000000003E-3</v>
      </c>
      <c r="K298" s="6">
        <v>-2E-3</v>
      </c>
      <c r="L298" s="5">
        <v>99.8</v>
      </c>
      <c r="M298" s="5">
        <v>0.3</v>
      </c>
      <c r="N298" s="5">
        <v>1.4</v>
      </c>
      <c r="O298" s="3">
        <v>266</v>
      </c>
    </row>
    <row r="299" spans="1:15" x14ac:dyDescent="0.2">
      <c r="A299" s="15">
        <v>58170</v>
      </c>
      <c r="B299" s="7" t="s">
        <v>307</v>
      </c>
      <c r="C299" s="2">
        <v>45630</v>
      </c>
      <c r="D299" s="10">
        <v>1.0426200000000001</v>
      </c>
      <c r="E299" s="4">
        <v>110.57694158514778</v>
      </c>
      <c r="F299" s="5">
        <v>11.92</v>
      </c>
      <c r="G299" s="18">
        <v>3.11</v>
      </c>
      <c r="H299" s="5">
        <f>2.5*5.02</f>
        <v>12.549999999999999</v>
      </c>
      <c r="I299" s="6">
        <v>1.24E-2</v>
      </c>
      <c r="J299" s="6">
        <v>-4.4000000000000003E-3</v>
      </c>
      <c r="K299" s="6">
        <v>-8.2000000000000007E-3</v>
      </c>
      <c r="L299" s="5">
        <v>100.5</v>
      </c>
      <c r="M299" s="5">
        <v>-0.2</v>
      </c>
      <c r="N299" s="5">
        <v>1.3</v>
      </c>
      <c r="O299" s="3">
        <v>238</v>
      </c>
    </row>
    <row r="300" spans="1:15" x14ac:dyDescent="0.2">
      <c r="A300" s="15">
        <v>58171</v>
      </c>
      <c r="B300" s="7" t="s">
        <v>308</v>
      </c>
      <c r="C300" s="2">
        <v>45630</v>
      </c>
      <c r="D300" s="10">
        <v>1.03687</v>
      </c>
      <c r="E300" s="4">
        <v>95.60646962754754</v>
      </c>
      <c r="F300" s="5">
        <v>9.59</v>
      </c>
      <c r="G300" s="18">
        <v>3.02</v>
      </c>
      <c r="H300" s="5">
        <f>2.5*3.47</f>
        <v>8.6750000000000007</v>
      </c>
      <c r="I300" s="6">
        <v>2.12E-2</v>
      </c>
      <c r="J300" s="6">
        <v>1.72E-2</v>
      </c>
      <c r="K300" s="6">
        <v>-4.4000000000000003E-3</v>
      </c>
      <c r="L300" s="5">
        <v>99.5</v>
      </c>
      <c r="M300" s="5">
        <v>1.6</v>
      </c>
      <c r="N300" s="5">
        <v>1.3</v>
      </c>
      <c r="O300" s="3">
        <v>246</v>
      </c>
    </row>
    <row r="301" spans="1:15" x14ac:dyDescent="0.2">
      <c r="A301" s="15">
        <v>58172</v>
      </c>
      <c r="B301" s="7" t="s">
        <v>309</v>
      </c>
      <c r="C301" s="2">
        <v>45630</v>
      </c>
      <c r="D301" s="10">
        <v>1.04511</v>
      </c>
      <c r="E301" s="4">
        <v>117.06506537228415</v>
      </c>
      <c r="F301" s="5">
        <v>12.3</v>
      </c>
      <c r="G301" s="18">
        <v>3.14</v>
      </c>
      <c r="H301" s="5">
        <f>2.5*4</f>
        <v>10</v>
      </c>
      <c r="I301" s="6">
        <v>2.5100000000000001E-2</v>
      </c>
      <c r="J301" s="6">
        <v>1.9E-3</v>
      </c>
      <c r="K301" s="6">
        <v>-7.3000000000000001E-3</v>
      </c>
      <c r="L301" s="5">
        <v>100.2</v>
      </c>
      <c r="M301" s="5">
        <v>0.1</v>
      </c>
      <c r="N301" s="5">
        <v>2.1</v>
      </c>
      <c r="O301" s="3">
        <v>208</v>
      </c>
    </row>
    <row r="302" spans="1:15" x14ac:dyDescent="0.2">
      <c r="A302" s="15">
        <v>58173</v>
      </c>
      <c r="B302" s="7" t="s">
        <v>310</v>
      </c>
      <c r="C302" s="2">
        <v>45630</v>
      </c>
      <c r="D302" s="10">
        <v>1.0434399999999999</v>
      </c>
      <c r="E302" s="4">
        <v>112.71323979861018</v>
      </c>
      <c r="F302" s="5">
        <v>12.06</v>
      </c>
      <c r="G302" s="18">
        <v>3.03</v>
      </c>
      <c r="H302" s="5">
        <f>2.5*5.54</f>
        <v>13.85</v>
      </c>
      <c r="I302" s="6">
        <v>2.0899999999999998E-2</v>
      </c>
      <c r="J302" s="6">
        <v>3.8E-3</v>
      </c>
      <c r="K302" s="6">
        <v>-4.1000000000000003E-3</v>
      </c>
      <c r="L302" s="5">
        <v>100</v>
      </c>
      <c r="M302" s="5">
        <v>0.2</v>
      </c>
      <c r="N302" s="5">
        <v>1.6</v>
      </c>
      <c r="O302" s="3">
        <v>380</v>
      </c>
    </row>
    <row r="303" spans="1:15" x14ac:dyDescent="0.2">
      <c r="A303" s="15">
        <v>58174</v>
      </c>
      <c r="B303" s="7" t="s">
        <v>311</v>
      </c>
      <c r="C303" s="2">
        <v>45630</v>
      </c>
      <c r="D303" s="10">
        <v>1.04068</v>
      </c>
      <c r="E303" s="4">
        <v>105.52414752041523</v>
      </c>
      <c r="F303" s="5">
        <v>10.53</v>
      </c>
      <c r="G303" s="18">
        <v>3.05</v>
      </c>
      <c r="H303" s="5">
        <f>2.5*3.46</f>
        <v>8.65</v>
      </c>
      <c r="I303" s="6">
        <v>3.7699999999999997E-2</v>
      </c>
      <c r="J303" s="6">
        <v>4.1700000000000001E-2</v>
      </c>
      <c r="K303" s="6">
        <v>-7.1999999999999998E-3</v>
      </c>
      <c r="L303" s="5">
        <v>98.6</v>
      </c>
      <c r="M303" s="5">
        <v>3.7</v>
      </c>
      <c r="N303" s="5">
        <v>2.2000000000000002</v>
      </c>
      <c r="O303" s="3">
        <v>333</v>
      </c>
    </row>
    <row r="304" spans="1:15" x14ac:dyDescent="0.25">
      <c r="A304" s="7">
        <v>58596</v>
      </c>
      <c r="B304" s="7" t="s">
        <v>314</v>
      </c>
      <c r="C304" s="2">
        <v>45686</v>
      </c>
      <c r="D304" s="10">
        <v>1.0466299999999999</v>
      </c>
      <c r="E304" s="4">
        <v>121.02726267137359</v>
      </c>
      <c r="F304" s="5">
        <v>12.75</v>
      </c>
      <c r="G304" s="5">
        <v>3.83</v>
      </c>
      <c r="H304" s="5">
        <v>1.93</v>
      </c>
      <c r="I304" s="22">
        <v>0.189</v>
      </c>
      <c r="J304" s="22">
        <v>2.3E-2</v>
      </c>
      <c r="K304" s="22">
        <v>-1E-3</v>
      </c>
      <c r="L304" s="23">
        <v>98.4</v>
      </c>
      <c r="M304" s="23">
        <v>2.5</v>
      </c>
      <c r="N304" s="23">
        <v>14.7</v>
      </c>
      <c r="O304" s="24">
        <v>598</v>
      </c>
    </row>
    <row r="305" spans="1:15" x14ac:dyDescent="0.25">
      <c r="A305" s="7">
        <v>58597</v>
      </c>
      <c r="B305" s="7" t="s">
        <v>315</v>
      </c>
      <c r="C305" s="2">
        <v>45686</v>
      </c>
      <c r="D305" s="10">
        <v>1.0372600000000001</v>
      </c>
      <c r="E305" s="4">
        <v>96.62132609556329</v>
      </c>
      <c r="F305" s="5">
        <v>9.74</v>
      </c>
      <c r="G305" s="5">
        <v>2.87</v>
      </c>
      <c r="H305" s="5">
        <v>12.18</v>
      </c>
      <c r="I305" s="22">
        <v>0.47699999999999998</v>
      </c>
      <c r="J305" s="22">
        <v>0.27100000000000002</v>
      </c>
      <c r="K305" s="22">
        <v>2.3999999999999997E-2</v>
      </c>
      <c r="L305" s="23">
        <v>86.7</v>
      </c>
      <c r="M305" s="23">
        <v>13.7</v>
      </c>
      <c r="N305" s="23">
        <v>27</v>
      </c>
      <c r="O305" s="3">
        <v>916</v>
      </c>
    </row>
    <row r="306" spans="1:15" x14ac:dyDescent="0.25">
      <c r="A306" s="7">
        <v>58598</v>
      </c>
      <c r="B306" s="7" t="s">
        <v>316</v>
      </c>
      <c r="C306" s="2">
        <v>45686</v>
      </c>
      <c r="D306" s="10">
        <v>1.0400799999999999</v>
      </c>
      <c r="E306" s="4">
        <v>103.96181788039576</v>
      </c>
      <c r="F306" s="5">
        <v>10.55</v>
      </c>
      <c r="G306" s="5">
        <v>2.94</v>
      </c>
      <c r="H306" s="5">
        <v>9.35</v>
      </c>
      <c r="I306" s="22">
        <v>0.51600000000000001</v>
      </c>
      <c r="J306" s="22">
        <v>0.153</v>
      </c>
      <c r="K306" s="22">
        <v>1.9E-2</v>
      </c>
      <c r="L306" s="23">
        <v>91.2</v>
      </c>
      <c r="M306" s="23">
        <v>3.4</v>
      </c>
      <c r="N306" s="23">
        <v>32.700000000000003</v>
      </c>
      <c r="O306" s="3">
        <v>1136</v>
      </c>
    </row>
    <row r="307" spans="1:15" x14ac:dyDescent="0.25">
      <c r="A307" s="7">
        <v>58599</v>
      </c>
      <c r="B307" s="7" t="s">
        <v>317</v>
      </c>
      <c r="C307" s="2">
        <v>45686</v>
      </c>
      <c r="D307" s="10">
        <v>1.03525</v>
      </c>
      <c r="E307" s="4">
        <v>91.391735384452204</v>
      </c>
      <c r="F307" s="5">
        <v>8.91</v>
      </c>
      <c r="G307" s="5">
        <v>2.98</v>
      </c>
      <c r="H307" s="5">
        <v>12.55</v>
      </c>
      <c r="I307" s="22">
        <v>0.21299999999999999</v>
      </c>
      <c r="J307" s="22">
        <v>0.45300000000000001</v>
      </c>
      <c r="K307" s="22">
        <v>1.1000000000000001E-2</v>
      </c>
      <c r="L307" s="23">
        <v>82.5</v>
      </c>
      <c r="M307" s="23">
        <v>32.200000000000003</v>
      </c>
      <c r="N307" s="23">
        <v>10.8</v>
      </c>
      <c r="O307" s="3">
        <v>498</v>
      </c>
    </row>
    <row r="308" spans="1:15" x14ac:dyDescent="0.25">
      <c r="A308" s="7">
        <v>58600</v>
      </c>
      <c r="B308" s="7" t="s">
        <v>318</v>
      </c>
      <c r="C308" s="2">
        <v>45686</v>
      </c>
      <c r="D308" s="10">
        <v>1.04033</v>
      </c>
      <c r="E308" s="4">
        <v>104.6127662071126</v>
      </c>
      <c r="F308" s="5">
        <v>10.47</v>
      </c>
      <c r="G308" s="5">
        <v>2.74</v>
      </c>
      <c r="H308" s="5">
        <v>19.329999999999998</v>
      </c>
      <c r="I308" s="22">
        <v>3.4739999999999998</v>
      </c>
      <c r="J308" s="22">
        <v>10.681000000000001</v>
      </c>
      <c r="K308" s="22">
        <v>0.184</v>
      </c>
      <c r="L308" s="23">
        <v>38.700000000000003</v>
      </c>
      <c r="M308" s="23">
        <v>70.7</v>
      </c>
      <c r="N308" s="23">
        <v>85.5</v>
      </c>
      <c r="O308" s="3">
        <v>1759</v>
      </c>
    </row>
    <row r="309" spans="1:15" x14ac:dyDescent="0.25">
      <c r="A309" s="7">
        <v>58601</v>
      </c>
      <c r="B309" s="7" t="s">
        <v>319</v>
      </c>
      <c r="C309" s="2">
        <v>45686</v>
      </c>
      <c r="D309" s="10">
        <v>1.0383800000000001</v>
      </c>
      <c r="E309" s="4">
        <v>99.536214539811681</v>
      </c>
      <c r="F309" s="5">
        <v>10.130000000000001</v>
      </c>
      <c r="G309" s="5">
        <v>3.03</v>
      </c>
      <c r="H309" s="5">
        <v>7.38</v>
      </c>
      <c r="I309" s="22">
        <v>0.65</v>
      </c>
      <c r="J309" s="22">
        <v>0.97100000000000009</v>
      </c>
      <c r="K309" s="22">
        <v>3.7999999999999999E-2</v>
      </c>
      <c r="L309" s="23">
        <v>69.3</v>
      </c>
      <c r="M309" s="23">
        <v>49.2</v>
      </c>
      <c r="N309" s="23">
        <v>27.5</v>
      </c>
      <c r="O309" s="3">
        <v>1335</v>
      </c>
    </row>
    <row r="310" spans="1:15" x14ac:dyDescent="0.25">
      <c r="A310" s="7">
        <v>58602</v>
      </c>
      <c r="B310" s="7" t="s">
        <v>320</v>
      </c>
      <c r="C310" s="2">
        <v>45686</v>
      </c>
      <c r="D310" s="10">
        <v>1.03748</v>
      </c>
      <c r="E310" s="4">
        <v>97.193843233776079</v>
      </c>
      <c r="F310" s="5">
        <v>10.050000000000001</v>
      </c>
      <c r="G310" s="5">
        <v>3.07</v>
      </c>
      <c r="H310" s="5">
        <v>9.65</v>
      </c>
      <c r="I310" s="22">
        <v>0.443</v>
      </c>
      <c r="J310" s="22">
        <v>0.439</v>
      </c>
      <c r="K310" s="22">
        <v>3.2000000000000001E-2</v>
      </c>
      <c r="L310" s="23">
        <v>81.7</v>
      </c>
      <c r="M310" s="23">
        <v>25.4</v>
      </c>
      <c r="N310" s="23">
        <v>21.9</v>
      </c>
      <c r="O310" s="3">
        <v>601</v>
      </c>
    </row>
    <row r="311" spans="1:15" x14ac:dyDescent="0.25">
      <c r="A311" s="7">
        <v>58603</v>
      </c>
      <c r="B311" s="7" t="s">
        <v>321</v>
      </c>
      <c r="C311" s="2">
        <v>45686</v>
      </c>
      <c r="D311" s="10">
        <v>1.0398799999999999</v>
      </c>
      <c r="E311" s="4">
        <v>103.44108219820691</v>
      </c>
      <c r="F311" s="5">
        <v>10.55</v>
      </c>
      <c r="G311" s="5">
        <v>3.21</v>
      </c>
      <c r="H311" s="5">
        <v>6.4</v>
      </c>
      <c r="I311" s="22">
        <v>0.41000000000000003</v>
      </c>
      <c r="J311" s="22">
        <v>0.104</v>
      </c>
      <c r="K311" s="22">
        <v>1.2999999999999999E-2</v>
      </c>
      <c r="L311" s="23">
        <v>93.4</v>
      </c>
      <c r="M311" s="23">
        <v>0.6</v>
      </c>
      <c r="N311" s="23">
        <v>28.4</v>
      </c>
      <c r="O311" s="3">
        <v>1053</v>
      </c>
    </row>
    <row r="312" spans="1:15" x14ac:dyDescent="0.25">
      <c r="A312" s="7">
        <v>58604</v>
      </c>
      <c r="B312" s="7" t="s">
        <v>322</v>
      </c>
      <c r="C312" s="2">
        <v>45686</v>
      </c>
      <c r="D312" s="10">
        <v>1.04318</v>
      </c>
      <c r="E312" s="4">
        <v>112.03583948200594</v>
      </c>
      <c r="F312" s="5">
        <v>12.28</v>
      </c>
      <c r="G312" s="5">
        <v>4.2</v>
      </c>
      <c r="H312" s="5">
        <v>1.75</v>
      </c>
      <c r="I312" s="22">
        <v>1.075</v>
      </c>
      <c r="J312" s="22">
        <v>0.19199999999999998</v>
      </c>
      <c r="K312" s="22">
        <v>0.03</v>
      </c>
      <c r="L312" s="23">
        <v>88.3</v>
      </c>
      <c r="M312" s="23">
        <v>1.7</v>
      </c>
      <c r="N312" s="23">
        <v>54.8</v>
      </c>
      <c r="O312" s="3">
        <v>1538</v>
      </c>
    </row>
    <row r="313" spans="1:15" x14ac:dyDescent="0.25">
      <c r="A313" s="7">
        <v>58605</v>
      </c>
      <c r="B313" s="7" t="s">
        <v>323</v>
      </c>
      <c r="C313" s="2">
        <v>45686</v>
      </c>
      <c r="D313" s="10">
        <v>1.04447</v>
      </c>
      <c r="E313" s="4">
        <v>115.3971296849877</v>
      </c>
      <c r="F313" s="5">
        <v>12.34</v>
      </c>
      <c r="G313" s="5">
        <v>4.2300000000000004</v>
      </c>
      <c r="H313" s="5">
        <v>2.6</v>
      </c>
      <c r="I313" s="22">
        <v>0.92899999999999994</v>
      </c>
      <c r="J313" s="22">
        <v>0.13200000000000001</v>
      </c>
      <c r="K313" s="22">
        <v>1.9E-2</v>
      </c>
      <c r="L313" s="23">
        <v>91.7</v>
      </c>
      <c r="M313" s="23">
        <v>-2.1</v>
      </c>
      <c r="N313" s="23">
        <v>52.1</v>
      </c>
      <c r="O313" s="3">
        <v>1501</v>
      </c>
    </row>
    <row r="314" spans="1:15" x14ac:dyDescent="0.25">
      <c r="A314" s="7">
        <v>58606</v>
      </c>
      <c r="B314" s="7" t="s">
        <v>324</v>
      </c>
      <c r="C314" s="2">
        <v>45686</v>
      </c>
      <c r="D314" s="10">
        <v>1.0372399999999999</v>
      </c>
      <c r="E314" s="4">
        <v>96.569280299579077</v>
      </c>
      <c r="F314" s="5">
        <v>9.65</v>
      </c>
      <c r="G314" s="5">
        <v>3</v>
      </c>
      <c r="H314" s="5">
        <v>13.25</v>
      </c>
      <c r="I314" s="22">
        <v>0.76899999999999991</v>
      </c>
      <c r="J314" s="22">
        <v>2.19</v>
      </c>
      <c r="K314" s="22">
        <v>4.4000000000000004E-2</v>
      </c>
      <c r="L314" s="23">
        <v>59</v>
      </c>
      <c r="M314" s="23">
        <v>67.400000000000006</v>
      </c>
      <c r="N314" s="23">
        <v>37</v>
      </c>
      <c r="O314" s="3">
        <v>629</v>
      </c>
    </row>
    <row r="315" spans="1:15" x14ac:dyDescent="0.25">
      <c r="A315" s="7">
        <v>58607</v>
      </c>
      <c r="B315" s="7" t="s">
        <v>325</v>
      </c>
      <c r="C315" s="2">
        <v>45686</v>
      </c>
      <c r="D315" s="10">
        <v>1.03624</v>
      </c>
      <c r="E315" s="4">
        <v>93.967248739302704</v>
      </c>
      <c r="F315" s="5">
        <v>9.4700000000000006</v>
      </c>
      <c r="G315" s="5">
        <v>3.02</v>
      </c>
      <c r="H315" s="5">
        <v>11.48</v>
      </c>
      <c r="I315" s="22">
        <v>0.72400000000000009</v>
      </c>
      <c r="J315" s="22">
        <v>1.157</v>
      </c>
      <c r="K315" s="22">
        <v>4.9000000000000002E-2</v>
      </c>
      <c r="L315" s="23">
        <v>65.900000000000006</v>
      </c>
      <c r="M315" s="23">
        <v>53.6</v>
      </c>
      <c r="N315" s="23">
        <v>30.5</v>
      </c>
      <c r="O315" s="3">
        <v>1321</v>
      </c>
    </row>
    <row r="316" spans="1:15" x14ac:dyDescent="0.25">
      <c r="A316" s="7">
        <v>58608</v>
      </c>
      <c r="B316" s="7" t="s">
        <v>326</v>
      </c>
      <c r="C316" s="2">
        <v>45686</v>
      </c>
      <c r="D316" s="10">
        <v>1.0396399999999999</v>
      </c>
      <c r="E316" s="4">
        <v>102.81622632542849</v>
      </c>
      <c r="F316" s="5">
        <v>10.210000000000001</v>
      </c>
      <c r="G316" s="5">
        <v>3.04</v>
      </c>
      <c r="H316" s="5">
        <v>14.25</v>
      </c>
      <c r="I316" s="22">
        <v>0.05</v>
      </c>
      <c r="J316" s="22">
        <v>5.4000000000000006E-2</v>
      </c>
      <c r="K316" s="22">
        <v>1E-3</v>
      </c>
      <c r="L316" s="23">
        <v>97.3</v>
      </c>
      <c r="M316" s="23">
        <v>4.3</v>
      </c>
      <c r="N316" s="23">
        <v>2.4</v>
      </c>
      <c r="O316" s="3">
        <v>333</v>
      </c>
    </row>
    <row r="317" spans="1:15" x14ac:dyDescent="0.25">
      <c r="A317" s="7">
        <v>58609</v>
      </c>
      <c r="B317" s="7" t="s">
        <v>327</v>
      </c>
      <c r="C317" s="2">
        <v>45686</v>
      </c>
      <c r="D317" s="10">
        <v>1.0437399999999999</v>
      </c>
      <c r="E317" s="4">
        <v>113.49489882368425</v>
      </c>
      <c r="F317" s="5">
        <v>12.16</v>
      </c>
      <c r="G317" s="5">
        <v>3.08</v>
      </c>
      <c r="H317" s="5">
        <v>13.13</v>
      </c>
      <c r="I317" s="22">
        <v>0.57599999999999996</v>
      </c>
      <c r="J317" s="22">
        <v>1.635</v>
      </c>
      <c r="K317" s="22">
        <v>3.2000000000000001E-2</v>
      </c>
      <c r="L317" s="23">
        <v>63.4</v>
      </c>
      <c r="M317" s="23">
        <v>63.9</v>
      </c>
      <c r="N317" s="23">
        <v>25.5</v>
      </c>
      <c r="O317" s="3">
        <v>492</v>
      </c>
    </row>
    <row r="318" spans="1:15" x14ac:dyDescent="0.25">
      <c r="A318" s="7">
        <v>58610</v>
      </c>
      <c r="B318" s="7" t="s">
        <v>328</v>
      </c>
      <c r="C318" s="2">
        <v>45686</v>
      </c>
      <c r="D318" s="10">
        <v>1.03887</v>
      </c>
      <c r="E318" s="4">
        <v>100.81167863346582</v>
      </c>
      <c r="F318" s="5">
        <v>10.09</v>
      </c>
      <c r="G318" s="5">
        <v>3.17</v>
      </c>
      <c r="H318" s="5">
        <v>8.4</v>
      </c>
      <c r="I318" s="22">
        <v>0.17299999999999999</v>
      </c>
      <c r="J318" s="22">
        <v>8.0999999999999989E-2</v>
      </c>
      <c r="K318" s="22">
        <v>0.02</v>
      </c>
      <c r="L318" s="23">
        <v>94.8</v>
      </c>
      <c r="M318" s="23">
        <v>2.2000000000000002</v>
      </c>
      <c r="N318" s="23">
        <v>10.9</v>
      </c>
      <c r="O318" s="3">
        <v>521</v>
      </c>
    </row>
    <row r="319" spans="1:15" x14ac:dyDescent="0.25">
      <c r="A319" s="7">
        <v>58611</v>
      </c>
      <c r="B319" s="7" t="s">
        <v>329</v>
      </c>
      <c r="C319" s="2">
        <v>45686</v>
      </c>
      <c r="D319" s="10">
        <v>1.04654</v>
      </c>
      <c r="E319" s="4">
        <v>120.79262550271824</v>
      </c>
      <c r="F319" s="5">
        <v>12.82</v>
      </c>
      <c r="G319" s="5">
        <v>3.95</v>
      </c>
      <c r="H319" s="5">
        <v>1.8</v>
      </c>
      <c r="I319" s="22">
        <v>0.6</v>
      </c>
      <c r="J319" s="22">
        <v>0.11599999999999999</v>
      </c>
      <c r="K319" s="22">
        <v>1.6E-2</v>
      </c>
      <c r="L319" s="23">
        <v>92.8</v>
      </c>
      <c r="M319" s="23">
        <v>-0.6</v>
      </c>
      <c r="N319" s="23">
        <v>37.299999999999997</v>
      </c>
      <c r="O319" s="3">
        <v>1186</v>
      </c>
    </row>
    <row r="320" spans="1:15" x14ac:dyDescent="0.25">
      <c r="A320" s="7">
        <v>58612</v>
      </c>
      <c r="B320" s="7" t="s">
        <v>330</v>
      </c>
      <c r="C320" s="2">
        <v>45686</v>
      </c>
      <c r="D320" s="10">
        <v>1.0391300000000001</v>
      </c>
      <c r="E320" s="4">
        <v>101.48850511615865</v>
      </c>
      <c r="F320" s="5">
        <v>10.26</v>
      </c>
      <c r="G320" s="5">
        <v>3.14</v>
      </c>
      <c r="H320" s="5">
        <v>7.4</v>
      </c>
      <c r="I320" s="22">
        <v>9.9599999999999994E-2</v>
      </c>
      <c r="J320" s="22">
        <v>2.7E-2</v>
      </c>
      <c r="K320" s="22">
        <v>5.4999999999999997E-3</v>
      </c>
      <c r="L320" s="23">
        <v>98.3</v>
      </c>
      <c r="M320" s="23">
        <v>-0.5</v>
      </c>
      <c r="N320" s="23">
        <v>7.5</v>
      </c>
      <c r="O320" s="3">
        <v>225</v>
      </c>
    </row>
    <row r="321" spans="1:15" x14ac:dyDescent="0.25">
      <c r="A321" s="7">
        <v>58613</v>
      </c>
      <c r="B321" s="7" t="s">
        <v>331</v>
      </c>
      <c r="C321" s="2">
        <v>45686</v>
      </c>
      <c r="D321" s="10">
        <v>1.0481400000000001</v>
      </c>
      <c r="E321" s="4">
        <v>124.96458123606908</v>
      </c>
      <c r="F321" s="5">
        <v>12.95</v>
      </c>
      <c r="G321" s="5">
        <v>3.17</v>
      </c>
      <c r="H321" s="5">
        <v>9.23</v>
      </c>
      <c r="I321" s="22">
        <v>3.5999999999999997E-2</v>
      </c>
      <c r="J321" s="22">
        <v>2.0299999999999999E-2</v>
      </c>
      <c r="K321" s="22">
        <v>5.4000000000000003E-3</v>
      </c>
      <c r="L321" s="23">
        <v>98.8</v>
      </c>
      <c r="M321" s="23">
        <v>0.7</v>
      </c>
      <c r="N321" s="23">
        <v>1.9</v>
      </c>
      <c r="O321" s="3">
        <v>157</v>
      </c>
    </row>
    <row r="322" spans="1:15" x14ac:dyDescent="0.25">
      <c r="A322" s="7">
        <v>58614</v>
      </c>
      <c r="B322" s="7" t="s">
        <v>332</v>
      </c>
      <c r="C322" s="2">
        <v>45686</v>
      </c>
      <c r="D322" s="10">
        <v>1.0499000000000001</v>
      </c>
      <c r="E322" s="4">
        <v>129.55527474955898</v>
      </c>
      <c r="F322" s="5">
        <v>13.23</v>
      </c>
      <c r="G322" s="5">
        <v>3.14</v>
      </c>
      <c r="H322" s="5">
        <v>9.2799999999999994</v>
      </c>
      <c r="I322" s="22">
        <v>2.64E-2</v>
      </c>
      <c r="J322" s="22">
        <v>1.9300000000000001E-2</v>
      </c>
      <c r="K322" s="22">
        <v>1.5E-3</v>
      </c>
      <c r="L322" s="23">
        <v>99.1</v>
      </c>
      <c r="M322" s="23">
        <v>1.2</v>
      </c>
      <c r="N322" s="23">
        <v>1.3</v>
      </c>
      <c r="O322" s="3">
        <v>192</v>
      </c>
    </row>
    <row r="323" spans="1:15" x14ac:dyDescent="0.25">
      <c r="A323" s="7">
        <v>58615</v>
      </c>
      <c r="B323" s="7" t="s">
        <v>333</v>
      </c>
      <c r="C323" s="2">
        <v>45686</v>
      </c>
      <c r="D323" s="10">
        <v>1.04206</v>
      </c>
      <c r="E323" s="4">
        <v>109.11820489601359</v>
      </c>
      <c r="F323" s="5">
        <v>10.98</v>
      </c>
      <c r="G323" s="5">
        <v>2.98</v>
      </c>
      <c r="H323" s="5">
        <v>13.23</v>
      </c>
      <c r="I323" s="22">
        <v>2.4299999999999999E-2</v>
      </c>
      <c r="J323" s="22">
        <v>8.2000000000000007E-3</v>
      </c>
      <c r="K323" s="22">
        <v>3.8999999999999998E-3</v>
      </c>
      <c r="L323" s="23">
        <v>99.4</v>
      </c>
      <c r="M323" s="23">
        <v>-0.1</v>
      </c>
      <c r="N323" s="23">
        <v>1.3</v>
      </c>
      <c r="O323" s="3">
        <v>411</v>
      </c>
    </row>
    <row r="324" spans="1:15" x14ac:dyDescent="0.25">
      <c r="A324" s="7">
        <v>58638</v>
      </c>
      <c r="B324" s="7" t="s">
        <v>358</v>
      </c>
      <c r="C324" s="2">
        <v>45687</v>
      </c>
      <c r="D324" s="10">
        <v>1.04542</v>
      </c>
      <c r="E324" s="4">
        <v>117.87304788859501</v>
      </c>
      <c r="F324" s="5">
        <v>12.45</v>
      </c>
      <c r="G324" s="5">
        <v>3.38</v>
      </c>
      <c r="H324" s="5">
        <v>5.0999999999999996</v>
      </c>
      <c r="I324" s="22">
        <v>6.2799999999999995E-2</v>
      </c>
      <c r="J324" s="22">
        <v>2.5499999999999998E-2</v>
      </c>
      <c r="K324" s="22">
        <v>6.1000000000000004E-3</v>
      </c>
      <c r="L324" s="25">
        <v>98.3</v>
      </c>
      <c r="M324" s="25">
        <v>0.4</v>
      </c>
      <c r="N324" s="25">
        <v>4.2</v>
      </c>
      <c r="O324" s="3">
        <v>693</v>
      </c>
    </row>
    <row r="325" spans="1:15" x14ac:dyDescent="0.25">
      <c r="A325" s="7">
        <v>58639</v>
      </c>
      <c r="B325" s="7" t="s">
        <v>359</v>
      </c>
      <c r="C325" s="2">
        <v>45687</v>
      </c>
      <c r="D325" s="10">
        <v>1.0533999999999999</v>
      </c>
      <c r="E325" s="4">
        <v>138.68932436325667</v>
      </c>
      <c r="F325" s="5">
        <v>13.76</v>
      </c>
      <c r="G325" s="5">
        <v>3.27</v>
      </c>
      <c r="H325" s="5">
        <v>7.23</v>
      </c>
      <c r="I325" s="22">
        <v>0.16880000000000001</v>
      </c>
      <c r="J325" s="22">
        <v>8.3000000000000004E-2</v>
      </c>
      <c r="K325" s="22">
        <v>3.49E-2</v>
      </c>
      <c r="L325" s="25">
        <v>94.3</v>
      </c>
      <c r="M325" s="25">
        <v>1.4</v>
      </c>
      <c r="N325" s="25">
        <v>10.3</v>
      </c>
      <c r="O325" s="3">
        <v>647</v>
      </c>
    </row>
    <row r="326" spans="1:15" x14ac:dyDescent="0.25">
      <c r="A326" s="7">
        <v>58640</v>
      </c>
      <c r="B326" s="7" t="s">
        <v>360</v>
      </c>
      <c r="C326" s="2">
        <v>45687</v>
      </c>
      <c r="D326" s="10">
        <v>1.0487299999999999</v>
      </c>
      <c r="E326" s="4">
        <v>126.50332653913074</v>
      </c>
      <c r="F326" s="5">
        <v>13.09</v>
      </c>
      <c r="G326" s="5">
        <v>3.14</v>
      </c>
      <c r="H326" s="5">
        <v>8.6300000000000008</v>
      </c>
      <c r="I326" s="22">
        <v>0.12379999999999999</v>
      </c>
      <c r="J326" s="22">
        <v>4.48E-2</v>
      </c>
      <c r="K326" s="22">
        <v>6.8999999999999999E-3</v>
      </c>
      <c r="L326" s="25">
        <v>97.2</v>
      </c>
      <c r="M326" s="25">
        <v>0.7</v>
      </c>
      <c r="N326" s="25">
        <v>9.8000000000000007</v>
      </c>
      <c r="O326" s="3">
        <v>1126</v>
      </c>
    </row>
    <row r="327" spans="1:15" x14ac:dyDescent="0.25">
      <c r="A327" s="7">
        <v>58641</v>
      </c>
      <c r="B327" s="7" t="s">
        <v>361</v>
      </c>
      <c r="C327" s="2">
        <v>45687</v>
      </c>
      <c r="D327" s="10">
        <v>1.04779</v>
      </c>
      <c r="E327" s="4">
        <v>124.05185203155816</v>
      </c>
      <c r="F327" s="5">
        <v>12.83</v>
      </c>
      <c r="G327" s="5">
        <v>3.11</v>
      </c>
      <c r="H327" s="5">
        <v>8.8800000000000008</v>
      </c>
      <c r="I327" s="22">
        <v>4.2799999999999998E-2</v>
      </c>
      <c r="J327" s="22">
        <v>1.8100000000000002E-2</v>
      </c>
      <c r="K327" s="22">
        <v>4.7000000000000002E-3</v>
      </c>
      <c r="L327" s="25">
        <v>98.9</v>
      </c>
      <c r="M327" s="25">
        <v>0.4</v>
      </c>
      <c r="N327" s="25">
        <v>2.5</v>
      </c>
      <c r="O327" s="3">
        <v>791</v>
      </c>
    </row>
    <row r="328" spans="1:15" x14ac:dyDescent="0.25">
      <c r="A328" s="7">
        <v>58642</v>
      </c>
      <c r="B328" s="7" t="s">
        <v>362</v>
      </c>
      <c r="C328" s="2">
        <v>45687</v>
      </c>
      <c r="D328" s="10">
        <v>1.05758</v>
      </c>
      <c r="E328" s="4">
        <v>149.60647905266433</v>
      </c>
      <c r="F328" s="5">
        <v>14.66</v>
      </c>
      <c r="G328" s="5">
        <v>3.03</v>
      </c>
      <c r="H328" s="5">
        <v>10.85</v>
      </c>
      <c r="I328" s="22">
        <v>3.4599999999999999E-2</v>
      </c>
      <c r="J328" s="22">
        <v>2.4E-2</v>
      </c>
      <c r="K328" s="22">
        <v>1.5E-3</v>
      </c>
      <c r="L328" s="25">
        <v>98.9</v>
      </c>
      <c r="M328" s="25">
        <v>1.4</v>
      </c>
      <c r="N328" s="25">
        <v>1.9</v>
      </c>
      <c r="O328" s="3">
        <v>276</v>
      </c>
    </row>
    <row r="329" spans="1:15" x14ac:dyDescent="0.25">
      <c r="A329" s="7">
        <v>58643</v>
      </c>
      <c r="B329" s="7" t="s">
        <v>363</v>
      </c>
      <c r="C329" s="2">
        <v>45687</v>
      </c>
      <c r="D329" s="10">
        <v>1.04417</v>
      </c>
      <c r="E329" s="4">
        <v>114.61535768709882</v>
      </c>
      <c r="F329" s="5">
        <v>12.33</v>
      </c>
      <c r="G329" s="5">
        <v>4.25</v>
      </c>
      <c r="H329" s="5">
        <v>1.33</v>
      </c>
      <c r="I329" s="22">
        <v>0.20199999999999999</v>
      </c>
      <c r="J329" s="22">
        <v>1.7999999999999999E-2</v>
      </c>
      <c r="K329" s="22">
        <v>1E-3</v>
      </c>
      <c r="L329" s="25">
        <v>98.7</v>
      </c>
      <c r="M329" s="25">
        <v>-3.5</v>
      </c>
      <c r="N329" s="25">
        <v>16.2</v>
      </c>
      <c r="O329" s="3">
        <v>423</v>
      </c>
    </row>
    <row r="330" spans="1:15" x14ac:dyDescent="0.25">
      <c r="A330" s="7">
        <v>58644</v>
      </c>
      <c r="B330" s="7" t="s">
        <v>364</v>
      </c>
      <c r="C330" s="2">
        <v>45687</v>
      </c>
      <c r="D330" s="10">
        <v>1.0372300000000001</v>
      </c>
      <c r="E330" s="4">
        <v>96.543257477607312</v>
      </c>
      <c r="F330" s="5">
        <v>9.98</v>
      </c>
      <c r="G330" s="5">
        <v>4.08</v>
      </c>
      <c r="H330" s="5">
        <v>1.48</v>
      </c>
      <c r="I330" s="22">
        <v>0.47100000000000003</v>
      </c>
      <c r="J330" s="22">
        <v>4.7999999999999994E-2</v>
      </c>
      <c r="K330" s="22">
        <v>2.9999999999999996E-3</v>
      </c>
      <c r="L330" s="25">
        <v>96.6</v>
      </c>
      <c r="M330" s="25">
        <v>-4.8</v>
      </c>
      <c r="N330" s="25">
        <v>32.5</v>
      </c>
      <c r="O330" s="3">
        <v>1124</v>
      </c>
    </row>
    <row r="331" spans="1:15" x14ac:dyDescent="0.25">
      <c r="A331" s="7">
        <v>58645</v>
      </c>
      <c r="B331" s="7" t="s">
        <v>365</v>
      </c>
      <c r="C331" s="2">
        <v>45687</v>
      </c>
      <c r="D331" s="10">
        <v>1.04504</v>
      </c>
      <c r="E331" s="4">
        <v>116.88262459039242</v>
      </c>
      <c r="F331" s="5">
        <v>12.34</v>
      </c>
      <c r="G331" s="5">
        <v>3.08</v>
      </c>
      <c r="H331" s="5">
        <v>10.1</v>
      </c>
      <c r="I331" s="22">
        <v>0.67199999999999993</v>
      </c>
      <c r="J331" s="22">
        <v>1.9179999999999999</v>
      </c>
      <c r="K331" s="22">
        <v>0.03</v>
      </c>
      <c r="L331" s="25">
        <v>61.3</v>
      </c>
      <c r="M331" s="25">
        <v>66.599999999999994</v>
      </c>
      <c r="N331" s="25">
        <v>31.4</v>
      </c>
      <c r="O331" s="3">
        <v>637</v>
      </c>
    </row>
    <row r="332" spans="1:15" x14ac:dyDescent="0.25">
      <c r="A332" s="7">
        <v>58646</v>
      </c>
      <c r="B332" s="7" t="s">
        <v>366</v>
      </c>
      <c r="C332" s="2">
        <v>45687</v>
      </c>
      <c r="D332" s="10">
        <v>1.0401499999999999</v>
      </c>
      <c r="E332" s="4">
        <v>104.14408019402481</v>
      </c>
      <c r="F332" s="5">
        <v>10.37</v>
      </c>
      <c r="G332" s="5">
        <v>3.05</v>
      </c>
      <c r="H332" s="5">
        <v>9.73</v>
      </c>
      <c r="I332" s="22">
        <v>0.10059999999999999</v>
      </c>
      <c r="J332" s="22">
        <v>3.3399999999999999E-2</v>
      </c>
      <c r="K332" s="22">
        <v>9.7999999999999997E-3</v>
      </c>
      <c r="L332" s="25">
        <v>97.8</v>
      </c>
      <c r="M332" s="25">
        <v>-0.1</v>
      </c>
      <c r="N332" s="25">
        <v>7</v>
      </c>
      <c r="O332" s="3">
        <v>225</v>
      </c>
    </row>
    <row r="333" spans="1:15" x14ac:dyDescent="0.25">
      <c r="A333" s="7">
        <v>58647</v>
      </c>
      <c r="B333" s="7" t="s">
        <v>367</v>
      </c>
      <c r="C333" s="2">
        <v>45687</v>
      </c>
      <c r="D333" s="10">
        <v>1.0351600000000001</v>
      </c>
      <c r="E333" s="4">
        <v>91.157622325933971</v>
      </c>
      <c r="F333" s="5">
        <v>8.89</v>
      </c>
      <c r="G333" s="5">
        <v>3.12</v>
      </c>
      <c r="H333" s="5">
        <v>9.15</v>
      </c>
      <c r="I333" s="22">
        <v>0.25430000000000003</v>
      </c>
      <c r="J333" s="22">
        <v>6.7100000000000007E-2</v>
      </c>
      <c r="K333" s="22">
        <v>2.5999999999999999E-2</v>
      </c>
      <c r="L333" s="25">
        <v>95.1</v>
      </c>
      <c r="M333" s="25">
        <v>-1.5</v>
      </c>
      <c r="N333" s="25">
        <v>17.2</v>
      </c>
      <c r="O333" s="3">
        <v>370</v>
      </c>
    </row>
    <row r="334" spans="1:15" x14ac:dyDescent="0.25">
      <c r="A334" s="7">
        <v>58648</v>
      </c>
      <c r="B334" s="7" t="s">
        <v>368</v>
      </c>
      <c r="C334" s="2">
        <v>45687</v>
      </c>
      <c r="D334" s="10">
        <v>1.0455700000000001</v>
      </c>
      <c r="E334" s="4">
        <v>118.26402503352074</v>
      </c>
      <c r="F334" s="5">
        <v>12.41</v>
      </c>
      <c r="G334" s="5">
        <v>3.21</v>
      </c>
      <c r="H334" s="5">
        <v>8.58</v>
      </c>
      <c r="I334" s="22">
        <v>0.25900000000000001</v>
      </c>
      <c r="J334" s="22">
        <v>5.6000000000000001E-2</v>
      </c>
      <c r="K334" s="22">
        <v>-2.9999999999999996E-3</v>
      </c>
      <c r="L334" s="25">
        <v>96.8</v>
      </c>
      <c r="M334" s="25">
        <v>0.1</v>
      </c>
      <c r="N334" s="25">
        <v>20.2</v>
      </c>
      <c r="O334" s="3">
        <v>1218</v>
      </c>
    </row>
    <row r="335" spans="1:15" x14ac:dyDescent="0.25">
      <c r="A335" s="7">
        <v>58649</v>
      </c>
      <c r="B335" s="7" t="s">
        <v>369</v>
      </c>
      <c r="C335" s="2">
        <v>45687</v>
      </c>
      <c r="D335" s="10">
        <v>1.04182</v>
      </c>
      <c r="E335" s="4">
        <v>108.49308131979024</v>
      </c>
      <c r="F335" s="5">
        <v>10.78</v>
      </c>
      <c r="G335" s="5">
        <v>3.03</v>
      </c>
      <c r="H335" s="5">
        <v>12.38</v>
      </c>
      <c r="I335" s="22">
        <v>5.8400000000000001E-2</v>
      </c>
      <c r="J335" s="22">
        <v>3.0499999999999999E-2</v>
      </c>
      <c r="K335" s="22">
        <v>4.1000000000000003E-3</v>
      </c>
      <c r="L335" s="25">
        <v>98.3</v>
      </c>
      <c r="M335" s="25">
        <v>1.2</v>
      </c>
      <c r="N335" s="25">
        <v>4</v>
      </c>
      <c r="O335" s="3">
        <v>649</v>
      </c>
    </row>
    <row r="336" spans="1:15" x14ac:dyDescent="0.25">
      <c r="A336" s="7">
        <v>58650</v>
      </c>
      <c r="B336" s="7" t="s">
        <v>370</v>
      </c>
      <c r="C336" s="2">
        <v>45687</v>
      </c>
      <c r="D336" s="10">
        <v>1.0368999999999999</v>
      </c>
      <c r="E336" s="4">
        <v>95.684532774703257</v>
      </c>
      <c r="F336" s="5">
        <v>9.68</v>
      </c>
      <c r="G336" s="5">
        <v>3.08</v>
      </c>
      <c r="H336" s="5">
        <v>8.43</v>
      </c>
      <c r="I336" s="22">
        <v>0.30299999999999999</v>
      </c>
      <c r="J336" s="22">
        <v>4.1999999999999996E-2</v>
      </c>
      <c r="K336" s="22">
        <v>1E-3</v>
      </c>
      <c r="L336" s="25">
        <v>97.1</v>
      </c>
      <c r="M336" s="25">
        <v>-2.6</v>
      </c>
      <c r="N336" s="25">
        <v>24.7</v>
      </c>
      <c r="O336" s="3">
        <v>740</v>
      </c>
    </row>
    <row r="337" spans="1:15" x14ac:dyDescent="0.25">
      <c r="A337" s="7">
        <v>58651</v>
      </c>
      <c r="B337" s="7" t="s">
        <v>371</v>
      </c>
      <c r="C337" s="2">
        <v>45687</v>
      </c>
      <c r="D337" s="10">
        <v>1.03745</v>
      </c>
      <c r="E337" s="4">
        <v>97.115771269969173</v>
      </c>
      <c r="F337" s="5">
        <v>9.7799999999999994</v>
      </c>
      <c r="G337" s="5">
        <v>2.8</v>
      </c>
      <c r="H337" s="5">
        <v>15.7</v>
      </c>
      <c r="I337" s="22">
        <v>1.85</v>
      </c>
      <c r="J337" s="22">
        <v>5.5679999999999996</v>
      </c>
      <c r="K337" s="22">
        <v>0.10300000000000001</v>
      </c>
      <c r="L337" s="25">
        <v>45.6</v>
      </c>
      <c r="M337" s="25">
        <v>72.3</v>
      </c>
      <c r="N337" s="25">
        <v>72.5</v>
      </c>
      <c r="O337" s="3">
        <v>1258</v>
      </c>
    </row>
    <row r="338" spans="1:15" x14ac:dyDescent="0.25">
      <c r="A338" s="7">
        <v>58652</v>
      </c>
      <c r="B338" s="7" t="s">
        <v>372</v>
      </c>
      <c r="C338" s="2">
        <v>45687</v>
      </c>
      <c r="D338" s="10">
        <v>1.03623</v>
      </c>
      <c r="E338" s="4">
        <v>93.941230978430667</v>
      </c>
      <c r="F338" s="5">
        <v>9.68</v>
      </c>
      <c r="G338" s="5">
        <v>4.12</v>
      </c>
      <c r="H338" s="5">
        <v>1.68</v>
      </c>
      <c r="I338" s="22">
        <v>0.8</v>
      </c>
      <c r="J338" s="22">
        <v>0.11299999999999999</v>
      </c>
      <c r="K338" s="22">
        <v>7.0000000000000001E-3</v>
      </c>
      <c r="L338" s="25">
        <v>92.8</v>
      </c>
      <c r="M338" s="25">
        <v>-1.9</v>
      </c>
      <c r="N338" s="25">
        <v>48.6</v>
      </c>
      <c r="O338" s="3">
        <v>1059</v>
      </c>
    </row>
    <row r="339" spans="1:15" x14ac:dyDescent="0.25">
      <c r="A339" s="7">
        <v>58653</v>
      </c>
      <c r="B339" s="7" t="s">
        <v>373</v>
      </c>
      <c r="C339" s="2">
        <v>45687</v>
      </c>
      <c r="D339" s="10">
        <v>1.04887</v>
      </c>
      <c r="E339" s="4">
        <v>126.86847922264451</v>
      </c>
      <c r="F339" s="5">
        <v>13.08</v>
      </c>
      <c r="G339" s="5">
        <v>3.13</v>
      </c>
      <c r="H339" s="5">
        <v>9.1999999999999993</v>
      </c>
      <c r="I339" s="22">
        <v>0.36</v>
      </c>
      <c r="J339" s="22">
        <v>6.2E-2</v>
      </c>
      <c r="K339" s="22">
        <v>-2.9999999999999996E-3</v>
      </c>
      <c r="L339" s="25">
        <v>96.2</v>
      </c>
      <c r="M339" s="25">
        <v>-1.4</v>
      </c>
      <c r="N339" s="25">
        <v>26.9</v>
      </c>
      <c r="O339" s="3">
        <v>743</v>
      </c>
    </row>
    <row r="340" spans="1:15" x14ac:dyDescent="0.25">
      <c r="A340" s="7">
        <v>58654</v>
      </c>
      <c r="B340" s="7" t="s">
        <v>374</v>
      </c>
      <c r="C340" s="2">
        <v>45687</v>
      </c>
      <c r="D340" s="10">
        <v>1.04179</v>
      </c>
      <c r="E340" s="4">
        <v>108.41494295069424</v>
      </c>
      <c r="F340" s="5">
        <v>11.97</v>
      </c>
      <c r="G340" s="5">
        <v>3.2</v>
      </c>
      <c r="H340" s="5">
        <v>6.98</v>
      </c>
      <c r="I340" s="22">
        <v>0.17799999999999999</v>
      </c>
      <c r="J340" s="22">
        <v>1.1000000000000001E-2</v>
      </c>
      <c r="K340" s="22">
        <v>-1.4E-2</v>
      </c>
      <c r="L340" s="25">
        <v>99.4</v>
      </c>
      <c r="M340" s="25">
        <v>-1.9</v>
      </c>
      <c r="N340" s="25">
        <v>15.5</v>
      </c>
      <c r="O340" s="3">
        <v>628</v>
      </c>
    </row>
    <row r="341" spans="1:15" x14ac:dyDescent="0.25">
      <c r="A341" s="7">
        <v>58655</v>
      </c>
      <c r="B341" s="7" t="s">
        <v>375</v>
      </c>
      <c r="C341" s="2">
        <v>45687</v>
      </c>
      <c r="D341" s="10">
        <v>1.04366</v>
      </c>
      <c r="E341" s="4">
        <v>113.2864518815104</v>
      </c>
      <c r="F341" s="5">
        <v>12.15</v>
      </c>
      <c r="G341" s="5">
        <v>2.9</v>
      </c>
      <c r="H341" s="5">
        <v>12.23</v>
      </c>
      <c r="I341" s="22">
        <v>2.4299999999999999E-2</v>
      </c>
      <c r="J341" s="22">
        <v>1.14E-2</v>
      </c>
      <c r="K341" s="22">
        <v>1.6000000000000001E-3</v>
      </c>
      <c r="L341" s="25">
        <v>99.4</v>
      </c>
      <c r="M341" s="25">
        <v>0.4</v>
      </c>
      <c r="N341" s="25">
        <v>1.5</v>
      </c>
      <c r="O341" s="3">
        <v>203</v>
      </c>
    </row>
    <row r="342" spans="1:15" x14ac:dyDescent="0.25">
      <c r="A342" s="7">
        <v>58656</v>
      </c>
      <c r="B342" s="7" t="s">
        <v>376</v>
      </c>
      <c r="C342" s="2">
        <v>45687</v>
      </c>
      <c r="D342" s="10">
        <v>1.04132</v>
      </c>
      <c r="E342" s="4">
        <v>107.19083541475356</v>
      </c>
      <c r="F342" s="5">
        <v>10.82</v>
      </c>
      <c r="G342" s="5">
        <v>3.09</v>
      </c>
      <c r="H342" s="5">
        <v>8.25</v>
      </c>
      <c r="I342" s="22">
        <v>3.9699999999999999E-2</v>
      </c>
      <c r="J342" s="22">
        <v>2.9899999999999999E-2</v>
      </c>
      <c r="K342" s="22">
        <v>3.8E-3</v>
      </c>
      <c r="L342" s="25">
        <v>98.5</v>
      </c>
      <c r="M342" s="25">
        <v>1.7</v>
      </c>
      <c r="N342" s="25">
        <v>2.1</v>
      </c>
      <c r="O342" s="3">
        <v>395</v>
      </c>
    </row>
    <row r="343" spans="1:15" x14ac:dyDescent="0.25">
      <c r="A343" s="7">
        <v>58657</v>
      </c>
      <c r="B343" s="7" t="s">
        <v>377</v>
      </c>
      <c r="C343" s="2">
        <v>45687</v>
      </c>
      <c r="D343" s="10">
        <v>1.0436099999999999</v>
      </c>
      <c r="E343" s="4">
        <v>113.15617421793786</v>
      </c>
      <c r="F343" s="5">
        <v>12.17</v>
      </c>
      <c r="G343" s="5">
        <v>3.12</v>
      </c>
      <c r="H343" s="5">
        <v>8.9499999999999993</v>
      </c>
      <c r="I343" s="22">
        <v>3.6499999999999998E-2</v>
      </c>
      <c r="J343" s="22">
        <v>1.5900000000000001E-2</v>
      </c>
      <c r="K343" s="22">
        <v>7.0000000000000001E-3</v>
      </c>
      <c r="L343" s="25">
        <v>98.9</v>
      </c>
      <c r="M343" s="25">
        <v>0.2</v>
      </c>
      <c r="N343" s="25">
        <v>1.9</v>
      </c>
      <c r="O343" s="3">
        <v>338</v>
      </c>
    </row>
    <row r="344" spans="1:15" x14ac:dyDescent="0.25">
      <c r="A344" s="7">
        <v>58660</v>
      </c>
      <c r="B344" s="7" t="s">
        <v>378</v>
      </c>
      <c r="C344" s="2">
        <v>45691</v>
      </c>
      <c r="D344" s="10">
        <v>1.0450900000000001</v>
      </c>
      <c r="E344" s="4">
        <v>117.01293917591329</v>
      </c>
      <c r="F344" s="37">
        <v>12.25</v>
      </c>
      <c r="G344" s="37">
        <v>3.77</v>
      </c>
      <c r="H344" s="37">
        <v>7.2250000000000005</v>
      </c>
      <c r="I344" s="26">
        <v>0.25069999999999998</v>
      </c>
      <c r="J344" s="26">
        <v>5.3900000000000003E-2</v>
      </c>
      <c r="K344" s="26">
        <v>8.0000000000000002E-3</v>
      </c>
      <c r="L344" s="27">
        <v>96.4</v>
      </c>
      <c r="M344" s="27">
        <v>-1.5</v>
      </c>
      <c r="N344" s="27">
        <v>20.3</v>
      </c>
      <c r="O344" s="3">
        <v>850</v>
      </c>
    </row>
    <row r="345" spans="1:15" x14ac:dyDescent="0.25">
      <c r="A345" s="7">
        <v>58661</v>
      </c>
      <c r="B345" s="7" t="s">
        <v>379</v>
      </c>
      <c r="C345" s="2">
        <v>45691</v>
      </c>
      <c r="D345" s="10">
        <v>1.04637</v>
      </c>
      <c r="E345" s="4">
        <v>120.34943343870964</v>
      </c>
      <c r="F345" s="37">
        <v>12.22</v>
      </c>
      <c r="G345" s="5">
        <v>3.48</v>
      </c>
      <c r="H345" s="5">
        <v>8.6</v>
      </c>
      <c r="I345" s="26">
        <v>2.0899999999999998E-2</v>
      </c>
      <c r="J345" s="26">
        <v>6.7999999999999996E-3</v>
      </c>
      <c r="K345" s="26">
        <v>2E-3</v>
      </c>
      <c r="L345" s="27">
        <v>99.6</v>
      </c>
      <c r="M345" s="27">
        <v>0</v>
      </c>
      <c r="N345" s="27">
        <v>1.2</v>
      </c>
      <c r="O345" s="3">
        <v>249</v>
      </c>
    </row>
    <row r="346" spans="1:15" x14ac:dyDescent="0.25">
      <c r="A346" s="7">
        <v>58662</v>
      </c>
      <c r="B346" s="7" t="s">
        <v>380</v>
      </c>
      <c r="C346" s="2">
        <v>45691</v>
      </c>
      <c r="D346" s="10">
        <v>1.04436</v>
      </c>
      <c r="E346" s="4">
        <v>115.1104745563789</v>
      </c>
      <c r="F346" s="37">
        <v>12.02</v>
      </c>
      <c r="G346" s="5">
        <v>3.53</v>
      </c>
      <c r="H346" s="5">
        <v>5.25</v>
      </c>
      <c r="I346" s="26">
        <v>0.1285</v>
      </c>
      <c r="J346" s="26">
        <v>3.0800000000000001E-2</v>
      </c>
      <c r="K346" s="26">
        <v>5.7000000000000002E-3</v>
      </c>
      <c r="L346" s="27">
        <v>97.9</v>
      </c>
      <c r="M346" s="27">
        <v>-0.7</v>
      </c>
      <c r="N346" s="27">
        <v>9.9</v>
      </c>
      <c r="O346" s="3">
        <v>503</v>
      </c>
    </row>
    <row r="347" spans="1:15" x14ac:dyDescent="0.25">
      <c r="A347" s="7">
        <v>58663</v>
      </c>
      <c r="B347" s="7" t="s">
        <v>381</v>
      </c>
      <c r="C347" s="2">
        <v>45691</v>
      </c>
      <c r="D347" s="10">
        <v>1.0486200000000001</v>
      </c>
      <c r="E347" s="4">
        <v>126.21642804109615</v>
      </c>
      <c r="F347" s="37">
        <v>12.78</v>
      </c>
      <c r="G347" s="5">
        <v>2.96</v>
      </c>
      <c r="H347" s="5">
        <v>10.824999999999999</v>
      </c>
      <c r="I347" s="26">
        <v>2.7099999999999999E-2</v>
      </c>
      <c r="J347" s="26">
        <v>6.3E-3</v>
      </c>
      <c r="K347" s="26">
        <v>3.0000000000000001E-3</v>
      </c>
      <c r="L347" s="27">
        <v>99.5</v>
      </c>
      <c r="M347" s="27">
        <v>-0.3</v>
      </c>
      <c r="N347" s="27">
        <v>1.5</v>
      </c>
      <c r="O347" s="3">
        <v>538</v>
      </c>
    </row>
    <row r="348" spans="1:15" x14ac:dyDescent="0.25">
      <c r="A348" s="7">
        <v>58664</v>
      </c>
      <c r="B348" s="7" t="s">
        <v>382</v>
      </c>
      <c r="C348" s="2">
        <v>45691</v>
      </c>
      <c r="D348" s="10">
        <v>1.04766</v>
      </c>
      <c r="E348" s="4">
        <v>123.71285458641159</v>
      </c>
      <c r="F348" s="13">
        <v>12.43</v>
      </c>
      <c r="G348" s="5">
        <v>3.04</v>
      </c>
      <c r="H348" s="5">
        <v>12.875</v>
      </c>
      <c r="I348" s="26">
        <v>3.0499999999999999E-2</v>
      </c>
      <c r="J348" s="26">
        <v>1.89E-2</v>
      </c>
      <c r="K348" s="26">
        <v>2.5999999999999999E-3</v>
      </c>
      <c r="L348" s="27">
        <v>99</v>
      </c>
      <c r="M348" s="27">
        <v>0.9</v>
      </c>
      <c r="N348" s="27">
        <v>1.6</v>
      </c>
      <c r="O348" s="3">
        <v>253</v>
      </c>
    </row>
    <row r="349" spans="1:15" x14ac:dyDescent="0.25">
      <c r="A349" s="7">
        <v>58665</v>
      </c>
      <c r="B349" s="7" t="s">
        <v>383</v>
      </c>
      <c r="C349" s="2">
        <v>45691</v>
      </c>
      <c r="D349" s="10">
        <v>1.04548</v>
      </c>
      <c r="E349" s="4">
        <v>118.02943734815426</v>
      </c>
      <c r="F349" s="37">
        <v>12.18</v>
      </c>
      <c r="G349" s="5">
        <v>3</v>
      </c>
      <c r="H349" s="5">
        <v>12.524999999999999</v>
      </c>
      <c r="I349" s="26">
        <v>2.9399999999999999E-2</v>
      </c>
      <c r="J349" s="26">
        <v>2.06E-2</v>
      </c>
      <c r="K349" s="26">
        <v>2.8999999999999998E-3</v>
      </c>
      <c r="L349" s="27">
        <v>99</v>
      </c>
      <c r="M349" s="27">
        <v>1.1000000000000001</v>
      </c>
      <c r="N349" s="27">
        <v>1.5</v>
      </c>
      <c r="O349" s="3">
        <v>216</v>
      </c>
    </row>
    <row r="350" spans="1:15" x14ac:dyDescent="0.25">
      <c r="A350" s="7">
        <v>58666</v>
      </c>
      <c r="B350" s="7" t="s">
        <v>384</v>
      </c>
      <c r="C350" s="2">
        <v>45691</v>
      </c>
      <c r="D350" s="10">
        <v>1.04179</v>
      </c>
      <c r="E350" s="4">
        <v>108.41494295069424</v>
      </c>
      <c r="F350" s="37">
        <v>10.81</v>
      </c>
      <c r="G350" s="5">
        <v>2.97</v>
      </c>
      <c r="H350" s="5">
        <v>12.625</v>
      </c>
      <c r="I350" s="26">
        <v>2.3300000000000001E-2</v>
      </c>
      <c r="J350" s="26">
        <v>7.7999999999999996E-3</v>
      </c>
      <c r="K350" s="26">
        <v>1E-3</v>
      </c>
      <c r="L350" s="27">
        <v>99.6</v>
      </c>
      <c r="M350" s="27">
        <v>0.1</v>
      </c>
      <c r="N350" s="27">
        <v>1.3</v>
      </c>
      <c r="O350" s="3">
        <v>540</v>
      </c>
    </row>
    <row r="351" spans="1:15" x14ac:dyDescent="0.25">
      <c r="A351" s="7">
        <v>58667</v>
      </c>
      <c r="B351" s="7" t="s">
        <v>385</v>
      </c>
      <c r="C351" s="2">
        <v>45691</v>
      </c>
      <c r="D351" s="10">
        <v>1.0436099999999999</v>
      </c>
      <c r="E351" s="4">
        <v>113.15617421793786</v>
      </c>
      <c r="F351" s="13">
        <v>11.84</v>
      </c>
      <c r="G351" s="5">
        <v>2.99</v>
      </c>
      <c r="H351" s="5">
        <v>12.024999999999999</v>
      </c>
      <c r="I351" s="26">
        <v>2.47E-2</v>
      </c>
      <c r="J351" s="26">
        <v>9.4000000000000004E-3</v>
      </c>
      <c r="K351" s="26">
        <v>3.8E-3</v>
      </c>
      <c r="L351" s="27">
        <v>99.3</v>
      </c>
      <c r="M351" s="27">
        <v>0</v>
      </c>
      <c r="N351" s="27">
        <v>1.3</v>
      </c>
      <c r="O351" s="3">
        <v>427</v>
      </c>
    </row>
    <row r="352" spans="1:15" x14ac:dyDescent="0.25">
      <c r="A352" s="7">
        <v>58668</v>
      </c>
      <c r="B352" s="7" t="s">
        <v>386</v>
      </c>
      <c r="C352" s="2">
        <v>45691</v>
      </c>
      <c r="D352" s="10">
        <v>1.0408500000000001</v>
      </c>
      <c r="E352" s="4">
        <v>105.96684104591441</v>
      </c>
      <c r="F352" s="37">
        <v>10.66</v>
      </c>
      <c r="G352" s="5">
        <v>3.2</v>
      </c>
      <c r="H352" s="5">
        <v>9.15</v>
      </c>
      <c r="I352" s="26">
        <v>3.61E-2</v>
      </c>
      <c r="J352" s="26">
        <v>2.0500000000000001E-2</v>
      </c>
      <c r="K352" s="26">
        <v>4.7000000000000002E-3</v>
      </c>
      <c r="L352" s="27">
        <v>98.9</v>
      </c>
      <c r="M352" s="27">
        <v>0.8</v>
      </c>
      <c r="N352" s="27">
        <v>1.9</v>
      </c>
      <c r="O352" s="3">
        <v>192</v>
      </c>
    </row>
    <row r="353" spans="1:15" x14ac:dyDescent="0.25">
      <c r="A353" s="7">
        <v>58669</v>
      </c>
      <c r="B353" s="7" t="s">
        <v>387</v>
      </c>
      <c r="C353" s="2">
        <v>45691</v>
      </c>
      <c r="D353" s="10">
        <v>1.0438400000000001</v>
      </c>
      <c r="E353" s="4">
        <v>113.75546214158931</v>
      </c>
      <c r="F353" s="13">
        <v>12.03</v>
      </c>
      <c r="G353" s="5">
        <v>3.06</v>
      </c>
      <c r="H353" s="5">
        <v>12.524999999999999</v>
      </c>
      <c r="I353" s="26">
        <v>2.3300000000000001E-2</v>
      </c>
      <c r="J353" s="26">
        <v>9.1999999999999998E-3</v>
      </c>
      <c r="K353" s="26">
        <v>3.3E-3</v>
      </c>
      <c r="L353" s="27">
        <v>99.4</v>
      </c>
      <c r="M353" s="27">
        <v>0.1</v>
      </c>
      <c r="N353" s="27">
        <v>1.3</v>
      </c>
      <c r="O353" s="3">
        <v>299</v>
      </c>
    </row>
    <row r="354" spans="1:15" x14ac:dyDescent="0.25">
      <c r="A354" s="7">
        <v>58670</v>
      </c>
      <c r="B354" s="7" t="s">
        <v>388</v>
      </c>
      <c r="C354" s="2">
        <v>45692</v>
      </c>
      <c r="D354" s="13">
        <v>1.0479700000000001</v>
      </c>
      <c r="E354" s="4">
        <v>124.52124764696282</v>
      </c>
      <c r="F354" s="13">
        <v>12.49</v>
      </c>
      <c r="G354" s="18">
        <v>3.14</v>
      </c>
      <c r="H354" s="5">
        <v>10.4</v>
      </c>
      <c r="I354" s="26">
        <v>0.26100000000000001</v>
      </c>
      <c r="J354" s="26">
        <v>8.3000000000000004E-2</v>
      </c>
      <c r="K354" s="26">
        <v>7.0000000000000001E-3</v>
      </c>
      <c r="L354" s="27">
        <v>95.3</v>
      </c>
      <c r="M354" s="27">
        <v>1.8</v>
      </c>
      <c r="N354" s="27">
        <v>19.5</v>
      </c>
      <c r="O354" s="3">
        <v>957</v>
      </c>
    </row>
    <row r="355" spans="1:15" x14ac:dyDescent="0.25">
      <c r="A355" s="7">
        <v>58671</v>
      </c>
      <c r="B355" s="7" t="s">
        <v>389</v>
      </c>
      <c r="C355" s="2">
        <v>45692</v>
      </c>
      <c r="D355" s="37">
        <v>1.0399499999999999</v>
      </c>
      <c r="E355" s="4">
        <v>103.62333736429991</v>
      </c>
      <c r="F355" s="37">
        <v>10.26</v>
      </c>
      <c r="G355" s="18">
        <v>3.12</v>
      </c>
      <c r="H355" s="5">
        <v>10.824999999999999</v>
      </c>
      <c r="I355" s="26">
        <v>0.315</v>
      </c>
      <c r="J355" s="26">
        <v>8.2000000000000003E-2</v>
      </c>
      <c r="K355" s="26">
        <v>4.0000000000000001E-3</v>
      </c>
      <c r="L355" s="27">
        <v>95.2</v>
      </c>
      <c r="M355" s="27">
        <v>0.8</v>
      </c>
      <c r="N355" s="27">
        <v>23.5</v>
      </c>
      <c r="O355" s="3">
        <v>2083</v>
      </c>
    </row>
    <row r="356" spans="1:15" x14ac:dyDescent="0.25">
      <c r="A356" s="7">
        <v>58672</v>
      </c>
      <c r="B356" s="7" t="s">
        <v>390</v>
      </c>
      <c r="C356" s="2">
        <v>45692</v>
      </c>
      <c r="D356" s="37">
        <v>1.0388200000000001</v>
      </c>
      <c r="E356" s="4">
        <v>100.68152363991021</v>
      </c>
      <c r="F356" s="37">
        <v>10.01</v>
      </c>
      <c r="G356" s="18">
        <v>2.92</v>
      </c>
      <c r="H356" s="5">
        <v>18.174999999999997</v>
      </c>
      <c r="I356" s="26">
        <v>1.6189999999999998</v>
      </c>
      <c r="J356" s="26">
        <v>4.9270000000000005</v>
      </c>
      <c r="K356" s="26">
        <v>8.3999999999999991E-2</v>
      </c>
      <c r="L356" s="27">
        <v>48.9</v>
      </c>
      <c r="M356" s="27">
        <v>71.7</v>
      </c>
      <c r="N356" s="27">
        <v>70.400000000000006</v>
      </c>
      <c r="O356" s="3">
        <v>821</v>
      </c>
    </row>
    <row r="357" spans="1:15" x14ac:dyDescent="0.25">
      <c r="A357" s="7">
        <v>58673</v>
      </c>
      <c r="B357" s="7" t="s">
        <v>391</v>
      </c>
      <c r="C357" s="2">
        <v>45692</v>
      </c>
      <c r="D357" s="37">
        <v>1.0400400000000001</v>
      </c>
      <c r="E357" s="4">
        <v>103.85766911030032</v>
      </c>
      <c r="F357" s="37">
        <v>10.26</v>
      </c>
      <c r="G357" s="18">
        <v>3.12</v>
      </c>
      <c r="H357" s="5">
        <v>9.125</v>
      </c>
      <c r="I357" s="26">
        <v>0.373</v>
      </c>
      <c r="J357" s="26">
        <v>0.104</v>
      </c>
      <c r="K357" s="26">
        <v>1.6999999999999998E-2</v>
      </c>
      <c r="L357" s="27">
        <v>93.5</v>
      </c>
      <c r="M357" s="27">
        <v>0.7</v>
      </c>
      <c r="N357" s="27">
        <v>25.1</v>
      </c>
      <c r="O357" s="3">
        <v>694</v>
      </c>
    </row>
    <row r="358" spans="1:15" x14ac:dyDescent="0.25">
      <c r="A358" s="7">
        <v>58674</v>
      </c>
      <c r="B358" s="7" t="s">
        <v>392</v>
      </c>
      <c r="C358" s="2">
        <v>45692</v>
      </c>
      <c r="D358" s="37">
        <v>1.0388900000000001</v>
      </c>
      <c r="E358" s="4">
        <v>100.86374098717306</v>
      </c>
      <c r="F358" s="37">
        <v>10.210000000000001</v>
      </c>
      <c r="G358" s="18">
        <v>3.13</v>
      </c>
      <c r="H358" s="5">
        <v>10.25</v>
      </c>
      <c r="I358" s="26">
        <v>0.622</v>
      </c>
      <c r="J358" s="26">
        <v>1.2030000000000001</v>
      </c>
      <c r="K358" s="26">
        <v>3.1E-2</v>
      </c>
      <c r="L358" s="27">
        <v>67</v>
      </c>
      <c r="M358" s="27">
        <v>56.1</v>
      </c>
      <c r="N358" s="27">
        <v>26.5</v>
      </c>
      <c r="O358" s="3">
        <v>1576</v>
      </c>
    </row>
    <row r="359" spans="1:15" x14ac:dyDescent="0.25">
      <c r="A359" s="7">
        <v>58675</v>
      </c>
      <c r="B359" s="7" t="s">
        <v>393</v>
      </c>
      <c r="C359" s="2">
        <v>45692</v>
      </c>
      <c r="D359" s="37">
        <v>1.0369699999999999</v>
      </c>
      <c r="E359" s="4">
        <v>95.86668189029524</v>
      </c>
      <c r="F359" s="37">
        <v>8.76</v>
      </c>
      <c r="G359" s="18">
        <v>3.14</v>
      </c>
      <c r="H359" s="5">
        <v>7.3</v>
      </c>
      <c r="I359" s="26">
        <v>2.93E-2</v>
      </c>
      <c r="J359" s="26">
        <v>1.3299999999999999E-2</v>
      </c>
      <c r="K359" s="26">
        <v>6.9999999999999999E-4</v>
      </c>
      <c r="L359" s="27">
        <v>99.3</v>
      </c>
      <c r="M359" s="27">
        <v>0.5</v>
      </c>
      <c r="N359" s="27">
        <v>1.9</v>
      </c>
      <c r="O359" s="3">
        <v>202</v>
      </c>
    </row>
    <row r="360" spans="1:15" x14ac:dyDescent="0.25">
      <c r="A360" s="7">
        <v>58676</v>
      </c>
      <c r="B360" s="7" t="s">
        <v>394</v>
      </c>
      <c r="C360" s="2">
        <v>45692</v>
      </c>
      <c r="D360" s="13">
        <v>1.03955</v>
      </c>
      <c r="E360" s="4">
        <v>102.58191294811468</v>
      </c>
      <c r="F360" s="13">
        <v>10.07</v>
      </c>
      <c r="G360" s="18">
        <v>3.17</v>
      </c>
      <c r="H360" s="5">
        <v>9.5250000000000004</v>
      </c>
      <c r="I360" s="26">
        <v>2.93E-2</v>
      </c>
      <c r="J360" s="26">
        <v>2.5700000000000001E-2</v>
      </c>
      <c r="K360" s="26">
        <v>3.0999999999999999E-3</v>
      </c>
      <c r="L360" s="27">
        <v>98.8</v>
      </c>
      <c r="M360" s="27">
        <v>1.6</v>
      </c>
      <c r="N360" s="27">
        <v>1.4</v>
      </c>
      <c r="O360" s="3">
        <v>129</v>
      </c>
    </row>
    <row r="361" spans="1:15" x14ac:dyDescent="0.25">
      <c r="A361" s="7">
        <v>58677</v>
      </c>
      <c r="B361" s="7" t="s">
        <v>395</v>
      </c>
      <c r="C361" s="2">
        <v>45692</v>
      </c>
      <c r="D361" s="13">
        <v>1.04436</v>
      </c>
      <c r="E361" s="4">
        <v>115.1104745563789</v>
      </c>
      <c r="F361" s="13">
        <v>11.87</v>
      </c>
      <c r="G361" s="18">
        <v>3.16</v>
      </c>
      <c r="H361" s="5">
        <v>8.35</v>
      </c>
      <c r="I361" s="26">
        <v>2.5100000000000001E-2</v>
      </c>
      <c r="J361" s="26">
        <v>1.03E-2</v>
      </c>
      <c r="K361" s="26">
        <v>-4.0000000000000002E-4</v>
      </c>
      <c r="L361" s="27">
        <v>99.5</v>
      </c>
      <c r="M361" s="27">
        <v>0.4</v>
      </c>
      <c r="N361" s="27">
        <v>1.4</v>
      </c>
      <c r="O361" s="3">
        <v>271</v>
      </c>
    </row>
    <row r="362" spans="1:15" x14ac:dyDescent="0.25">
      <c r="A362" s="7">
        <v>58678</v>
      </c>
      <c r="B362" s="7" t="s">
        <v>396</v>
      </c>
      <c r="C362" s="2">
        <v>45692</v>
      </c>
      <c r="D362" s="13">
        <v>1.04619</v>
      </c>
      <c r="E362" s="4">
        <v>119.88018760536443</v>
      </c>
      <c r="F362" s="13">
        <v>12.11</v>
      </c>
      <c r="G362" s="18">
        <v>3.28</v>
      </c>
      <c r="H362" s="5">
        <v>9</v>
      </c>
      <c r="I362" s="26">
        <v>3.39E-2</v>
      </c>
      <c r="J362" s="26">
        <v>1.2500000000000001E-2</v>
      </c>
      <c r="K362" s="26">
        <v>1.6000000000000001E-3</v>
      </c>
      <c r="L362" s="27">
        <v>99.3</v>
      </c>
      <c r="M362" s="27">
        <v>0.2</v>
      </c>
      <c r="N362" s="27">
        <v>2</v>
      </c>
      <c r="O362" s="3">
        <v>175</v>
      </c>
    </row>
    <row r="363" spans="1:15" x14ac:dyDescent="0.25">
      <c r="A363" s="7">
        <v>58679</v>
      </c>
      <c r="B363" s="7" t="s">
        <v>397</v>
      </c>
      <c r="C363" s="2">
        <v>45692</v>
      </c>
      <c r="D363" s="37">
        <v>1.04366</v>
      </c>
      <c r="E363" s="4">
        <v>113.2864518815104</v>
      </c>
      <c r="F363" s="37">
        <v>11.01</v>
      </c>
      <c r="G363" s="18">
        <v>3.07</v>
      </c>
      <c r="H363" s="5">
        <v>11.45</v>
      </c>
      <c r="I363" s="26">
        <v>4.1500000000000002E-2</v>
      </c>
      <c r="J363" s="26">
        <v>2.4899999999999999E-2</v>
      </c>
      <c r="K363" s="26">
        <v>5.8999999999999999E-3</v>
      </c>
      <c r="L363" s="27">
        <v>98.6</v>
      </c>
      <c r="M363" s="27">
        <v>1</v>
      </c>
      <c r="N363" s="27">
        <v>2.2000000000000002</v>
      </c>
      <c r="O363" s="3">
        <v>175</v>
      </c>
    </row>
    <row r="364" spans="1:15" x14ac:dyDescent="0.25">
      <c r="A364" s="7">
        <v>58680</v>
      </c>
      <c r="B364" s="7" t="s">
        <v>398</v>
      </c>
      <c r="C364" s="2">
        <v>45692</v>
      </c>
      <c r="D364" s="13">
        <v>1.0386899999999999</v>
      </c>
      <c r="E364" s="4">
        <v>100.34312661066679</v>
      </c>
      <c r="F364" s="13">
        <v>9.9600000000000009</v>
      </c>
      <c r="G364" s="18">
        <v>3.17</v>
      </c>
      <c r="H364" s="5">
        <v>8.3249999999999993</v>
      </c>
      <c r="I364" s="26">
        <v>2.7900000000000001E-2</v>
      </c>
      <c r="J364" s="26">
        <v>1.72E-2</v>
      </c>
      <c r="K364" s="26">
        <v>1.5E-3</v>
      </c>
      <c r="L364" s="27">
        <v>99.2</v>
      </c>
      <c r="M364" s="27">
        <v>0.9</v>
      </c>
      <c r="N364" s="27">
        <v>1.5</v>
      </c>
      <c r="O364" s="3">
        <v>162</v>
      </c>
    </row>
    <row r="365" spans="1:15" x14ac:dyDescent="0.25">
      <c r="A365" s="7">
        <v>58681</v>
      </c>
      <c r="B365" s="7" t="s">
        <v>399</v>
      </c>
      <c r="C365" s="2">
        <v>45692</v>
      </c>
      <c r="D365" s="37">
        <v>1.0479799999999999</v>
      </c>
      <c r="E365" s="4">
        <v>124.54732567629299</v>
      </c>
      <c r="F365" s="37">
        <v>12.38</v>
      </c>
      <c r="G365" s="18">
        <v>3.02</v>
      </c>
      <c r="H365" s="5">
        <v>13.875</v>
      </c>
      <c r="I365" s="26">
        <v>2.46E-2</v>
      </c>
      <c r="J365" s="26">
        <v>6.3E-3</v>
      </c>
      <c r="K365" s="26">
        <v>8.0000000000000004E-4</v>
      </c>
      <c r="L365" s="27">
        <v>99.6</v>
      </c>
      <c r="M365" s="27">
        <v>-0.1</v>
      </c>
      <c r="N365" s="27">
        <v>1.5</v>
      </c>
      <c r="O365" s="3">
        <v>580</v>
      </c>
    </row>
    <row r="366" spans="1:15" x14ac:dyDescent="0.25">
      <c r="A366" s="7">
        <v>58682</v>
      </c>
      <c r="B366" s="7" t="s">
        <v>400</v>
      </c>
      <c r="C366" s="2">
        <v>45692</v>
      </c>
      <c r="D366" s="13">
        <v>1.04348</v>
      </c>
      <c r="E366" s="4">
        <v>112.817458322314</v>
      </c>
      <c r="F366" s="13">
        <v>10.99</v>
      </c>
      <c r="G366" s="18">
        <v>3.08</v>
      </c>
      <c r="H366" s="5">
        <v>11.399999999999999</v>
      </c>
      <c r="I366" s="26">
        <v>2.92E-2</v>
      </c>
      <c r="J366" s="26">
        <v>1.4E-2</v>
      </c>
      <c r="K366" s="26">
        <v>3.3999999999999998E-3</v>
      </c>
      <c r="L366" s="27">
        <v>99.2</v>
      </c>
      <c r="M366" s="27">
        <v>0.4</v>
      </c>
      <c r="N366" s="27">
        <v>1.6</v>
      </c>
      <c r="O366" s="3">
        <v>377</v>
      </c>
    </row>
    <row r="367" spans="1:15" x14ac:dyDescent="0.25">
      <c r="A367" s="7">
        <v>58683</v>
      </c>
      <c r="B367" s="7" t="s">
        <v>401</v>
      </c>
      <c r="C367" s="2">
        <v>45692</v>
      </c>
      <c r="D367" s="37">
        <v>1.0441400000000001</v>
      </c>
      <c r="E367" s="4">
        <v>114.53718304284394</v>
      </c>
      <c r="F367" s="37">
        <v>11.98</v>
      </c>
      <c r="G367" s="18">
        <v>3.2</v>
      </c>
      <c r="H367" s="5">
        <v>7.375</v>
      </c>
      <c r="I367" s="26">
        <v>3.9E-2</v>
      </c>
      <c r="J367" s="26">
        <v>3.4000000000000002E-2</v>
      </c>
      <c r="K367" s="26">
        <v>2.5999999999999999E-3</v>
      </c>
      <c r="L367" s="27">
        <v>98.4</v>
      </c>
      <c r="M367" s="27">
        <v>2.2000000000000002</v>
      </c>
      <c r="N367" s="27">
        <v>1.9</v>
      </c>
      <c r="O367" s="3">
        <v>141</v>
      </c>
    </row>
    <row r="368" spans="1:15" x14ac:dyDescent="0.25">
      <c r="A368" s="7">
        <v>58684</v>
      </c>
      <c r="B368" s="7" t="s">
        <v>402</v>
      </c>
      <c r="C368" s="2">
        <v>45692</v>
      </c>
      <c r="D368" s="37">
        <v>1.04711</v>
      </c>
      <c r="E368" s="4">
        <v>122.27873199158194</v>
      </c>
      <c r="F368" s="37">
        <v>12.27</v>
      </c>
      <c r="G368" s="18">
        <v>3.05</v>
      </c>
      <c r="H368" s="5">
        <v>10.5</v>
      </c>
      <c r="I368" s="26">
        <v>3.6200000000000003E-2</v>
      </c>
      <c r="J368" s="26">
        <v>2.1600000000000001E-2</v>
      </c>
      <c r="K368" s="26">
        <v>3.5999999999999999E-3</v>
      </c>
      <c r="L368" s="27">
        <v>98.9</v>
      </c>
      <c r="M368" s="27">
        <v>1</v>
      </c>
      <c r="N368" s="27">
        <v>1.9</v>
      </c>
      <c r="O368" s="3">
        <v>380</v>
      </c>
    </row>
    <row r="369" spans="1:15" x14ac:dyDescent="0.25">
      <c r="A369" s="7">
        <v>58685</v>
      </c>
      <c r="B369" s="7" t="s">
        <v>403</v>
      </c>
      <c r="C369" s="2">
        <v>45692</v>
      </c>
      <c r="D369" s="37">
        <v>1.0361499999999999</v>
      </c>
      <c r="E369" s="4">
        <v>93.733090710882607</v>
      </c>
      <c r="F369" s="37">
        <v>9.27</v>
      </c>
      <c r="G369" s="18">
        <v>2.95</v>
      </c>
      <c r="H369" s="5">
        <v>11.325000000000001</v>
      </c>
      <c r="I369" s="26">
        <v>2.4400000000000002E-2</v>
      </c>
      <c r="J369" s="26">
        <v>1.4999999999999999E-2</v>
      </c>
      <c r="K369" s="26">
        <v>2E-3</v>
      </c>
      <c r="L369" s="27">
        <v>99.2</v>
      </c>
      <c r="M369" s="27">
        <v>0.7</v>
      </c>
      <c r="N369" s="27">
        <v>1.3</v>
      </c>
      <c r="O369" s="3">
        <v>210</v>
      </c>
    </row>
    <row r="370" spans="1:15" x14ac:dyDescent="0.25">
      <c r="A370" s="7">
        <v>58686</v>
      </c>
      <c r="B370" s="7" t="s">
        <v>404</v>
      </c>
      <c r="C370" s="2">
        <v>45692</v>
      </c>
      <c r="D370" s="13">
        <v>1.0367999999999999</v>
      </c>
      <c r="E370" s="4">
        <v>95.424324056143178</v>
      </c>
      <c r="F370" s="13">
        <v>9.3800000000000008</v>
      </c>
      <c r="G370" s="18">
        <v>2.97</v>
      </c>
      <c r="H370" s="5">
        <v>11.5</v>
      </c>
      <c r="I370" s="26">
        <v>2.7099999999999999E-2</v>
      </c>
      <c r="J370" s="26">
        <v>3.0099999999999998E-2</v>
      </c>
      <c r="K370" s="26">
        <v>2.9999999999999997E-4</v>
      </c>
      <c r="L370" s="27">
        <v>98.8</v>
      </c>
      <c r="M370" s="27">
        <v>2.2999999999999998</v>
      </c>
      <c r="N370" s="27">
        <v>1.2</v>
      </c>
      <c r="O370" s="3">
        <v>307</v>
      </c>
    </row>
    <row r="371" spans="1:15" x14ac:dyDescent="0.25">
      <c r="A371" s="7">
        <v>58687</v>
      </c>
      <c r="B371" s="7" t="s">
        <v>405</v>
      </c>
      <c r="C371" s="2">
        <v>45692</v>
      </c>
      <c r="D371" s="37">
        <v>1.04586</v>
      </c>
      <c r="E371" s="4">
        <v>119.0199472352183</v>
      </c>
      <c r="F371" s="37">
        <v>12.25</v>
      </c>
      <c r="G371" s="18">
        <v>3.12</v>
      </c>
      <c r="H371" s="5">
        <v>11.875</v>
      </c>
      <c r="I371" s="26">
        <v>2.4400000000000002E-2</v>
      </c>
      <c r="J371" s="26">
        <v>5.7000000000000002E-3</v>
      </c>
      <c r="K371" s="26">
        <v>8.9999999999999998E-4</v>
      </c>
      <c r="L371" s="27">
        <v>99.6</v>
      </c>
      <c r="M371" s="27">
        <v>-0.1</v>
      </c>
      <c r="N371" s="27">
        <v>1.5</v>
      </c>
      <c r="O371" s="3">
        <v>193</v>
      </c>
    </row>
    <row r="372" spans="1:15" x14ac:dyDescent="0.25">
      <c r="A372" s="7">
        <v>58688</v>
      </c>
      <c r="B372" s="7" t="s">
        <v>406</v>
      </c>
      <c r="C372" s="2">
        <v>45692</v>
      </c>
      <c r="D372" s="37">
        <v>1.0348200000000001</v>
      </c>
      <c r="E372" s="4">
        <v>90.273232048956288</v>
      </c>
      <c r="F372" s="37">
        <v>8.65</v>
      </c>
      <c r="G372" s="18">
        <v>3</v>
      </c>
      <c r="H372" s="5">
        <v>9.6750000000000007</v>
      </c>
      <c r="I372" s="26">
        <v>1.7000000000000001E-2</v>
      </c>
      <c r="J372" s="26">
        <v>5.7000000000000002E-3</v>
      </c>
      <c r="K372" s="26">
        <v>8.0000000000000004E-4</v>
      </c>
      <c r="L372" s="27">
        <v>99.7</v>
      </c>
      <c r="M372" s="27">
        <v>0.1</v>
      </c>
      <c r="N372" s="27">
        <v>1</v>
      </c>
      <c r="O372" s="3">
        <v>196</v>
      </c>
    </row>
    <row r="373" spans="1:15" x14ac:dyDescent="0.25">
      <c r="A373" s="7">
        <v>58689</v>
      </c>
      <c r="B373" s="7" t="s">
        <v>407</v>
      </c>
      <c r="C373" s="2">
        <v>45692</v>
      </c>
      <c r="D373" s="37">
        <v>1.0363800000000001</v>
      </c>
      <c r="E373" s="4">
        <v>94.331502699264092</v>
      </c>
      <c r="F373" s="37">
        <v>9.35</v>
      </c>
      <c r="G373" s="36">
        <v>3.08</v>
      </c>
      <c r="H373" s="28">
        <v>10.525</v>
      </c>
      <c r="I373" s="29">
        <v>2.01E-2</v>
      </c>
      <c r="J373" s="29">
        <v>6.6E-3</v>
      </c>
      <c r="K373" s="29">
        <v>6.9999999999999999E-4</v>
      </c>
      <c r="L373" s="30">
        <v>99.6</v>
      </c>
      <c r="M373" s="30">
        <v>0.1</v>
      </c>
      <c r="N373" s="30">
        <v>1.2</v>
      </c>
      <c r="O373" s="31">
        <v>202</v>
      </c>
    </row>
    <row r="374" spans="1:15" x14ac:dyDescent="0.25">
      <c r="A374" s="7">
        <v>58709</v>
      </c>
      <c r="B374" s="7" t="s">
        <v>408</v>
      </c>
      <c r="C374" s="2">
        <v>45694</v>
      </c>
      <c r="D374" s="23">
        <v>1.05016</v>
      </c>
      <c r="E374" s="32">
        <v>130.22999999999999</v>
      </c>
      <c r="F374" s="23">
        <v>13.36</v>
      </c>
      <c r="G374" s="5">
        <v>4.2699999999999996</v>
      </c>
      <c r="H374" s="5">
        <v>1.48</v>
      </c>
      <c r="I374" s="26">
        <v>1.3120000000000001</v>
      </c>
      <c r="J374" s="26">
        <v>0.28199999999999997</v>
      </c>
      <c r="K374" s="26">
        <v>7.9000000000000015E-2</v>
      </c>
      <c r="L374" s="27">
        <v>83</v>
      </c>
      <c r="M374" s="27">
        <v>4.3</v>
      </c>
      <c r="N374" s="27">
        <v>63</v>
      </c>
      <c r="O374" s="3">
        <v>278</v>
      </c>
    </row>
    <row r="375" spans="1:15" x14ac:dyDescent="0.25">
      <c r="A375" s="7">
        <v>58710</v>
      </c>
      <c r="B375" s="7" t="s">
        <v>409</v>
      </c>
      <c r="C375" s="2">
        <v>45694</v>
      </c>
      <c r="D375" s="23">
        <v>1.05044</v>
      </c>
      <c r="E375" s="32">
        <v>130.96</v>
      </c>
      <c r="F375" s="32">
        <v>13.4</v>
      </c>
      <c r="G375" s="5">
        <v>3.22</v>
      </c>
      <c r="H375" s="5">
        <v>6.88</v>
      </c>
      <c r="I375" s="26">
        <v>0.1416</v>
      </c>
      <c r="J375" s="26">
        <v>3.6799999999999999E-2</v>
      </c>
      <c r="K375" s="26">
        <v>5.1999999999999998E-3</v>
      </c>
      <c r="L375" s="27">
        <v>97.6</v>
      </c>
      <c r="M375" s="27">
        <v>-0.4</v>
      </c>
      <c r="N375" s="27">
        <v>10.8</v>
      </c>
      <c r="O375" s="3">
        <v>881</v>
      </c>
    </row>
    <row r="376" spans="1:15" x14ac:dyDescent="0.25">
      <c r="A376" s="7">
        <v>58711</v>
      </c>
      <c r="B376" s="7" t="s">
        <v>410</v>
      </c>
      <c r="C376" s="2">
        <v>45694</v>
      </c>
      <c r="D376" s="23">
        <v>1.0479400000000001</v>
      </c>
      <c r="E376" s="32">
        <v>124.44</v>
      </c>
      <c r="F376" s="23">
        <v>13.01</v>
      </c>
      <c r="G376" s="5">
        <v>4.45</v>
      </c>
      <c r="H376" s="5">
        <v>1.53</v>
      </c>
      <c r="I376" s="26">
        <v>0.65469999999999995</v>
      </c>
      <c r="J376" s="26">
        <v>9.0499999999999997E-2</v>
      </c>
      <c r="K376" s="26">
        <v>1.7399999999999999E-2</v>
      </c>
      <c r="L376" s="27">
        <v>93.9</v>
      </c>
      <c r="M376" s="27">
        <v>-4.4000000000000004</v>
      </c>
      <c r="N376" s="27">
        <v>40.4</v>
      </c>
      <c r="O376" s="3">
        <v>503</v>
      </c>
    </row>
    <row r="377" spans="1:15" x14ac:dyDescent="0.25">
      <c r="A377" s="7">
        <v>58712</v>
      </c>
      <c r="B377" s="7" t="s">
        <v>411</v>
      </c>
      <c r="C377" s="2">
        <v>45694</v>
      </c>
      <c r="D377" s="23">
        <v>1.0459099999999999</v>
      </c>
      <c r="E377" s="32">
        <v>119.15</v>
      </c>
      <c r="F377" s="23">
        <v>12.38</v>
      </c>
      <c r="G377" s="5">
        <v>3.02</v>
      </c>
      <c r="H377" s="5">
        <v>13.5</v>
      </c>
      <c r="I377" s="26">
        <v>3.8899999999999997E-2</v>
      </c>
      <c r="J377" s="26">
        <v>2.2200000000000001E-2</v>
      </c>
      <c r="K377" s="26">
        <v>3.5999999999999999E-3</v>
      </c>
      <c r="L377" s="27">
        <v>98.8</v>
      </c>
      <c r="M377" s="27">
        <v>0.9</v>
      </c>
      <c r="N377" s="27">
        <v>2.1</v>
      </c>
      <c r="O377" s="3">
        <v>592</v>
      </c>
    </row>
    <row r="378" spans="1:15" x14ac:dyDescent="0.25">
      <c r="A378" s="7">
        <v>58713</v>
      </c>
      <c r="B378" s="7" t="s">
        <v>412</v>
      </c>
      <c r="C378" s="2">
        <v>45694</v>
      </c>
      <c r="D378" s="23">
        <v>1.03274</v>
      </c>
      <c r="E378" s="32">
        <v>84.86</v>
      </c>
      <c r="F378" s="23">
        <v>7.97</v>
      </c>
      <c r="G378" s="5">
        <v>2.91</v>
      </c>
      <c r="H378" s="5">
        <v>12.55</v>
      </c>
      <c r="I378" s="26">
        <v>0.5161</v>
      </c>
      <c r="J378" s="26">
        <v>0.5625</v>
      </c>
      <c r="K378" s="26">
        <v>2.58E-2</v>
      </c>
      <c r="L378" s="27">
        <v>78.3</v>
      </c>
      <c r="M378" s="27">
        <v>32.9</v>
      </c>
      <c r="N378" s="27">
        <v>25.1</v>
      </c>
      <c r="O378" s="3">
        <v>1201</v>
      </c>
    </row>
    <row r="379" spans="1:15" x14ac:dyDescent="0.25">
      <c r="A379" s="7">
        <v>58714</v>
      </c>
      <c r="B379" s="7" t="s">
        <v>413</v>
      </c>
      <c r="C379" s="2">
        <v>45694</v>
      </c>
      <c r="D379" s="23">
        <v>1.04121</v>
      </c>
      <c r="E379" s="32">
        <v>106.9</v>
      </c>
      <c r="F379" s="23">
        <v>10.81</v>
      </c>
      <c r="G379" s="5">
        <v>3.06</v>
      </c>
      <c r="H379" s="5">
        <v>9.23</v>
      </c>
      <c r="I379" s="26">
        <v>9.4899999999999998E-2</v>
      </c>
      <c r="J379" s="26">
        <v>2.4899999999999999E-2</v>
      </c>
      <c r="K379" s="26">
        <v>5.1999999999999998E-3</v>
      </c>
      <c r="L379" s="27">
        <v>98.3</v>
      </c>
      <c r="M379" s="27">
        <v>-0.5</v>
      </c>
      <c r="N379" s="27">
        <v>7.4</v>
      </c>
      <c r="O379" s="3">
        <v>447</v>
      </c>
    </row>
    <row r="380" spans="1:15" x14ac:dyDescent="0.25">
      <c r="A380" s="7">
        <v>58715</v>
      </c>
      <c r="B380" s="7" t="s">
        <v>414</v>
      </c>
      <c r="C380" s="2">
        <v>45694</v>
      </c>
      <c r="D380" s="23">
        <v>1.0407299999999999</v>
      </c>
      <c r="E380" s="32">
        <v>105.65</v>
      </c>
      <c r="F380" s="23">
        <v>10.63</v>
      </c>
      <c r="G380" s="5">
        <v>3.14</v>
      </c>
      <c r="H380" s="5">
        <v>9.1</v>
      </c>
      <c r="I380" s="26">
        <v>4.7500000000000001E-2</v>
      </c>
      <c r="J380" s="26">
        <v>1.5900000000000001E-2</v>
      </c>
      <c r="K380" s="26">
        <v>3.7000000000000002E-3</v>
      </c>
      <c r="L380" s="27">
        <v>98.9</v>
      </c>
      <c r="M380" s="27">
        <v>0.04</v>
      </c>
      <c r="N380" s="27">
        <v>3.4</v>
      </c>
      <c r="O380" s="3">
        <v>377</v>
      </c>
    </row>
    <row r="381" spans="1:15" x14ac:dyDescent="0.25">
      <c r="A381" s="7">
        <v>58716</v>
      </c>
      <c r="B381" s="7" t="s">
        <v>415</v>
      </c>
      <c r="C381" s="2">
        <v>45694</v>
      </c>
      <c r="D381" s="23">
        <v>1.03857</v>
      </c>
      <c r="E381" s="32">
        <v>100.03</v>
      </c>
      <c r="F381" s="23">
        <v>10.25</v>
      </c>
      <c r="G381" s="5">
        <v>3.96</v>
      </c>
      <c r="H381" s="5">
        <v>1.9</v>
      </c>
      <c r="I381" s="26">
        <v>0.44319999999999998</v>
      </c>
      <c r="J381" s="26">
        <v>0.1024</v>
      </c>
      <c r="K381" s="26">
        <v>1.49E-2</v>
      </c>
      <c r="L381" s="27">
        <v>93.6</v>
      </c>
      <c r="M381" s="27">
        <v>0.1</v>
      </c>
      <c r="N381" s="27">
        <v>27.4</v>
      </c>
      <c r="O381" s="3">
        <v>985</v>
      </c>
    </row>
    <row r="382" spans="1:15" x14ac:dyDescent="0.25">
      <c r="A382" s="7">
        <v>58717</v>
      </c>
      <c r="B382" s="7" t="s">
        <v>416</v>
      </c>
      <c r="C382" s="2">
        <v>45694</v>
      </c>
      <c r="D382" s="23">
        <v>1.0462199999999999</v>
      </c>
      <c r="E382" s="32">
        <v>119.96</v>
      </c>
      <c r="F382" s="23">
        <v>12.46</v>
      </c>
      <c r="G382" s="5">
        <v>2.91</v>
      </c>
      <c r="H382" s="5">
        <v>15.43</v>
      </c>
      <c r="I382" s="26">
        <v>0.67710000000000004</v>
      </c>
      <c r="J382" s="26">
        <v>0.68479999999999996</v>
      </c>
      <c r="K382" s="26">
        <v>3.6799999999999999E-2</v>
      </c>
      <c r="L382" s="27">
        <v>74.900000000000006</v>
      </c>
      <c r="M382" s="27">
        <v>36.85</v>
      </c>
      <c r="N382" s="27">
        <v>32.299999999999997</v>
      </c>
      <c r="O382" s="3">
        <v>1251</v>
      </c>
    </row>
    <row r="383" spans="1:15" x14ac:dyDescent="0.25">
      <c r="A383" s="7">
        <v>58718</v>
      </c>
      <c r="B383" s="7" t="s">
        <v>417</v>
      </c>
      <c r="C383" s="2">
        <v>45694</v>
      </c>
      <c r="D383" s="23">
        <v>1.0456700000000001</v>
      </c>
      <c r="E383" s="32">
        <v>118.52</v>
      </c>
      <c r="F383" s="23">
        <v>12.43</v>
      </c>
      <c r="G383" s="5">
        <v>2.92</v>
      </c>
      <c r="H383" s="5">
        <v>12.83</v>
      </c>
      <c r="I383" s="26">
        <v>0.59750000000000003</v>
      </c>
      <c r="J383" s="26">
        <v>0.67669999999999997</v>
      </c>
      <c r="K383" s="26">
        <v>4.4699999999999997E-2</v>
      </c>
      <c r="L383" s="27">
        <v>75.5</v>
      </c>
      <c r="M383" s="27">
        <v>36.1</v>
      </c>
      <c r="N383" s="27">
        <v>28.2</v>
      </c>
      <c r="O383" s="3">
        <v>815</v>
      </c>
    </row>
    <row r="384" spans="1:15" x14ac:dyDescent="0.25">
      <c r="A384" s="7">
        <v>58719</v>
      </c>
      <c r="B384" s="7" t="s">
        <v>418</v>
      </c>
      <c r="C384" s="2">
        <v>45694</v>
      </c>
      <c r="D384" s="23">
        <v>1.0348999999999999</v>
      </c>
      <c r="E384" s="32">
        <v>90.48</v>
      </c>
      <c r="F384" s="23">
        <v>9.01</v>
      </c>
      <c r="G384" s="5">
        <v>3.16</v>
      </c>
      <c r="H384" s="5">
        <v>6.9</v>
      </c>
      <c r="I384" s="26">
        <v>0.41909999999999997</v>
      </c>
      <c r="J384" s="26">
        <v>7.6499999999999999E-2</v>
      </c>
      <c r="K384" s="26">
        <v>1.2699999999999999E-2</v>
      </c>
      <c r="L384" s="27">
        <v>94.9</v>
      </c>
      <c r="M384" s="27">
        <v>-1.99</v>
      </c>
      <c r="N384" s="27">
        <v>27.8</v>
      </c>
      <c r="O384" s="3">
        <v>1399</v>
      </c>
    </row>
    <row r="385" spans="1:15" x14ac:dyDescent="0.25">
      <c r="A385" s="7">
        <v>58720</v>
      </c>
      <c r="B385" s="7" t="s">
        <v>419</v>
      </c>
      <c r="C385" s="2">
        <v>45694</v>
      </c>
      <c r="D385" s="23">
        <v>1.0396000000000001</v>
      </c>
      <c r="E385" s="32">
        <v>102.71</v>
      </c>
      <c r="F385" s="23">
        <v>10.35</v>
      </c>
      <c r="G385" s="5">
        <v>3.12</v>
      </c>
      <c r="H385" s="5">
        <v>6.78</v>
      </c>
      <c r="I385" s="26">
        <v>0.26679999999999998</v>
      </c>
      <c r="J385" s="26">
        <v>5.5E-2</v>
      </c>
      <c r="K385" s="26">
        <v>1.2699999999999999E-2</v>
      </c>
      <c r="L385" s="27">
        <v>96.1</v>
      </c>
      <c r="M385" s="27">
        <v>-1.8</v>
      </c>
      <c r="N385" s="27">
        <v>19.100000000000001</v>
      </c>
      <c r="O385" s="3">
        <v>554</v>
      </c>
    </row>
    <row r="386" spans="1:15" x14ac:dyDescent="0.25">
      <c r="A386" s="7">
        <v>58721</v>
      </c>
      <c r="B386" s="7" t="s">
        <v>420</v>
      </c>
      <c r="C386" s="2">
        <v>45694</v>
      </c>
      <c r="D386" s="23">
        <v>1.0515699999999999</v>
      </c>
      <c r="E386" s="32">
        <v>133.91</v>
      </c>
      <c r="F386" s="23">
        <v>13.41</v>
      </c>
      <c r="G386" s="5">
        <v>3.12</v>
      </c>
      <c r="H386" s="5">
        <v>10.199999999999999</v>
      </c>
      <c r="I386" s="26">
        <v>7.0499999999999993E-2</v>
      </c>
      <c r="J386" s="26">
        <v>0.05</v>
      </c>
      <c r="K386" s="26">
        <v>2.0999999999999999E-3</v>
      </c>
      <c r="L386" s="27">
        <v>97.7</v>
      </c>
      <c r="M386" s="27">
        <v>3.02</v>
      </c>
      <c r="N386" s="27">
        <v>4.2</v>
      </c>
      <c r="O386" s="3">
        <v>320</v>
      </c>
    </row>
    <row r="387" spans="1:15" x14ac:dyDescent="0.25">
      <c r="A387" s="7">
        <v>58722</v>
      </c>
      <c r="B387" s="7" t="s">
        <v>421</v>
      </c>
      <c r="C387" s="2">
        <v>45694</v>
      </c>
      <c r="D387" s="23">
        <v>1.0415000000000001</v>
      </c>
      <c r="E387" s="32">
        <v>107.66</v>
      </c>
      <c r="F387" s="23">
        <v>10.99</v>
      </c>
      <c r="G387" s="5">
        <v>3.11</v>
      </c>
      <c r="H387" s="5">
        <v>8.43</v>
      </c>
      <c r="I387" s="26">
        <v>0.44729999999999998</v>
      </c>
      <c r="J387" s="26">
        <v>0.86709999999999998</v>
      </c>
      <c r="K387" s="26">
        <v>2.81E-2</v>
      </c>
      <c r="L387" s="27">
        <v>72.8</v>
      </c>
      <c r="M387" s="27">
        <v>47.4</v>
      </c>
      <c r="N387" s="27">
        <v>18.100000000000001</v>
      </c>
      <c r="O387" s="3">
        <v>1389</v>
      </c>
    </row>
    <row r="388" spans="1:15" x14ac:dyDescent="0.25">
      <c r="A388" s="7">
        <v>58723</v>
      </c>
      <c r="B388" s="7" t="s">
        <v>422</v>
      </c>
      <c r="C388" s="2">
        <v>45694</v>
      </c>
      <c r="D388" s="23">
        <v>1.0466200000000001</v>
      </c>
      <c r="E388" s="32">
        <v>121</v>
      </c>
      <c r="F388" s="23">
        <v>12.58</v>
      </c>
      <c r="G388" s="5">
        <v>3.23</v>
      </c>
      <c r="H388" s="5">
        <v>7.85</v>
      </c>
      <c r="I388" s="26">
        <v>3.8179999999999996</v>
      </c>
      <c r="J388" s="26">
        <v>1.54</v>
      </c>
      <c r="K388" s="26">
        <v>0.79100000000000004</v>
      </c>
      <c r="L388" s="27">
        <v>32.1</v>
      </c>
      <c r="M388" s="27">
        <v>21.99</v>
      </c>
      <c r="N388" s="27">
        <v>56.1</v>
      </c>
      <c r="O388" s="3">
        <v>634</v>
      </c>
    </row>
    <row r="389" spans="1:15" x14ac:dyDescent="0.25">
      <c r="A389" s="7">
        <v>58724</v>
      </c>
      <c r="B389" s="7" t="s">
        <v>423</v>
      </c>
      <c r="C389" s="2">
        <v>45694</v>
      </c>
      <c r="D389" s="23">
        <v>1.04169</v>
      </c>
      <c r="E389" s="32">
        <v>108.15</v>
      </c>
      <c r="F389" s="23">
        <v>11.98</v>
      </c>
      <c r="G389" s="5">
        <v>4.13</v>
      </c>
      <c r="H389" s="5">
        <v>2.58</v>
      </c>
      <c r="I389" s="26">
        <v>1.179</v>
      </c>
      <c r="J389" s="26">
        <v>0.17600000000000002</v>
      </c>
      <c r="K389" s="26">
        <v>4.2999999999999997E-2</v>
      </c>
      <c r="L389" s="27">
        <v>88.7</v>
      </c>
      <c r="M389" s="27">
        <v>-1.6</v>
      </c>
      <c r="N389" s="27">
        <v>58.5</v>
      </c>
      <c r="O389" s="3">
        <v>775</v>
      </c>
    </row>
    <row r="390" spans="1:15" x14ac:dyDescent="0.25">
      <c r="A390" s="7">
        <v>58725</v>
      </c>
      <c r="B390" s="7" t="s">
        <v>424</v>
      </c>
      <c r="C390" s="2">
        <v>45694</v>
      </c>
      <c r="D390" s="23">
        <v>1.04243</v>
      </c>
      <c r="E390" s="32">
        <v>110.08</v>
      </c>
      <c r="F390" s="23">
        <v>11.96</v>
      </c>
      <c r="G390" s="5">
        <v>3.12</v>
      </c>
      <c r="H390" s="5">
        <v>11.33</v>
      </c>
      <c r="I390" s="26">
        <v>0.56889999999999996</v>
      </c>
      <c r="J390" s="26">
        <v>0.68779999999999997</v>
      </c>
      <c r="K390" s="26">
        <v>4.3799999999999999E-2</v>
      </c>
      <c r="L390" s="27">
        <v>75.5</v>
      </c>
      <c r="M390" s="27">
        <v>36.67</v>
      </c>
      <c r="N390" s="27">
        <v>26.8</v>
      </c>
      <c r="O390" s="3">
        <v>694</v>
      </c>
    </row>
    <row r="391" spans="1:15" x14ac:dyDescent="0.25">
      <c r="A391" s="7">
        <v>58726</v>
      </c>
      <c r="B391" s="7" t="s">
        <v>425</v>
      </c>
      <c r="C391" s="2">
        <v>45694</v>
      </c>
      <c r="D391" s="23">
        <v>1.0498400000000001</v>
      </c>
      <c r="E391" s="32">
        <v>129.4</v>
      </c>
      <c r="F391" s="23">
        <v>13.18</v>
      </c>
      <c r="G391" s="5">
        <v>3.03</v>
      </c>
      <c r="H391" s="5">
        <v>11.78</v>
      </c>
      <c r="I391" s="26">
        <v>4.7699999999999999E-2</v>
      </c>
      <c r="J391" s="26">
        <v>2.24E-2</v>
      </c>
      <c r="K391" s="26">
        <v>2.8E-3</v>
      </c>
      <c r="L391" s="27">
        <v>98.8</v>
      </c>
      <c r="M391" s="27">
        <v>0.8</v>
      </c>
      <c r="N391" s="27">
        <v>2.8</v>
      </c>
      <c r="O391" s="3">
        <v>496</v>
      </c>
    </row>
    <row r="392" spans="1:15" x14ac:dyDescent="0.25">
      <c r="A392" s="7">
        <v>58727</v>
      </c>
      <c r="B392" s="7" t="s">
        <v>426</v>
      </c>
      <c r="C392" s="2">
        <v>45694</v>
      </c>
      <c r="D392" s="23">
        <v>1.04152</v>
      </c>
      <c r="E392" s="32">
        <v>107.71</v>
      </c>
      <c r="F392" s="32">
        <v>10.9</v>
      </c>
      <c r="G392" s="5">
        <v>2.97</v>
      </c>
      <c r="H392" s="5">
        <v>10.130000000000001</v>
      </c>
      <c r="I392" s="26">
        <v>3.04E-2</v>
      </c>
      <c r="J392" s="26">
        <v>1.32E-2</v>
      </c>
      <c r="K392" s="26">
        <v>3.3E-3</v>
      </c>
      <c r="L392" s="27">
        <v>99.2</v>
      </c>
      <c r="M392" s="27">
        <v>0.28000000000000003</v>
      </c>
      <c r="N392" s="27">
        <v>1.7</v>
      </c>
      <c r="O392" s="3">
        <v>602</v>
      </c>
    </row>
    <row r="393" spans="1:15" x14ac:dyDescent="0.25">
      <c r="A393" s="7">
        <v>58728</v>
      </c>
      <c r="B393" s="7" t="s">
        <v>427</v>
      </c>
      <c r="C393" s="2">
        <v>45694</v>
      </c>
      <c r="D393" s="23">
        <v>1.0406500000000001</v>
      </c>
      <c r="E393" s="32">
        <v>105.45</v>
      </c>
      <c r="F393" s="23">
        <v>10.56</v>
      </c>
      <c r="G393" s="5">
        <v>2.98</v>
      </c>
      <c r="H393" s="5">
        <v>9.68</v>
      </c>
      <c r="I393" s="26">
        <v>4.1700000000000001E-2</v>
      </c>
      <c r="J393" s="26">
        <v>2.1399999999999999E-2</v>
      </c>
      <c r="K393" s="26">
        <v>1.9E-3</v>
      </c>
      <c r="L393" s="27">
        <v>98.9</v>
      </c>
      <c r="M393" s="27">
        <v>0.9</v>
      </c>
      <c r="N393" s="27">
        <v>2.5</v>
      </c>
      <c r="O393" s="3">
        <v>189</v>
      </c>
    </row>
    <row r="394" spans="1:15" x14ac:dyDescent="0.25">
      <c r="A394" s="18">
        <v>58733</v>
      </c>
      <c r="B394" s="7" t="s">
        <v>428</v>
      </c>
      <c r="C394" s="2">
        <v>45698</v>
      </c>
      <c r="D394" s="13">
        <v>1.0404599999999999</v>
      </c>
      <c r="E394" s="5">
        <v>104.95</v>
      </c>
      <c r="F394" s="13">
        <v>10.58</v>
      </c>
      <c r="G394" s="5">
        <v>3.16</v>
      </c>
      <c r="H394" s="5">
        <v>7.55</v>
      </c>
      <c r="I394" s="26">
        <v>3.6799999999999999E-2</v>
      </c>
      <c r="J394" s="26">
        <v>1.18E-2</v>
      </c>
      <c r="K394" s="26">
        <v>4.0000000000000001E-3</v>
      </c>
      <c r="L394" s="27">
        <v>99.2</v>
      </c>
      <c r="M394" s="27">
        <v>-0.1</v>
      </c>
      <c r="N394" s="27">
        <v>2.5</v>
      </c>
      <c r="O394" s="3">
        <v>404</v>
      </c>
    </row>
    <row r="395" spans="1:15" x14ac:dyDescent="0.25">
      <c r="A395" s="18">
        <v>58734</v>
      </c>
      <c r="B395" s="7" t="s">
        <v>429</v>
      </c>
      <c r="C395" s="2">
        <v>45698</v>
      </c>
      <c r="D395" s="13">
        <v>1.0510600000000001</v>
      </c>
      <c r="E395" s="5">
        <v>132.58000000000001</v>
      </c>
      <c r="F395" s="13">
        <v>13.4</v>
      </c>
      <c r="G395" s="5">
        <v>3.2</v>
      </c>
      <c r="H395" s="5">
        <v>7.33</v>
      </c>
      <c r="I395" s="26">
        <v>0.36220000000000002</v>
      </c>
      <c r="J395" s="26">
        <v>0.22500000000000001</v>
      </c>
      <c r="K395" s="26">
        <v>9.1600000000000001E-2</v>
      </c>
      <c r="L395" s="27">
        <v>86</v>
      </c>
      <c r="M395" s="27">
        <v>6.2</v>
      </c>
      <c r="N395" s="27">
        <v>19</v>
      </c>
      <c r="O395" s="3">
        <v>527</v>
      </c>
    </row>
    <row r="396" spans="1:15" x14ac:dyDescent="0.25">
      <c r="A396" s="18">
        <v>58735</v>
      </c>
      <c r="B396" s="7" t="s">
        <v>430</v>
      </c>
      <c r="C396" s="2">
        <v>45698</v>
      </c>
      <c r="D396" s="13">
        <v>1.05626</v>
      </c>
      <c r="E396" s="5">
        <v>146.15799999999999</v>
      </c>
      <c r="F396" s="13">
        <v>14.58</v>
      </c>
      <c r="G396" s="5">
        <v>3.41</v>
      </c>
      <c r="H396" s="5">
        <v>5.73</v>
      </c>
      <c r="I396" s="26">
        <v>0.1187</v>
      </c>
      <c r="J396" s="26">
        <v>3.0499999999999999E-2</v>
      </c>
      <c r="K396" s="26">
        <v>6.7000000000000002E-3</v>
      </c>
      <c r="L396" s="27">
        <v>97.9</v>
      </c>
      <c r="M396" s="27">
        <v>-0.6</v>
      </c>
      <c r="N396" s="27">
        <v>8.6999999999999993</v>
      </c>
      <c r="O396" s="3">
        <v>628</v>
      </c>
    </row>
    <row r="397" spans="1:15" x14ac:dyDescent="0.25">
      <c r="A397" s="18">
        <v>58736</v>
      </c>
      <c r="B397" s="7" t="s">
        <v>431</v>
      </c>
      <c r="C397" s="2">
        <v>45698</v>
      </c>
      <c r="D397" s="33">
        <v>1.0251699999999999</v>
      </c>
      <c r="E397" s="5">
        <v>65.2</v>
      </c>
      <c r="F397" s="37">
        <v>6.2</v>
      </c>
      <c r="G397" s="5">
        <v>3.12</v>
      </c>
      <c r="H397" s="5">
        <v>5.5</v>
      </c>
      <c r="I397" s="26">
        <v>0.28410000000000002</v>
      </c>
      <c r="J397" s="26">
        <v>0.30299999999999999</v>
      </c>
      <c r="K397" s="26">
        <v>4.4200000000000003E-2</v>
      </c>
      <c r="L397" s="27">
        <v>85.1</v>
      </c>
      <c r="M397" s="27">
        <v>17.8</v>
      </c>
      <c r="N397" s="27">
        <v>12.1</v>
      </c>
      <c r="O397" s="3">
        <v>837</v>
      </c>
    </row>
    <row r="398" spans="1:15" x14ac:dyDescent="0.25">
      <c r="A398" s="18">
        <v>58737</v>
      </c>
      <c r="B398" s="7" t="s">
        <v>432</v>
      </c>
      <c r="C398" s="2">
        <v>45698</v>
      </c>
      <c r="D398" s="13">
        <v>1.0406299999999999</v>
      </c>
      <c r="E398" s="5">
        <v>105.393946355523</v>
      </c>
      <c r="F398" s="13">
        <v>10.54</v>
      </c>
      <c r="G398" s="5">
        <v>2.85</v>
      </c>
      <c r="H398" s="5">
        <v>14.05</v>
      </c>
      <c r="I398" s="26">
        <v>1.617</v>
      </c>
      <c r="J398" s="26">
        <v>4.9169999999999998</v>
      </c>
      <c r="K398" s="26">
        <v>9.5000000000000001E-2</v>
      </c>
      <c r="L398" s="27">
        <v>47.4</v>
      </c>
      <c r="M398" s="27">
        <v>71.8</v>
      </c>
      <c r="N398" s="27">
        <v>68</v>
      </c>
      <c r="O398" s="3">
        <v>1060</v>
      </c>
    </row>
    <row r="399" spans="1:15" x14ac:dyDescent="0.25">
      <c r="A399" s="18">
        <v>58738</v>
      </c>
      <c r="B399" s="7" t="s">
        <v>433</v>
      </c>
      <c r="C399" s="2">
        <v>45698</v>
      </c>
      <c r="D399" s="13">
        <v>1.0366200000000001</v>
      </c>
      <c r="E399" s="5">
        <v>94.96</v>
      </c>
      <c r="F399" s="13">
        <v>9.67</v>
      </c>
      <c r="G399" s="5">
        <v>3.07</v>
      </c>
      <c r="H399" s="5">
        <v>7</v>
      </c>
      <c r="I399" s="26">
        <v>0.4556</v>
      </c>
      <c r="J399" s="26">
        <v>0.29580000000000001</v>
      </c>
      <c r="K399" s="26">
        <v>2.52E-2</v>
      </c>
      <c r="L399" s="27">
        <v>85.7</v>
      </c>
      <c r="M399" s="27">
        <v>16.100000000000001</v>
      </c>
      <c r="N399" s="27">
        <v>24.9</v>
      </c>
      <c r="O399" s="3">
        <v>1299</v>
      </c>
    </row>
    <row r="400" spans="1:15" x14ac:dyDescent="0.25">
      <c r="A400" s="18">
        <v>58739</v>
      </c>
      <c r="B400" s="7" t="s">
        <v>434</v>
      </c>
      <c r="C400" s="2">
        <v>45698</v>
      </c>
      <c r="D400" s="37">
        <v>1.03548</v>
      </c>
      <c r="E400" s="5">
        <v>91.99</v>
      </c>
      <c r="F400" s="37">
        <v>9.42</v>
      </c>
      <c r="G400" s="5">
        <v>4.07</v>
      </c>
      <c r="H400" s="5">
        <v>2.4300000000000002</v>
      </c>
      <c r="I400" s="26">
        <v>1.214</v>
      </c>
      <c r="J400" s="26">
        <v>0.32599999999999996</v>
      </c>
      <c r="K400" s="26">
        <v>6.5000000000000002E-2</v>
      </c>
      <c r="L400" s="27">
        <v>81.599999999999994</v>
      </c>
      <c r="M400" s="27">
        <v>10</v>
      </c>
      <c r="N400" s="27">
        <v>57.1</v>
      </c>
      <c r="O400" s="3">
        <v>1351</v>
      </c>
    </row>
    <row r="401" spans="1:15" x14ac:dyDescent="0.25">
      <c r="A401" s="18">
        <v>58740</v>
      </c>
      <c r="B401" s="7" t="s">
        <v>435</v>
      </c>
      <c r="C401" s="2">
        <v>45698</v>
      </c>
      <c r="D401" s="13">
        <v>1.0313300000000001</v>
      </c>
      <c r="E401" s="5">
        <v>81.2</v>
      </c>
      <c r="F401" s="13">
        <v>7.42</v>
      </c>
      <c r="G401" s="5">
        <v>2.93</v>
      </c>
      <c r="H401" s="5">
        <v>11.93</v>
      </c>
      <c r="I401" s="26">
        <v>0.55930000000000002</v>
      </c>
      <c r="J401" s="26">
        <v>1.5510999999999999</v>
      </c>
      <c r="K401" s="26">
        <v>3.6999999999999998E-2</v>
      </c>
      <c r="L401" s="27">
        <v>63.7</v>
      </c>
      <c r="M401" s="27">
        <v>62.8</v>
      </c>
      <c r="N401" s="27">
        <v>23.8</v>
      </c>
      <c r="O401" s="3">
        <v>592</v>
      </c>
    </row>
    <row r="402" spans="1:15" x14ac:dyDescent="0.25">
      <c r="A402" s="18">
        <v>58741</v>
      </c>
      <c r="B402" s="7" t="s">
        <v>436</v>
      </c>
      <c r="C402" s="2">
        <v>45698</v>
      </c>
      <c r="D402" s="13">
        <v>1.0405500000000001</v>
      </c>
      <c r="E402" s="5">
        <v>105.19</v>
      </c>
      <c r="F402" s="13">
        <v>12.03</v>
      </c>
      <c r="G402" s="5">
        <v>3.19</v>
      </c>
      <c r="H402" s="5">
        <v>8.23</v>
      </c>
      <c r="I402" s="26">
        <v>0.30230000000000001</v>
      </c>
      <c r="J402" s="26">
        <v>8.6999999999999994E-2</v>
      </c>
      <c r="K402" s="26">
        <v>1.6400000000000001E-2</v>
      </c>
      <c r="L402" s="27">
        <v>94.5</v>
      </c>
      <c r="M402" s="27">
        <v>0.1</v>
      </c>
      <c r="N402" s="27">
        <v>23.3</v>
      </c>
      <c r="O402" s="3">
        <v>588</v>
      </c>
    </row>
    <row r="403" spans="1:15" x14ac:dyDescent="0.25">
      <c r="A403" s="18">
        <v>58742</v>
      </c>
      <c r="B403" s="7" t="s">
        <v>437</v>
      </c>
      <c r="C403" s="2">
        <v>45698</v>
      </c>
      <c r="D403" s="13">
        <v>1.04552</v>
      </c>
      <c r="E403" s="5">
        <v>118.13</v>
      </c>
      <c r="F403" s="13">
        <v>12.35</v>
      </c>
      <c r="G403" s="5">
        <v>2.95</v>
      </c>
      <c r="H403" s="5">
        <v>14.68</v>
      </c>
      <c r="I403" s="26">
        <v>1.742</v>
      </c>
      <c r="J403" s="26">
        <v>5.1780000000000008</v>
      </c>
      <c r="K403" s="26">
        <v>0.109</v>
      </c>
      <c r="L403" s="27">
        <v>45.9</v>
      </c>
      <c r="M403" s="27">
        <v>71.7</v>
      </c>
      <c r="N403" s="27">
        <v>695</v>
      </c>
      <c r="O403" s="3">
        <v>1156</v>
      </c>
    </row>
    <row r="404" spans="1:15" x14ac:dyDescent="0.25">
      <c r="A404" s="18">
        <v>58743</v>
      </c>
      <c r="B404" s="7" t="s">
        <v>438</v>
      </c>
      <c r="C404" s="2">
        <v>45698</v>
      </c>
      <c r="D404" s="37">
        <v>1.04454</v>
      </c>
      <c r="E404" s="5">
        <v>115.58</v>
      </c>
      <c r="F404" s="37">
        <v>12.35</v>
      </c>
      <c r="G404" s="5">
        <v>4.17</v>
      </c>
      <c r="H404" s="5">
        <v>2.2000000000000002</v>
      </c>
      <c r="I404" s="26">
        <v>1.0369999999999999</v>
      </c>
      <c r="J404" s="26">
        <v>0.32099999999999995</v>
      </c>
      <c r="K404" s="26">
        <v>4.7999999999999994E-2</v>
      </c>
      <c r="L404" s="27">
        <v>82.4</v>
      </c>
      <c r="M404" s="27">
        <v>11.6</v>
      </c>
      <c r="N404" s="27">
        <v>48.7</v>
      </c>
      <c r="O404" s="3">
        <v>1429</v>
      </c>
    </row>
    <row r="405" spans="1:15" x14ac:dyDescent="0.25">
      <c r="A405" s="18">
        <v>58744</v>
      </c>
      <c r="B405" s="7" t="s">
        <v>439</v>
      </c>
      <c r="C405" s="2">
        <v>45698</v>
      </c>
      <c r="D405" s="13">
        <v>1.05061</v>
      </c>
      <c r="E405" s="5">
        <v>131.41</v>
      </c>
      <c r="F405" s="13">
        <v>13.32</v>
      </c>
      <c r="G405" s="5">
        <v>3.24</v>
      </c>
      <c r="H405" s="5">
        <v>8.6</v>
      </c>
      <c r="I405" s="26">
        <v>0.32169999999999999</v>
      </c>
      <c r="J405" s="26">
        <v>9.7699999999999995E-2</v>
      </c>
      <c r="K405" s="26">
        <v>2.6100000000000002E-2</v>
      </c>
      <c r="L405" s="27">
        <v>93.6</v>
      </c>
      <c r="M405" s="27">
        <v>0.2</v>
      </c>
      <c r="N405" s="27">
        <v>23.1</v>
      </c>
      <c r="O405" s="3">
        <v>655</v>
      </c>
    </row>
    <row r="406" spans="1:15" x14ac:dyDescent="0.25">
      <c r="A406" s="18">
        <v>58745</v>
      </c>
      <c r="B406" s="7" t="s">
        <v>440</v>
      </c>
      <c r="C406" s="2">
        <v>45698</v>
      </c>
      <c r="D406" s="13">
        <v>1.03881</v>
      </c>
      <c r="E406" s="5">
        <v>100.66</v>
      </c>
      <c r="F406" s="13">
        <v>10.06</v>
      </c>
      <c r="G406" s="5">
        <v>3.03</v>
      </c>
      <c r="H406" s="5">
        <v>9.48</v>
      </c>
      <c r="I406" s="26">
        <v>0.26350000000000001</v>
      </c>
      <c r="J406" s="26">
        <v>6.54E-2</v>
      </c>
      <c r="K406" s="26">
        <v>1.15E-2</v>
      </c>
      <c r="L406" s="27">
        <v>95.8</v>
      </c>
      <c r="M406" s="27">
        <v>-0.5</v>
      </c>
      <c r="N406" s="27">
        <v>18.899999999999999</v>
      </c>
      <c r="O406" s="3">
        <v>753</v>
      </c>
    </row>
    <row r="407" spans="1:15" x14ac:dyDescent="0.25">
      <c r="A407" s="18">
        <v>58746</v>
      </c>
      <c r="B407" s="7" t="s">
        <v>441</v>
      </c>
      <c r="C407" s="2">
        <v>45698</v>
      </c>
      <c r="D407" s="37">
        <v>1.0367500000000001</v>
      </c>
      <c r="E407" s="5">
        <v>95.29</v>
      </c>
      <c r="F407" s="37">
        <v>9.4600000000000009</v>
      </c>
      <c r="G407" s="5">
        <v>3.13</v>
      </c>
      <c r="H407" s="5">
        <v>10.7</v>
      </c>
      <c r="I407" s="26">
        <v>0.21290000000000001</v>
      </c>
      <c r="J407" s="26">
        <v>5.2400000000000002E-2</v>
      </c>
      <c r="K407" s="26">
        <v>1.4999999999999999E-2</v>
      </c>
      <c r="L407" s="27">
        <v>96.3</v>
      </c>
      <c r="M407" s="27">
        <v>-1.2</v>
      </c>
      <c r="N407" s="27">
        <v>15.1</v>
      </c>
      <c r="O407" s="3">
        <v>577</v>
      </c>
    </row>
    <row r="408" spans="1:15" x14ac:dyDescent="0.25">
      <c r="A408" s="18">
        <v>58747</v>
      </c>
      <c r="B408" s="7" t="s">
        <v>442</v>
      </c>
      <c r="C408" s="2">
        <v>45698</v>
      </c>
      <c r="D408" s="37">
        <v>1.0406</v>
      </c>
      <c r="E408" s="5">
        <v>105.32</v>
      </c>
      <c r="F408" s="13">
        <v>10.48</v>
      </c>
      <c r="G408" s="5">
        <v>3.02</v>
      </c>
      <c r="H408" s="5">
        <v>13.53</v>
      </c>
      <c r="I408" s="26">
        <v>1.2959999999999998</v>
      </c>
      <c r="J408" s="26">
        <v>3.786</v>
      </c>
      <c r="K408" s="26">
        <v>8.0999999999999989E-2</v>
      </c>
      <c r="L408" s="27">
        <v>50.9</v>
      </c>
      <c r="M408" s="27">
        <v>70.599999999999994</v>
      </c>
      <c r="N408" s="27">
        <v>59.5</v>
      </c>
      <c r="O408" s="3">
        <v>829</v>
      </c>
    </row>
    <row r="409" spans="1:15" x14ac:dyDescent="0.25">
      <c r="A409" s="18">
        <v>58748</v>
      </c>
      <c r="B409" s="7" t="s">
        <v>443</v>
      </c>
      <c r="C409" s="2">
        <v>45698</v>
      </c>
      <c r="D409" s="13">
        <v>1.0468299999999999</v>
      </c>
      <c r="E409" s="5">
        <v>121.55</v>
      </c>
      <c r="F409" s="13">
        <v>12.8</v>
      </c>
      <c r="G409" s="5">
        <v>4.33</v>
      </c>
      <c r="H409" s="5">
        <v>1.68</v>
      </c>
      <c r="I409" s="26">
        <v>0.93399999999999994</v>
      </c>
      <c r="J409" s="26">
        <v>0.185</v>
      </c>
      <c r="K409" s="26">
        <v>3.1E-2</v>
      </c>
      <c r="L409" s="27">
        <v>88.8</v>
      </c>
      <c r="M409" s="27">
        <v>1.8</v>
      </c>
      <c r="N409" s="27">
        <v>52.5</v>
      </c>
      <c r="O409" s="3">
        <v>1195</v>
      </c>
    </row>
    <row r="410" spans="1:15" x14ac:dyDescent="0.25">
      <c r="A410" s="18">
        <v>58749</v>
      </c>
      <c r="B410" s="7" t="s">
        <v>444</v>
      </c>
      <c r="C410" s="2">
        <v>45698</v>
      </c>
      <c r="D410" s="37">
        <v>1.0362499999999999</v>
      </c>
      <c r="E410" s="5">
        <v>93.99</v>
      </c>
      <c r="F410" s="37">
        <v>9.3800000000000008</v>
      </c>
      <c r="G410" s="5">
        <v>3.02</v>
      </c>
      <c r="H410" s="5">
        <v>10.33</v>
      </c>
      <c r="I410" s="26">
        <v>0.21310000000000001</v>
      </c>
      <c r="J410" s="26">
        <v>0.40389999999999998</v>
      </c>
      <c r="K410" s="26">
        <v>1.9E-2</v>
      </c>
      <c r="L410" s="27">
        <v>84.1</v>
      </c>
      <c r="M410" s="27">
        <v>27.9</v>
      </c>
      <c r="N410" s="27">
        <v>7.2</v>
      </c>
      <c r="O410" s="3">
        <v>372</v>
      </c>
    </row>
    <row r="411" spans="1:15" x14ac:dyDescent="0.25">
      <c r="A411" s="18">
        <v>58750</v>
      </c>
      <c r="B411" s="7" t="s">
        <v>445</v>
      </c>
      <c r="C411" s="2">
        <v>45698</v>
      </c>
      <c r="D411" s="37">
        <v>1.0401800000000001</v>
      </c>
      <c r="E411" s="5">
        <v>104.22</v>
      </c>
      <c r="F411" s="37">
        <v>10.37</v>
      </c>
      <c r="G411" s="5">
        <v>3.05</v>
      </c>
      <c r="H411" s="5">
        <v>11.48</v>
      </c>
      <c r="I411" s="26">
        <v>0.24640000000000001</v>
      </c>
      <c r="J411" s="26">
        <v>7.6899999999999996E-2</v>
      </c>
      <c r="K411" s="26">
        <v>1.4800000000000001E-2</v>
      </c>
      <c r="L411" s="27">
        <v>95.3</v>
      </c>
      <c r="M411" s="27">
        <v>0.8</v>
      </c>
      <c r="N411" s="27">
        <v>16.600000000000001</v>
      </c>
      <c r="O411" s="3">
        <v>889</v>
      </c>
    </row>
    <row r="412" spans="1:15" x14ac:dyDescent="0.25">
      <c r="A412" s="18">
        <v>58751</v>
      </c>
      <c r="B412" s="7" t="s">
        <v>446</v>
      </c>
      <c r="C412" s="2">
        <v>45698</v>
      </c>
      <c r="D412" s="37">
        <v>1.0452999999999999</v>
      </c>
      <c r="E412" s="5">
        <v>117.56</v>
      </c>
      <c r="F412" s="37">
        <v>12.36</v>
      </c>
      <c r="G412" s="5">
        <v>3.05</v>
      </c>
      <c r="H412" s="5">
        <v>11.23</v>
      </c>
      <c r="I412" s="26">
        <v>3.6499999999999998E-2</v>
      </c>
      <c r="J412" s="26">
        <v>1.55E-2</v>
      </c>
      <c r="K412" s="26">
        <v>6.1000000000000004E-3</v>
      </c>
      <c r="L412" s="27">
        <v>99</v>
      </c>
      <c r="M412" s="27">
        <v>0.2</v>
      </c>
      <c r="N412" s="27">
        <v>1.9</v>
      </c>
      <c r="O412" s="3">
        <v>488</v>
      </c>
    </row>
    <row r="413" spans="1:15" x14ac:dyDescent="0.25">
      <c r="A413" s="18">
        <v>58752</v>
      </c>
      <c r="B413" s="7" t="s">
        <v>187</v>
      </c>
      <c r="C413" s="2">
        <v>45698</v>
      </c>
      <c r="D413" s="13">
        <v>1.0477700000000001</v>
      </c>
      <c r="E413" s="5">
        <v>124</v>
      </c>
      <c r="F413" s="13">
        <v>12.77</v>
      </c>
      <c r="G413" s="5">
        <v>2.97</v>
      </c>
      <c r="H413" s="5">
        <v>12.5</v>
      </c>
      <c r="I413" s="26">
        <v>3.4799999999999998E-2</v>
      </c>
      <c r="J413" s="26">
        <v>2.35E-2</v>
      </c>
      <c r="K413" s="26">
        <v>5.7000000000000002E-3</v>
      </c>
      <c r="L413" s="27">
        <v>98.7</v>
      </c>
      <c r="M413" s="27">
        <v>1</v>
      </c>
      <c r="N413" s="27">
        <v>1.7</v>
      </c>
      <c r="O413" s="3">
        <v>187</v>
      </c>
    </row>
    <row r="414" spans="1:15" x14ac:dyDescent="0.25">
      <c r="A414" s="18">
        <v>58765</v>
      </c>
      <c r="B414" s="7" t="s">
        <v>447</v>
      </c>
      <c r="C414" s="2">
        <v>45699</v>
      </c>
      <c r="D414" s="34">
        <v>1.0305</v>
      </c>
      <c r="E414" s="4">
        <v>79.041323484601435</v>
      </c>
      <c r="F414" s="13">
        <v>7.44</v>
      </c>
      <c r="G414" s="35">
        <v>3.27</v>
      </c>
      <c r="H414" s="5">
        <v>5.625</v>
      </c>
      <c r="I414" s="26">
        <v>3.3500000000000002E-2</v>
      </c>
      <c r="J414" s="26">
        <v>1.4500000000000001E-2</v>
      </c>
      <c r="K414" s="26">
        <v>3.0000000000000001E-3</v>
      </c>
      <c r="L414" s="27">
        <v>99.1</v>
      </c>
      <c r="M414" s="27">
        <v>0.4</v>
      </c>
      <c r="N414" s="27">
        <v>2.2000000000000002</v>
      </c>
      <c r="O414" s="3">
        <v>480</v>
      </c>
    </row>
    <row r="415" spans="1:15" x14ac:dyDescent="0.25">
      <c r="A415" s="18">
        <v>58766</v>
      </c>
      <c r="B415" s="7" t="s">
        <v>448</v>
      </c>
      <c r="C415" s="2">
        <v>45699</v>
      </c>
      <c r="D415" s="37">
        <v>1.0427299999999999</v>
      </c>
      <c r="E415" s="4">
        <v>110.8634980845577</v>
      </c>
      <c r="F415" s="13">
        <v>12.11</v>
      </c>
      <c r="G415" s="35">
        <v>3.44</v>
      </c>
      <c r="H415" s="5">
        <v>4.5750000000000002</v>
      </c>
      <c r="I415" s="26">
        <v>0.15279999999999999</v>
      </c>
      <c r="J415" s="26">
        <v>3.5000000000000003E-2</v>
      </c>
      <c r="K415" s="26">
        <v>7.1000000000000004E-3</v>
      </c>
      <c r="L415" s="27">
        <v>97.6</v>
      </c>
      <c r="M415" s="27">
        <v>-1</v>
      </c>
      <c r="N415" s="27">
        <v>11.5</v>
      </c>
      <c r="O415" s="3">
        <v>454</v>
      </c>
    </row>
    <row r="416" spans="1:15" x14ac:dyDescent="0.25">
      <c r="A416" s="18">
        <v>58767</v>
      </c>
      <c r="B416" s="7" t="s">
        <v>449</v>
      </c>
      <c r="C416" s="2">
        <v>45699</v>
      </c>
      <c r="D416" s="37">
        <v>1.0449200000000001</v>
      </c>
      <c r="E416" s="4">
        <v>116.56987486151229</v>
      </c>
      <c r="F416" s="37">
        <v>13.36</v>
      </c>
      <c r="G416" s="35">
        <v>3.03</v>
      </c>
      <c r="H416" s="5">
        <v>10.25</v>
      </c>
      <c r="I416" s="26">
        <v>0.17080000000000001</v>
      </c>
      <c r="J416" s="26">
        <v>7.8E-2</v>
      </c>
      <c r="K416" s="26">
        <v>4.5999999999999999E-2</v>
      </c>
      <c r="L416" s="27">
        <v>94.1</v>
      </c>
      <c r="M416" s="27">
        <v>-0.1</v>
      </c>
      <c r="N416" s="27">
        <v>10.1</v>
      </c>
      <c r="O416" s="3">
        <v>681</v>
      </c>
    </row>
    <row r="417" spans="1:15" x14ac:dyDescent="0.25">
      <c r="A417" s="18">
        <v>58768</v>
      </c>
      <c r="B417" s="7" t="s">
        <v>450</v>
      </c>
      <c r="C417" s="2">
        <v>45699</v>
      </c>
      <c r="D417" s="37">
        <v>1.0352399999999999</v>
      </c>
      <c r="E417" s="4">
        <v>91.365722620770157</v>
      </c>
      <c r="F417" s="37">
        <v>9.25</v>
      </c>
      <c r="G417" s="35">
        <v>3.29</v>
      </c>
      <c r="H417" s="5">
        <v>8.4</v>
      </c>
      <c r="I417" s="26">
        <v>4.24E-2</v>
      </c>
      <c r="J417" s="26">
        <v>1.44E-2</v>
      </c>
      <c r="K417" s="26">
        <v>1.9E-3</v>
      </c>
      <c r="L417" s="27">
        <v>99.1</v>
      </c>
      <c r="M417" s="27">
        <v>0.1</v>
      </c>
      <c r="N417" s="27">
        <v>3.2</v>
      </c>
      <c r="O417" s="3">
        <v>700</v>
      </c>
    </row>
    <row r="418" spans="1:15" x14ac:dyDescent="0.25">
      <c r="A418" s="18">
        <v>58769</v>
      </c>
      <c r="B418" s="7" t="s">
        <v>451</v>
      </c>
      <c r="C418" s="2">
        <v>45699</v>
      </c>
      <c r="D418" s="37">
        <v>1.04209</v>
      </c>
      <c r="E418" s="4">
        <v>109.19634742152084</v>
      </c>
      <c r="F418" s="37">
        <v>11.97</v>
      </c>
      <c r="G418" s="35">
        <v>3.13</v>
      </c>
      <c r="H418" s="5">
        <v>10.600000000000001</v>
      </c>
      <c r="I418" s="26">
        <v>0.03</v>
      </c>
      <c r="J418" s="26">
        <v>3.0700000000000002E-2</v>
      </c>
      <c r="K418" s="26">
        <v>1.9E-3</v>
      </c>
      <c r="L418" s="27">
        <v>98.6</v>
      </c>
      <c r="M418" s="27">
        <v>2.2000000000000002</v>
      </c>
      <c r="N418" s="27">
        <v>1.3</v>
      </c>
      <c r="O418" s="3">
        <v>224</v>
      </c>
    </row>
    <row r="419" spans="1:15" x14ac:dyDescent="0.25">
      <c r="A419" s="18">
        <v>58770</v>
      </c>
      <c r="B419" s="7" t="s">
        <v>452</v>
      </c>
      <c r="C419" s="2">
        <v>45699</v>
      </c>
      <c r="D419" s="37">
        <v>1.0430299999999999</v>
      </c>
      <c r="E419" s="4">
        <v>111.6450474390108</v>
      </c>
      <c r="F419" s="13">
        <v>12.06</v>
      </c>
      <c r="G419" s="35">
        <v>3.06</v>
      </c>
      <c r="H419" s="5">
        <v>14.9</v>
      </c>
      <c r="I419" s="26">
        <v>2.06E-2</v>
      </c>
      <c r="J419" s="26">
        <v>1.38E-2</v>
      </c>
      <c r="K419" s="26">
        <v>-5.0000000000000001E-4</v>
      </c>
      <c r="L419" s="27">
        <v>99.4</v>
      </c>
      <c r="M419" s="27">
        <v>0.9</v>
      </c>
      <c r="N419" s="27">
        <v>1.1000000000000001</v>
      </c>
      <c r="O419" s="3">
        <v>289</v>
      </c>
    </row>
    <row r="420" spans="1:15" x14ac:dyDescent="0.25">
      <c r="A420" s="18">
        <v>58771</v>
      </c>
      <c r="B420" s="7" t="s">
        <v>453</v>
      </c>
      <c r="C420" s="2">
        <v>45699</v>
      </c>
      <c r="D420" s="13">
        <v>1.0356300000000001</v>
      </c>
      <c r="E420" s="4">
        <v>92.380257770887056</v>
      </c>
      <c r="F420" s="13">
        <v>9.15</v>
      </c>
      <c r="G420" s="35">
        <v>3.07</v>
      </c>
      <c r="H420" s="5">
        <v>14.5</v>
      </c>
      <c r="I420" s="26">
        <v>1.6899999999999998E-2</v>
      </c>
      <c r="J420" s="26">
        <v>5.3E-3</v>
      </c>
      <c r="K420" s="26">
        <v>4.0000000000000002E-4</v>
      </c>
      <c r="L420" s="27">
        <v>99.7</v>
      </c>
      <c r="M420" s="27">
        <v>0.1</v>
      </c>
      <c r="N420" s="27">
        <v>1</v>
      </c>
      <c r="O420" s="3">
        <v>164</v>
      </c>
    </row>
    <row r="421" spans="1:15" x14ac:dyDescent="0.25">
      <c r="A421" s="18">
        <v>58772</v>
      </c>
      <c r="B421" s="7" t="s">
        <v>454</v>
      </c>
      <c r="C421" s="2">
        <v>45699</v>
      </c>
      <c r="D421" s="37">
        <v>1.0447500000000001</v>
      </c>
      <c r="E421" s="4">
        <v>116.12682549304736</v>
      </c>
      <c r="F421" s="37">
        <v>12.29</v>
      </c>
      <c r="G421" s="35">
        <v>3.19</v>
      </c>
      <c r="H421" s="5">
        <v>9.15</v>
      </c>
      <c r="I421" s="26">
        <v>0.25580000000000003</v>
      </c>
      <c r="J421" s="26">
        <v>5.9299999999999999E-2</v>
      </c>
      <c r="K421" s="26">
        <v>1.3100000000000001E-2</v>
      </c>
      <c r="L421" s="27">
        <v>96</v>
      </c>
      <c r="M421" s="27">
        <v>-1.1000000000000001</v>
      </c>
      <c r="N421" s="27">
        <v>18</v>
      </c>
      <c r="O421" s="3">
        <v>764</v>
      </c>
    </row>
    <row r="422" spans="1:15" x14ac:dyDescent="0.25">
      <c r="A422" s="18">
        <v>58773</v>
      </c>
      <c r="B422" s="7" t="s">
        <v>455</v>
      </c>
      <c r="C422" s="2">
        <v>45699</v>
      </c>
      <c r="D422" s="37">
        <v>1.03674</v>
      </c>
      <c r="E422" s="4">
        <v>95.268201254843007</v>
      </c>
      <c r="F422" s="13">
        <v>9.86</v>
      </c>
      <c r="G422" s="35">
        <v>4.17</v>
      </c>
      <c r="H422" s="5">
        <v>1.4249999999999998</v>
      </c>
      <c r="I422" s="26">
        <v>1.4169999999999998</v>
      </c>
      <c r="J422" s="26">
        <v>0.26</v>
      </c>
      <c r="K422" s="26">
        <v>4.1999999999999996E-2</v>
      </c>
      <c r="L422" s="27">
        <v>85</v>
      </c>
      <c r="M422" s="27">
        <v>5.64</v>
      </c>
      <c r="N422" s="27">
        <v>66.8</v>
      </c>
      <c r="O422" s="3">
        <v>1224</v>
      </c>
    </row>
    <row r="423" spans="1:15" x14ac:dyDescent="0.25">
      <c r="A423" s="18">
        <v>58774</v>
      </c>
      <c r="B423" s="7" t="s">
        <v>456</v>
      </c>
      <c r="C423" s="2">
        <v>45699</v>
      </c>
      <c r="D423" s="37">
        <v>1.0356700000000001</v>
      </c>
      <c r="E423" s="4">
        <v>92.484316996440157</v>
      </c>
      <c r="F423" s="37">
        <v>9.23</v>
      </c>
      <c r="G423" s="35">
        <v>2.93</v>
      </c>
      <c r="H423" s="5">
        <v>12.675000000000001</v>
      </c>
      <c r="I423" s="26">
        <v>0.92299999999999993</v>
      </c>
      <c r="J423" s="26">
        <v>2.7039999999999997</v>
      </c>
      <c r="K423" s="26">
        <v>4.7999999999999994E-2</v>
      </c>
      <c r="L423" s="27">
        <v>56.2</v>
      </c>
      <c r="M423" s="27">
        <v>69.78</v>
      </c>
      <c r="N423" s="27">
        <v>45.34</v>
      </c>
      <c r="O423" s="3">
        <v>921</v>
      </c>
    </row>
    <row r="424" spans="1:15" x14ac:dyDescent="0.25">
      <c r="A424" s="18">
        <v>58775</v>
      </c>
      <c r="B424" s="7" t="s">
        <v>457</v>
      </c>
      <c r="C424" s="2">
        <v>45699</v>
      </c>
      <c r="D424" s="37">
        <v>1.03592</v>
      </c>
      <c r="E424" s="4">
        <v>93.134705453941478</v>
      </c>
      <c r="F424" s="37">
        <v>9.33</v>
      </c>
      <c r="G424" s="35">
        <v>3.17</v>
      </c>
      <c r="H424" s="5">
        <v>7.9249999999999998</v>
      </c>
      <c r="I424" s="26">
        <v>6.9400000000000003E-2</v>
      </c>
      <c r="J424" s="26">
        <v>4.8500000000000001E-2</v>
      </c>
      <c r="K424" s="26">
        <v>3.5799999999999998E-2</v>
      </c>
      <c r="L424" s="27">
        <v>96.2</v>
      </c>
      <c r="M424" s="27">
        <v>0.4</v>
      </c>
      <c r="N424" s="27">
        <v>2.1</v>
      </c>
      <c r="O424" s="3">
        <v>138</v>
      </c>
    </row>
    <row r="425" spans="1:15" x14ac:dyDescent="0.25">
      <c r="A425" s="18">
        <v>58776</v>
      </c>
      <c r="B425" s="7" t="s">
        <v>458</v>
      </c>
      <c r="C425" s="2">
        <v>45699</v>
      </c>
      <c r="D425" s="37">
        <v>1.0430699999999999</v>
      </c>
      <c r="E425" s="4">
        <v>111.74925751814862</v>
      </c>
      <c r="F425" s="37">
        <v>12.05</v>
      </c>
      <c r="G425" s="35">
        <v>3.1</v>
      </c>
      <c r="H425" s="5">
        <v>11.05</v>
      </c>
      <c r="I425" s="26">
        <v>2.9700000000000001E-2</v>
      </c>
      <c r="J425" s="26">
        <v>9.4000000000000004E-3</v>
      </c>
      <c r="K425" s="26">
        <v>2.5999999999999999E-3</v>
      </c>
      <c r="L425" s="27">
        <v>99.4</v>
      </c>
      <c r="M425" s="27">
        <v>-0.03</v>
      </c>
      <c r="N425" s="27">
        <v>1.8</v>
      </c>
      <c r="O425" s="3">
        <v>187</v>
      </c>
    </row>
    <row r="426" spans="1:15" x14ac:dyDescent="0.25">
      <c r="A426" s="18">
        <v>58777</v>
      </c>
      <c r="B426" s="7" t="s">
        <v>459</v>
      </c>
      <c r="C426" s="2">
        <v>45699</v>
      </c>
      <c r="D426" s="37">
        <v>1.0462400000000001</v>
      </c>
      <c r="E426" s="4">
        <v>120.01053198350246</v>
      </c>
      <c r="F426" s="37">
        <v>12.46</v>
      </c>
      <c r="G426" s="35">
        <v>3.12</v>
      </c>
      <c r="H426" s="5">
        <v>10.75</v>
      </c>
      <c r="I426" s="26">
        <v>2.9899999999999999E-2</v>
      </c>
      <c r="J426" s="26">
        <v>9.4999999999999998E-3</v>
      </c>
      <c r="K426" s="26">
        <v>1.6999999999999999E-3</v>
      </c>
      <c r="L426" s="27">
        <v>99.4</v>
      </c>
      <c r="M426" s="27">
        <v>0.02</v>
      </c>
      <c r="N426" s="27">
        <v>1.8</v>
      </c>
      <c r="O426" s="3">
        <v>202</v>
      </c>
    </row>
    <row r="427" spans="1:15" x14ac:dyDescent="0.25">
      <c r="A427" s="18">
        <v>58778</v>
      </c>
      <c r="B427" s="7" t="s">
        <v>460</v>
      </c>
      <c r="C427" s="2">
        <v>45699</v>
      </c>
      <c r="D427" s="37">
        <v>1.0406</v>
      </c>
      <c r="E427" s="4">
        <v>105.31582627024045</v>
      </c>
      <c r="F427" s="37">
        <v>10.51</v>
      </c>
      <c r="G427" s="35">
        <v>3.05</v>
      </c>
      <c r="H427" s="5">
        <v>9.375</v>
      </c>
      <c r="I427" s="26">
        <v>3.3500000000000002E-2</v>
      </c>
      <c r="J427" s="26">
        <v>2.4500000000000001E-2</v>
      </c>
      <c r="K427" s="26">
        <v>2E-3</v>
      </c>
      <c r="L427" s="27">
        <v>98.8</v>
      </c>
      <c r="M427" s="27">
        <v>1.45</v>
      </c>
      <c r="N427" s="27">
        <v>1.7</v>
      </c>
      <c r="O427" s="3">
        <v>160</v>
      </c>
    </row>
    <row r="428" spans="1:15" x14ac:dyDescent="0.25">
      <c r="A428" s="18">
        <v>58779</v>
      </c>
      <c r="B428" s="7" t="s">
        <v>461</v>
      </c>
      <c r="C428" s="2">
        <v>45699</v>
      </c>
      <c r="D428" s="13">
        <v>1.03908</v>
      </c>
      <c r="E428" s="4">
        <v>101.35834350385812</v>
      </c>
      <c r="F428" s="13">
        <v>10.16</v>
      </c>
      <c r="G428" s="35">
        <v>3.23</v>
      </c>
      <c r="H428" s="5">
        <v>6.8000000000000007</v>
      </c>
      <c r="I428" s="26">
        <v>4.1799999999999997E-2</v>
      </c>
      <c r="J428" s="26">
        <v>2.9499999999999998E-2</v>
      </c>
      <c r="K428" s="26">
        <v>4.3E-3</v>
      </c>
      <c r="L428" s="27">
        <v>98.5</v>
      </c>
      <c r="M428" s="27">
        <v>1.58</v>
      </c>
      <c r="N428" s="27">
        <v>2.1</v>
      </c>
      <c r="O428" s="3">
        <v>312</v>
      </c>
    </row>
    <row r="429" spans="1:15" x14ac:dyDescent="0.25">
      <c r="A429" s="18">
        <v>58780</v>
      </c>
      <c r="B429" s="7" t="s">
        <v>462</v>
      </c>
      <c r="C429" s="2">
        <v>45699</v>
      </c>
      <c r="D429" s="37">
        <v>1.04281</v>
      </c>
      <c r="E429" s="4">
        <v>111.07190671924718</v>
      </c>
      <c r="F429" s="37">
        <v>12.07</v>
      </c>
      <c r="G429" s="35">
        <v>3.11</v>
      </c>
      <c r="H429" s="5">
        <v>8.5500000000000007</v>
      </c>
      <c r="I429" s="26">
        <v>4.4999999999999998E-2</v>
      </c>
      <c r="J429" s="26">
        <v>1.32E-2</v>
      </c>
      <c r="K429" s="26">
        <v>1.8E-3</v>
      </c>
      <c r="L429" s="27">
        <v>99.2</v>
      </c>
      <c r="M429" s="27">
        <v>0.04</v>
      </c>
      <c r="N429" s="27">
        <v>2.9</v>
      </c>
      <c r="O429" s="3">
        <v>146</v>
      </c>
    </row>
    <row r="430" spans="1:15" x14ac:dyDescent="0.25">
      <c r="A430" s="18">
        <v>58781</v>
      </c>
      <c r="B430" s="7" t="s">
        <v>463</v>
      </c>
      <c r="C430" s="2">
        <v>45699</v>
      </c>
      <c r="D430" s="37">
        <v>1.0433699999999999</v>
      </c>
      <c r="E430" s="4">
        <v>112.53085936545176</v>
      </c>
      <c r="F430" s="37">
        <v>12.09</v>
      </c>
      <c r="G430" s="35">
        <v>2.98</v>
      </c>
      <c r="H430" s="5">
        <v>12.024999999999999</v>
      </c>
      <c r="I430" s="26">
        <v>3.4299999999999997E-2</v>
      </c>
      <c r="J430" s="26">
        <v>2.1399999999999999E-2</v>
      </c>
      <c r="K430" s="26">
        <v>1.23E-2</v>
      </c>
      <c r="L430" s="27">
        <v>98.5</v>
      </c>
      <c r="M430" s="27">
        <v>0.35</v>
      </c>
      <c r="N430" s="27">
        <v>1.3</v>
      </c>
      <c r="O430" s="3">
        <v>218</v>
      </c>
    </row>
    <row r="431" spans="1:15" x14ac:dyDescent="0.25">
      <c r="A431" s="18">
        <v>58782</v>
      </c>
      <c r="B431" s="7" t="s">
        <v>464</v>
      </c>
      <c r="C431" s="2">
        <v>45699</v>
      </c>
      <c r="D431" s="37">
        <v>1.0523899999999999</v>
      </c>
      <c r="E431" s="37">
        <v>136.05283647023134</v>
      </c>
      <c r="F431" s="37">
        <v>13.51</v>
      </c>
      <c r="G431" s="35">
        <v>3.15</v>
      </c>
      <c r="H431" s="5">
        <v>9.9499999999999993</v>
      </c>
      <c r="I431" s="6">
        <v>0.15909999999999999</v>
      </c>
      <c r="J431" s="6">
        <v>0.13780000000000001</v>
      </c>
      <c r="K431" s="6">
        <v>0.1221</v>
      </c>
      <c r="L431" s="4">
        <v>89</v>
      </c>
      <c r="M431" s="4">
        <v>0.54</v>
      </c>
      <c r="N431" s="4">
        <v>2</v>
      </c>
      <c r="O431" s="3">
        <v>161</v>
      </c>
    </row>
    <row r="432" spans="1:15" x14ac:dyDescent="0.25">
      <c r="A432" s="18">
        <v>58783</v>
      </c>
      <c r="B432" s="7" t="s">
        <v>465</v>
      </c>
      <c r="C432" s="2">
        <v>45699</v>
      </c>
      <c r="D432" s="13">
        <v>1.04708</v>
      </c>
      <c r="E432" s="37">
        <v>122.20051164982806</v>
      </c>
      <c r="F432" s="13">
        <v>12.6</v>
      </c>
      <c r="G432" s="35">
        <v>3.07</v>
      </c>
      <c r="H432" s="5">
        <v>11.200000000000001</v>
      </c>
      <c r="I432" s="6">
        <v>3.1800000000000002E-2</v>
      </c>
      <c r="J432" s="6">
        <v>1.5800000000000002E-2</v>
      </c>
      <c r="K432" s="6">
        <v>4.4000000000000003E-3</v>
      </c>
      <c r="L432" s="4">
        <v>99.1</v>
      </c>
      <c r="M432" s="4">
        <v>0.44</v>
      </c>
      <c r="N432" s="4">
        <v>1.6</v>
      </c>
      <c r="O432" s="3">
        <v>392</v>
      </c>
    </row>
    <row r="433" spans="1:15" x14ac:dyDescent="0.25">
      <c r="A433" s="18">
        <v>58784</v>
      </c>
      <c r="B433" s="7" t="s">
        <v>466</v>
      </c>
      <c r="C433" s="2">
        <v>45699</v>
      </c>
      <c r="D433" s="13">
        <v>1.0414099999999999</v>
      </c>
      <c r="E433" s="37">
        <v>107.42523022082378</v>
      </c>
      <c r="F433" s="13">
        <v>10.72</v>
      </c>
      <c r="G433" s="35">
        <v>3.08</v>
      </c>
      <c r="H433" s="5">
        <v>9.6999999999999993</v>
      </c>
      <c r="I433" s="6">
        <v>2.4899999999999999E-2</v>
      </c>
      <c r="J433" s="6">
        <v>9.4999999999999998E-3</v>
      </c>
      <c r="K433" s="6">
        <v>1.6999999999999999E-3</v>
      </c>
      <c r="L433" s="4">
        <v>99.4</v>
      </c>
      <c r="M433" s="4">
        <v>0.18</v>
      </c>
      <c r="N433" s="4">
        <v>1.4</v>
      </c>
      <c r="O433" s="3">
        <v>242</v>
      </c>
    </row>
    <row r="434" spans="1:15" x14ac:dyDescent="0.25">
      <c r="A434" s="18">
        <v>58785</v>
      </c>
      <c r="B434" s="7" t="s">
        <v>467</v>
      </c>
      <c r="C434" s="2">
        <v>45699</v>
      </c>
      <c r="D434" s="37">
        <v>1.0471699999999999</v>
      </c>
      <c r="E434" s="37">
        <v>122.43517407944319</v>
      </c>
      <c r="F434" s="37">
        <v>12.64</v>
      </c>
      <c r="G434" s="35">
        <v>3.07</v>
      </c>
      <c r="H434" s="5">
        <v>7.0250000000000004</v>
      </c>
      <c r="I434" s="6">
        <v>3.1600000000000003E-2</v>
      </c>
      <c r="J434" s="6">
        <v>1.52E-2</v>
      </c>
      <c r="K434" s="6">
        <v>2E-3</v>
      </c>
      <c r="L434" s="4">
        <v>99.2</v>
      </c>
      <c r="M434" s="4">
        <v>0.57999999999999996</v>
      </c>
      <c r="N434" s="4">
        <v>1.7</v>
      </c>
      <c r="O434" s="3">
        <v>446</v>
      </c>
    </row>
    <row r="435" spans="1:15" ht="15" customHeight="1" x14ac:dyDescent="0.25">
      <c r="A435" s="18">
        <v>58786</v>
      </c>
      <c r="B435" s="18" t="s">
        <v>468</v>
      </c>
      <c r="C435" s="2">
        <v>45699</v>
      </c>
      <c r="D435" s="37">
        <v>1.05274</v>
      </c>
      <c r="E435" s="37">
        <v>136.9664099210604</v>
      </c>
      <c r="F435" s="37">
        <v>13.59</v>
      </c>
      <c r="G435" s="35">
        <v>3.35</v>
      </c>
      <c r="H435" s="5">
        <v>11.65</v>
      </c>
      <c r="I435" s="6">
        <v>3.1399999999999997E-2</v>
      </c>
      <c r="J435" s="6">
        <v>6.4999999999999997E-3</v>
      </c>
      <c r="K435" s="6">
        <v>1.9E-3</v>
      </c>
      <c r="L435" s="4">
        <v>99.5</v>
      </c>
      <c r="M435" s="4">
        <v>-0.31</v>
      </c>
      <c r="N435" s="4">
        <v>1.9</v>
      </c>
      <c r="O435" s="3">
        <v>712</v>
      </c>
    </row>
    <row r="436" spans="1:15" x14ac:dyDescent="0.25">
      <c r="A436" s="18">
        <v>59198</v>
      </c>
      <c r="B436" s="18" t="s">
        <v>469</v>
      </c>
      <c r="C436" s="2">
        <v>45740</v>
      </c>
      <c r="D436" s="10">
        <v>1.0429299999999999</v>
      </c>
      <c r="E436" s="37">
        <v>111.4</v>
      </c>
      <c r="F436" s="35">
        <v>10.68</v>
      </c>
      <c r="G436" s="35">
        <v>3.05</v>
      </c>
      <c r="H436" s="5">
        <v>10.47</v>
      </c>
      <c r="I436" s="6">
        <v>4.7500000000000001E-2</v>
      </c>
      <c r="J436" s="6">
        <v>1.46E-2</v>
      </c>
      <c r="K436" s="6">
        <v>2.5000000000000001E-3</v>
      </c>
      <c r="L436" s="4">
        <v>99.1</v>
      </c>
      <c r="M436" s="4">
        <v>0</v>
      </c>
      <c r="N436" s="4">
        <v>3.3</v>
      </c>
      <c r="O436" s="3">
        <v>304</v>
      </c>
    </row>
    <row r="437" spans="1:15" x14ac:dyDescent="0.25">
      <c r="A437" s="18">
        <v>59199</v>
      </c>
      <c r="B437" s="18" t="s">
        <v>470</v>
      </c>
      <c r="C437" s="2">
        <v>45740</v>
      </c>
      <c r="D437" s="10">
        <v>1.05532</v>
      </c>
      <c r="E437" s="37">
        <v>143.69999999999999</v>
      </c>
      <c r="F437" s="35">
        <v>13.61</v>
      </c>
      <c r="G437" s="35">
        <v>4.05</v>
      </c>
      <c r="H437" s="5">
        <v>2.41</v>
      </c>
      <c r="I437" s="6">
        <f>10*0.052</f>
        <v>0.52</v>
      </c>
      <c r="J437" s="6">
        <f>10*0.0055</f>
        <v>5.4999999999999993E-2</v>
      </c>
      <c r="K437" s="6">
        <f>10*0.0003</f>
        <v>2.9999999999999996E-3</v>
      </c>
      <c r="L437" s="4">
        <v>99.6</v>
      </c>
      <c r="M437" s="4">
        <v>-1</v>
      </c>
      <c r="N437" s="4">
        <v>4.2</v>
      </c>
      <c r="O437" s="3">
        <v>545</v>
      </c>
    </row>
    <row r="438" spans="1:15" x14ac:dyDescent="0.25">
      <c r="A438" s="18">
        <v>59200</v>
      </c>
      <c r="B438" s="18" t="s">
        <v>471</v>
      </c>
      <c r="C438" s="2">
        <v>45740</v>
      </c>
      <c r="D438" s="10">
        <v>1.0371600000000001</v>
      </c>
      <c r="E438" s="37">
        <v>96.4</v>
      </c>
      <c r="F438" s="35">
        <v>9.2899999999999991</v>
      </c>
      <c r="G438" s="35">
        <v>3.93</v>
      </c>
      <c r="H438" s="5">
        <v>2.11</v>
      </c>
      <c r="I438" s="6">
        <f>10*0.0556</f>
        <v>0.55599999999999994</v>
      </c>
      <c r="J438" s="6">
        <f>10*0.0049</f>
        <v>4.9000000000000002E-2</v>
      </c>
      <c r="K438" s="6">
        <f>10*0.0003</f>
        <v>2.9999999999999996E-3</v>
      </c>
      <c r="L438" s="4">
        <v>99.6</v>
      </c>
      <c r="M438" s="4">
        <v>-1.2</v>
      </c>
      <c r="N438" s="4">
        <v>4.5</v>
      </c>
      <c r="O438" s="3">
        <v>856</v>
      </c>
    </row>
    <row r="439" spans="1:15" x14ac:dyDescent="0.25">
      <c r="A439" s="18">
        <v>59201</v>
      </c>
      <c r="B439" s="18" t="s">
        <v>472</v>
      </c>
      <c r="C439" s="2">
        <v>45740</v>
      </c>
      <c r="D439" s="10">
        <v>1.0340400000000001</v>
      </c>
      <c r="E439" s="21">
        <v>88.2</v>
      </c>
      <c r="F439" s="35">
        <v>8.52</v>
      </c>
      <c r="G439" s="35">
        <v>3.2</v>
      </c>
      <c r="H439" s="5">
        <v>6.46</v>
      </c>
      <c r="I439" s="6">
        <v>0.13059999999999999</v>
      </c>
      <c r="J439" s="6">
        <v>2.7699999999999999E-2</v>
      </c>
      <c r="K439" s="6">
        <v>3.5000000000000001E-3</v>
      </c>
      <c r="L439" s="4">
        <v>98.1</v>
      </c>
      <c r="M439" s="4">
        <v>-1.2</v>
      </c>
      <c r="N439" s="4">
        <v>10.9</v>
      </c>
      <c r="O439" s="3">
        <v>497</v>
      </c>
    </row>
    <row r="440" spans="1:15" x14ac:dyDescent="0.25">
      <c r="A440" s="18">
        <v>59202</v>
      </c>
      <c r="B440" s="18" t="s">
        <v>473</v>
      </c>
      <c r="C440" s="2">
        <v>45740</v>
      </c>
      <c r="D440" s="10">
        <v>1.0554399999999999</v>
      </c>
      <c r="E440" s="37">
        <v>144</v>
      </c>
      <c r="F440" s="35">
        <v>13.63</v>
      </c>
      <c r="G440" s="35">
        <v>4.2</v>
      </c>
      <c r="H440" s="5">
        <v>1.2</v>
      </c>
      <c r="I440" s="6">
        <v>0.25180000000000002</v>
      </c>
      <c r="J440" s="6">
        <v>4.0599999999999997E-2</v>
      </c>
      <c r="K440" s="6">
        <v>9.1999999999999998E-3</v>
      </c>
      <c r="L440" s="4">
        <v>97.1</v>
      </c>
      <c r="M440" s="4">
        <v>-2.8</v>
      </c>
      <c r="N440" s="4">
        <v>17.899999999999999</v>
      </c>
      <c r="O440" s="3">
        <v>380</v>
      </c>
    </row>
    <row r="441" spans="1:15" x14ac:dyDescent="0.25">
      <c r="A441" s="18">
        <v>59203</v>
      </c>
      <c r="B441" s="18" t="s">
        <v>474</v>
      </c>
      <c r="C441" s="2">
        <v>45740</v>
      </c>
      <c r="D441" s="10">
        <v>1.0481799999999999</v>
      </c>
      <c r="E441" s="37">
        <v>125.1</v>
      </c>
      <c r="F441" s="35">
        <v>11.93</v>
      </c>
      <c r="G441" s="35">
        <v>4.24</v>
      </c>
      <c r="H441" s="5">
        <v>1.38</v>
      </c>
      <c r="I441" s="6">
        <v>0.2233</v>
      </c>
      <c r="J441" s="6">
        <v>6.2E-2</v>
      </c>
      <c r="K441" s="6">
        <v>1.2699999999999999E-2</v>
      </c>
      <c r="L441" s="4">
        <v>96</v>
      </c>
      <c r="M441" s="4">
        <v>-0.5</v>
      </c>
      <c r="N441" s="4">
        <v>17</v>
      </c>
      <c r="O441" s="3">
        <v>875</v>
      </c>
    </row>
    <row r="442" spans="1:15" x14ac:dyDescent="0.25">
      <c r="A442" s="18">
        <v>59204</v>
      </c>
      <c r="B442" s="18" t="s">
        <v>475</v>
      </c>
      <c r="C442" s="2">
        <v>45740</v>
      </c>
      <c r="D442" s="10">
        <v>1.0466899999999999</v>
      </c>
      <c r="E442" s="37">
        <v>121.2</v>
      </c>
      <c r="F442" s="35">
        <v>11.57</v>
      </c>
      <c r="G442" s="35">
        <v>3.04</v>
      </c>
      <c r="H442" s="5">
        <v>10.98</v>
      </c>
      <c r="I442" s="6">
        <v>5.9700000000000003E-2</v>
      </c>
      <c r="J442" s="6">
        <v>2.69E-2</v>
      </c>
      <c r="K442" s="6">
        <v>4.4000000000000003E-3</v>
      </c>
      <c r="L442" s="4">
        <v>98.5</v>
      </c>
      <c r="M442" s="4">
        <v>0.8</v>
      </c>
      <c r="N442" s="4">
        <v>3.6</v>
      </c>
      <c r="O442" s="3">
        <v>805</v>
      </c>
    </row>
    <row r="443" spans="1:15" x14ac:dyDescent="0.25">
      <c r="A443" s="18">
        <v>59205</v>
      </c>
      <c r="B443" s="18" t="s">
        <v>476</v>
      </c>
      <c r="C443" s="2">
        <v>45740</v>
      </c>
      <c r="D443" s="10">
        <v>1.0454600000000001</v>
      </c>
      <c r="E443" s="37">
        <v>118</v>
      </c>
      <c r="F443" s="35">
        <v>11.29</v>
      </c>
      <c r="G443" s="35">
        <v>2.9</v>
      </c>
      <c r="H443" s="5">
        <v>15.27</v>
      </c>
      <c r="I443" s="6">
        <f>10*0.3483</f>
        <v>3.4830000000000001</v>
      </c>
      <c r="J443" s="6">
        <f>10*1.0524</f>
        <v>10.524000000000001</v>
      </c>
      <c r="K443" s="6">
        <f>10*0.021</f>
        <v>0.21000000000000002</v>
      </c>
      <c r="L443" s="4">
        <v>70.400000000000006</v>
      </c>
      <c r="M443" s="4">
        <v>55.1</v>
      </c>
      <c r="N443" s="4">
        <v>11.9</v>
      </c>
      <c r="O443" s="3">
        <v>1879</v>
      </c>
    </row>
  </sheetData>
  <sortState ref="A4:Z443">
    <sortCondition ref="A4:A443"/>
  </sortState>
  <mergeCells count="2">
    <mergeCell ref="A1:B2"/>
    <mergeCell ref="C1:C2"/>
  </mergeCells>
  <pageMargins left="0.70866141732283472" right="0.70866141732283472" top="0.78740157480314965" bottom="0.78740157480314965" header="0.31496062992125984" footer="0.31496062992125984"/>
  <pageSetup paperSize="9" scale="85" fitToWidth="2" orientation="landscape" r:id="rId1"/>
  <headerFooter>
    <oddFooter>&amp;C&amp;Z&amp;F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319D-DAC6-4697-A581-D60A67B03B58}">
  <dimension ref="A1:C5"/>
  <sheetViews>
    <sheetView workbookViewId="0">
      <selection activeCell="C19" sqref="C19"/>
    </sheetView>
  </sheetViews>
  <sheetFormatPr defaultColWidth="11.5546875" defaultRowHeight="15" x14ac:dyDescent="0.2"/>
  <cols>
    <col min="1" max="1" width="15.6640625" style="43" customWidth="1"/>
    <col min="2" max="2" width="51.6640625" style="43" customWidth="1"/>
    <col min="3" max="3" width="56.21875" style="43" bestFit="1" customWidth="1"/>
    <col min="4" max="16384" width="11.5546875" style="43"/>
  </cols>
  <sheetData>
    <row r="1" spans="1:3" ht="24.75" customHeight="1" x14ac:dyDescent="0.2">
      <c r="A1" s="44" t="s">
        <v>340</v>
      </c>
      <c r="B1" s="45" t="s">
        <v>341</v>
      </c>
      <c r="C1" s="46" t="s">
        <v>351</v>
      </c>
    </row>
    <row r="2" spans="1:3" ht="36.75" customHeight="1" x14ac:dyDescent="0.2">
      <c r="A2" s="44" t="s">
        <v>342</v>
      </c>
      <c r="B2" s="45" t="s">
        <v>343</v>
      </c>
      <c r="C2" s="46" t="s">
        <v>350</v>
      </c>
    </row>
    <row r="3" spans="1:3" ht="15.75" x14ac:dyDescent="0.2">
      <c r="A3" s="44" t="s">
        <v>344</v>
      </c>
      <c r="B3" s="45" t="s">
        <v>345</v>
      </c>
      <c r="C3" s="46" t="s">
        <v>352</v>
      </c>
    </row>
    <row r="4" spans="1:3" ht="35.25" customHeight="1" x14ac:dyDescent="0.2">
      <c r="A4" s="44" t="s">
        <v>346</v>
      </c>
      <c r="B4" s="45" t="s">
        <v>347</v>
      </c>
      <c r="C4" s="46"/>
    </row>
    <row r="5" spans="1:3" ht="31.5" x14ac:dyDescent="0.2">
      <c r="A5" s="44" t="s">
        <v>348</v>
      </c>
      <c r="B5" s="45" t="s">
        <v>349</v>
      </c>
      <c r="C5" s="46"/>
    </row>
  </sheetData>
  <sortState ref="A1:C5">
    <sortCondition ref="A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Ergebnisse</vt:lpstr>
      <vt:lpstr>Methoden </vt:lpstr>
      <vt:lpstr>Ergebnisse!Print_Titles</vt:lpstr>
    </vt:vector>
  </TitlesOfParts>
  <Company>Hochschule Geisenheim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Giehl, Anja</dc:creator>
  <cp:lastModifiedBy>Güvencli, Nuri</cp:lastModifiedBy>
  <cp:lastPrinted>2024-12-19T13:16:58Z</cp:lastPrinted>
  <dcterms:created xsi:type="dcterms:W3CDTF">2024-10-01T06:09:12Z</dcterms:created>
  <dcterms:modified xsi:type="dcterms:W3CDTF">2025-04-15T08:58:41Z</dcterms:modified>
</cp:coreProperties>
</file>