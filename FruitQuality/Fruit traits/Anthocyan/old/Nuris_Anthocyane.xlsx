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evenc\Desktop\R_Working_Directory\Fruit traits\Anthocyan\"/>
    </mc:Choice>
  </mc:AlternateContent>
  <xr:revisionPtr revIDLastSave="0" documentId="13_ncr:1_{677D23D2-B339-4A71-AA41-FE6F39647C18}" xr6:coauthVersionLast="36" xr6:coauthVersionMax="47" xr10:uidLastSave="{00000000-0000-0000-0000-000000000000}"/>
  <bookViews>
    <workbookView xWindow="-105" yWindow="-105" windowWidth="23250" windowHeight="12450" activeTab="8" xr2:uid="{EB30DD52-98CB-4CCE-8161-7A2E208EC454}"/>
  </bookViews>
  <sheets>
    <sheet name="1-24" sheetId="1" r:id="rId1"/>
    <sheet name="25-48" sheetId="18" r:id="rId2"/>
    <sheet name="49-72" sheetId="12" r:id="rId3"/>
    <sheet name="73-96" sheetId="13" r:id="rId4"/>
    <sheet name="97-120" sheetId="14" r:id="rId5"/>
    <sheet name="121-144" sheetId="15" r:id="rId6"/>
    <sheet name="145-168" sheetId="16" r:id="rId7"/>
    <sheet name="169-192" sheetId="17" r:id="rId8"/>
    <sheet name="193-202" sheetId="1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8" i="19" l="1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27" i="17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27" i="16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27" i="15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27" i="14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27" i="13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27" i="12"/>
  <c r="N28" i="18"/>
  <c r="N29" i="18"/>
  <c r="N30" i="18"/>
  <c r="N31" i="18"/>
  <c r="N32" i="18"/>
  <c r="N33" i="18"/>
  <c r="N34" i="18"/>
  <c r="N35" i="18"/>
  <c r="N36" i="18"/>
  <c r="N37" i="18"/>
  <c r="N38" i="18"/>
  <c r="N39" i="18"/>
  <c r="N40" i="18"/>
  <c r="N41" i="18"/>
  <c r="N42" i="18"/>
  <c r="N43" i="18"/>
  <c r="N44" i="18"/>
  <c r="N45" i="18"/>
  <c r="N46" i="18"/>
  <c r="N47" i="18"/>
  <c r="N48" i="18"/>
  <c r="N49" i="18"/>
  <c r="N50" i="18"/>
  <c r="N51" i="18"/>
  <c r="N52" i="18"/>
  <c r="N53" i="18"/>
  <c r="N54" i="18"/>
  <c r="N55" i="18"/>
  <c r="N56" i="18"/>
  <c r="N57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1" i="18"/>
  <c r="N72" i="18"/>
  <c r="N73" i="18"/>
  <c r="N74" i="18"/>
  <c r="N75" i="18"/>
  <c r="N76" i="18"/>
  <c r="N77" i="18"/>
  <c r="N78" i="18"/>
  <c r="N79" i="18"/>
  <c r="N80" i="18"/>
  <c r="N81" i="18"/>
  <c r="N82" i="18"/>
  <c r="N83" i="18"/>
  <c r="N84" i="18"/>
  <c r="N85" i="18"/>
  <c r="N86" i="18"/>
  <c r="N87" i="18"/>
  <c r="N88" i="18"/>
  <c r="N89" i="18"/>
  <c r="N90" i="18"/>
  <c r="N91" i="18"/>
  <c r="N92" i="18"/>
  <c r="N93" i="18"/>
  <c r="N94" i="18"/>
  <c r="N95" i="18"/>
  <c r="N96" i="18"/>
  <c r="N97" i="18"/>
  <c r="N98" i="18"/>
  <c r="N27" i="18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27" i="1"/>
  <c r="D27" i="18"/>
  <c r="D30" i="18"/>
  <c r="D33" i="18"/>
  <c r="D36" i="18"/>
  <c r="D39" i="18"/>
  <c r="D42" i="18"/>
  <c r="D45" i="18"/>
  <c r="D48" i="18"/>
  <c r="D51" i="18"/>
  <c r="D54" i="18"/>
  <c r="D57" i="18"/>
  <c r="D60" i="18"/>
  <c r="D63" i="18"/>
  <c r="F102" i="19" l="1"/>
  <c r="F103" i="19" s="1"/>
  <c r="D102" i="19"/>
  <c r="T50" i="19" s="1"/>
  <c r="F99" i="19"/>
  <c r="F101" i="19" s="1"/>
  <c r="D99" i="19"/>
  <c r="F96" i="19"/>
  <c r="F97" i="19" s="1"/>
  <c r="D96" i="19"/>
  <c r="T48" i="19" s="1"/>
  <c r="F90" i="19"/>
  <c r="F91" i="19" s="1"/>
  <c r="D90" i="19"/>
  <c r="T47" i="19" s="1"/>
  <c r="F87" i="19"/>
  <c r="F88" i="19" s="1"/>
  <c r="D87" i="19"/>
  <c r="T46" i="19" s="1"/>
  <c r="F84" i="19"/>
  <c r="F85" i="19" s="1"/>
  <c r="D84" i="19"/>
  <c r="T45" i="19" s="1"/>
  <c r="F81" i="19"/>
  <c r="F82" i="19" s="1"/>
  <c r="D81" i="19"/>
  <c r="T44" i="19" s="1"/>
  <c r="F80" i="19"/>
  <c r="F78" i="19"/>
  <c r="F79" i="19" s="1"/>
  <c r="D78" i="19"/>
  <c r="T43" i="19" s="1"/>
  <c r="F75" i="19"/>
  <c r="F77" i="19" s="1"/>
  <c r="D75" i="19"/>
  <c r="T42" i="19" s="1"/>
  <c r="F72" i="19"/>
  <c r="F74" i="19" s="1"/>
  <c r="D72" i="19"/>
  <c r="T41" i="19" s="1"/>
  <c r="F69" i="19"/>
  <c r="D69" i="19"/>
  <c r="T40" i="19" s="1"/>
  <c r="F63" i="19"/>
  <c r="D63" i="19"/>
  <c r="T39" i="19" s="1"/>
  <c r="F60" i="19"/>
  <c r="F62" i="19" s="1"/>
  <c r="D60" i="19"/>
  <c r="T38" i="19" s="1"/>
  <c r="F57" i="19"/>
  <c r="F58" i="19" s="1"/>
  <c r="D57" i="19"/>
  <c r="T37" i="19" s="1"/>
  <c r="F56" i="19"/>
  <c r="F54" i="19"/>
  <c r="F55" i="19" s="1"/>
  <c r="D54" i="19"/>
  <c r="T36" i="19" s="1"/>
  <c r="F52" i="19"/>
  <c r="F51" i="19"/>
  <c r="F53" i="19" s="1"/>
  <c r="D51" i="19"/>
  <c r="F50" i="19"/>
  <c r="T49" i="19"/>
  <c r="F49" i="19"/>
  <c r="F48" i="19"/>
  <c r="D48" i="19"/>
  <c r="T34" i="19" s="1"/>
  <c r="F45" i="19"/>
  <c r="D45" i="19"/>
  <c r="F44" i="19"/>
  <c r="F43" i="19"/>
  <c r="F42" i="19"/>
  <c r="D42" i="19"/>
  <c r="F40" i="19"/>
  <c r="F39" i="19"/>
  <c r="F41" i="19" s="1"/>
  <c r="D39" i="19"/>
  <c r="T31" i="19" s="1"/>
  <c r="F36" i="19"/>
  <c r="F37" i="19" s="1"/>
  <c r="D36" i="19"/>
  <c r="T30" i="19" s="1"/>
  <c r="T35" i="19"/>
  <c r="T33" i="19"/>
  <c r="F33" i="19"/>
  <c r="F34" i="19" s="1"/>
  <c r="D33" i="19"/>
  <c r="T29" i="19" s="1"/>
  <c r="T32" i="19"/>
  <c r="F30" i="19"/>
  <c r="F31" i="19" s="1"/>
  <c r="D30" i="19"/>
  <c r="T28" i="19" s="1"/>
  <c r="F27" i="19"/>
  <c r="F29" i="19" s="1"/>
  <c r="D27" i="19"/>
  <c r="T27" i="19" s="1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F102" i="18"/>
  <c r="F104" i="18" s="1"/>
  <c r="D102" i="18"/>
  <c r="T50" i="18" s="1"/>
  <c r="F99" i="18"/>
  <c r="F101" i="18" s="1"/>
  <c r="D99" i="18"/>
  <c r="F96" i="18"/>
  <c r="D96" i="18"/>
  <c r="T48" i="18" s="1"/>
  <c r="F91" i="18"/>
  <c r="F90" i="18"/>
  <c r="F92" i="18" s="1"/>
  <c r="D90" i="18"/>
  <c r="T47" i="18" s="1"/>
  <c r="F89" i="18"/>
  <c r="F88" i="18"/>
  <c r="F87" i="18"/>
  <c r="D87" i="18"/>
  <c r="T46" i="18" s="1"/>
  <c r="F86" i="18"/>
  <c r="F85" i="18"/>
  <c r="F84" i="18"/>
  <c r="D84" i="18"/>
  <c r="T45" i="18" s="1"/>
  <c r="F83" i="18"/>
  <c r="F81" i="18"/>
  <c r="F82" i="18" s="1"/>
  <c r="D81" i="18"/>
  <c r="T44" i="18" s="1"/>
  <c r="F79" i="18"/>
  <c r="F78" i="18"/>
  <c r="F80" i="18" s="1"/>
  <c r="D78" i="18"/>
  <c r="T43" i="18" s="1"/>
  <c r="F77" i="18"/>
  <c r="F76" i="18"/>
  <c r="F75" i="18"/>
  <c r="D75" i="18"/>
  <c r="T42" i="18" s="1"/>
  <c r="F72" i="18"/>
  <c r="F74" i="18" s="1"/>
  <c r="D72" i="18"/>
  <c r="T41" i="18" s="1"/>
  <c r="F69" i="18"/>
  <c r="D69" i="18"/>
  <c r="T40" i="18" s="1"/>
  <c r="F64" i="18"/>
  <c r="F63" i="18"/>
  <c r="F65" i="18" s="1"/>
  <c r="F62" i="18"/>
  <c r="F61" i="18"/>
  <c r="F60" i="18"/>
  <c r="F59" i="18"/>
  <c r="F58" i="18"/>
  <c r="F57" i="18"/>
  <c r="F56" i="18"/>
  <c r="F54" i="18"/>
  <c r="F55" i="18" s="1"/>
  <c r="T36" i="18"/>
  <c r="F51" i="18"/>
  <c r="T35" i="18"/>
  <c r="T49" i="18"/>
  <c r="F48" i="18"/>
  <c r="F49" i="18" s="1"/>
  <c r="T34" i="18"/>
  <c r="F47" i="18"/>
  <c r="F46" i="18"/>
  <c r="F45" i="18"/>
  <c r="F42" i="18"/>
  <c r="F44" i="18" s="1"/>
  <c r="F40" i="18"/>
  <c r="T39" i="18"/>
  <c r="F39" i="18"/>
  <c r="F41" i="18" s="1"/>
  <c r="T38" i="18"/>
  <c r="T37" i="18"/>
  <c r="F36" i="18"/>
  <c r="T33" i="18"/>
  <c r="F33" i="18"/>
  <c r="F35" i="18" s="1"/>
  <c r="T29" i="18"/>
  <c r="T32" i="18"/>
  <c r="F32" i="18"/>
  <c r="T31" i="18"/>
  <c r="T30" i="18"/>
  <c r="F30" i="18"/>
  <c r="F31" i="18" s="1"/>
  <c r="F29" i="18"/>
  <c r="T28" i="18"/>
  <c r="F28" i="18"/>
  <c r="T27" i="18"/>
  <c r="F27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F102" i="17"/>
  <c r="F104" i="17" s="1"/>
  <c r="D102" i="17"/>
  <c r="T50" i="17" s="1"/>
  <c r="F99" i="17"/>
  <c r="F101" i="17" s="1"/>
  <c r="D99" i="17"/>
  <c r="F98" i="17"/>
  <c r="F96" i="17"/>
  <c r="F97" i="17" s="1"/>
  <c r="D96" i="17"/>
  <c r="T48" i="17" s="1"/>
  <c r="F90" i="17"/>
  <c r="F92" i="17" s="1"/>
  <c r="D90" i="17"/>
  <c r="T47" i="17" s="1"/>
  <c r="F89" i="17"/>
  <c r="F88" i="17"/>
  <c r="F87" i="17"/>
  <c r="D87" i="17"/>
  <c r="T46" i="17" s="1"/>
  <c r="F86" i="17"/>
  <c r="F84" i="17"/>
  <c r="F85" i="17" s="1"/>
  <c r="D84" i="17"/>
  <c r="T45" i="17" s="1"/>
  <c r="F83" i="17"/>
  <c r="F81" i="17"/>
  <c r="F82" i="17" s="1"/>
  <c r="D81" i="17"/>
  <c r="T44" i="17" s="1"/>
  <c r="F79" i="17"/>
  <c r="F78" i="17"/>
  <c r="F80" i="17" s="1"/>
  <c r="D78" i="17"/>
  <c r="F77" i="17"/>
  <c r="F76" i="17"/>
  <c r="F75" i="17"/>
  <c r="D75" i="17"/>
  <c r="T42" i="17" s="1"/>
  <c r="F72" i="17"/>
  <c r="F73" i="17" s="1"/>
  <c r="D72" i="17"/>
  <c r="F69" i="17"/>
  <c r="F70" i="17" s="1"/>
  <c r="D69" i="17"/>
  <c r="T40" i="17" s="1"/>
  <c r="F64" i="17"/>
  <c r="F63" i="17"/>
  <c r="F65" i="17" s="1"/>
  <c r="D63" i="17"/>
  <c r="T39" i="17" s="1"/>
  <c r="F62" i="17"/>
  <c r="F61" i="17"/>
  <c r="F60" i="17"/>
  <c r="D60" i="17"/>
  <c r="T38" i="17" s="1"/>
  <c r="F57" i="17"/>
  <c r="F58" i="17" s="1"/>
  <c r="D57" i="17"/>
  <c r="T37" i="17" s="1"/>
  <c r="F54" i="17"/>
  <c r="F55" i="17" s="1"/>
  <c r="D54" i="17"/>
  <c r="T36" i="17" s="1"/>
  <c r="F51" i="17"/>
  <c r="F53" i="17" s="1"/>
  <c r="D51" i="17"/>
  <c r="T35" i="17" s="1"/>
  <c r="F50" i="17"/>
  <c r="T49" i="17"/>
  <c r="F48" i="17"/>
  <c r="F49" i="17" s="1"/>
  <c r="D48" i="17"/>
  <c r="T34" i="17" s="1"/>
  <c r="F47" i="17"/>
  <c r="F46" i="17"/>
  <c r="F45" i="17"/>
  <c r="D45" i="17"/>
  <c r="T33" i="17" s="1"/>
  <c r="F44" i="17"/>
  <c r="T43" i="17"/>
  <c r="F42" i="17"/>
  <c r="F43" i="17" s="1"/>
  <c r="D42" i="17"/>
  <c r="T32" i="17" s="1"/>
  <c r="T41" i="17"/>
  <c r="F40" i="17"/>
  <c r="F39" i="17"/>
  <c r="F41" i="17" s="1"/>
  <c r="D39" i="17"/>
  <c r="F36" i="17"/>
  <c r="D36" i="17"/>
  <c r="T30" i="17" s="1"/>
  <c r="F34" i="17"/>
  <c r="F33" i="17"/>
  <c r="F35" i="17" s="1"/>
  <c r="D33" i="17"/>
  <c r="F32" i="17"/>
  <c r="T31" i="17"/>
  <c r="F30" i="17"/>
  <c r="F31" i="17" s="1"/>
  <c r="D30" i="17"/>
  <c r="T29" i="17"/>
  <c r="T28" i="17"/>
  <c r="F28" i="17"/>
  <c r="T27" i="17"/>
  <c r="F27" i="17"/>
  <c r="F29" i="17" s="1"/>
  <c r="D27" i="17"/>
  <c r="K13" i="17"/>
  <c r="J13" i="17"/>
  <c r="K12" i="17"/>
  <c r="J12" i="17"/>
  <c r="K11" i="17"/>
  <c r="K14" i="17" s="1"/>
  <c r="K96" i="17" s="1"/>
  <c r="J11" i="17"/>
  <c r="J14" i="17" s="1"/>
  <c r="J36" i="17" s="1"/>
  <c r="K10" i="17"/>
  <c r="J10" i="17"/>
  <c r="K9" i="17"/>
  <c r="J9" i="17"/>
  <c r="K8" i="17"/>
  <c r="J8" i="17"/>
  <c r="K7" i="17"/>
  <c r="J7" i="17"/>
  <c r="K6" i="17"/>
  <c r="J6" i="17"/>
  <c r="F102" i="16"/>
  <c r="F104" i="16" s="1"/>
  <c r="D102" i="16"/>
  <c r="T50" i="16" s="1"/>
  <c r="F99" i="16"/>
  <c r="F100" i="16" s="1"/>
  <c r="D99" i="16"/>
  <c r="T49" i="16" s="1"/>
  <c r="F98" i="16"/>
  <c r="F97" i="16"/>
  <c r="F96" i="16"/>
  <c r="D96" i="16"/>
  <c r="T48" i="16" s="1"/>
  <c r="F90" i="16"/>
  <c r="D90" i="16"/>
  <c r="T47" i="16" s="1"/>
  <c r="F89" i="16"/>
  <c r="F87" i="16"/>
  <c r="F88" i="16" s="1"/>
  <c r="D87" i="16"/>
  <c r="T46" i="16" s="1"/>
  <c r="F84" i="16"/>
  <c r="D84" i="16"/>
  <c r="T45" i="16" s="1"/>
  <c r="F83" i="16"/>
  <c r="F82" i="16"/>
  <c r="F81" i="16"/>
  <c r="D81" i="16"/>
  <c r="T44" i="16" s="1"/>
  <c r="F78" i="16"/>
  <c r="D78" i="16"/>
  <c r="T43" i="16" s="1"/>
  <c r="F77" i="16"/>
  <c r="F75" i="16"/>
  <c r="F76" i="16" s="1"/>
  <c r="D75" i="16"/>
  <c r="T42" i="16" s="1"/>
  <c r="F74" i="16"/>
  <c r="F72" i="16"/>
  <c r="F73" i="16" s="1"/>
  <c r="D72" i="16"/>
  <c r="T41" i="16" s="1"/>
  <c r="F71" i="16"/>
  <c r="F70" i="16"/>
  <c r="F69" i="16"/>
  <c r="D69" i="16"/>
  <c r="F64" i="16"/>
  <c r="F63" i="16"/>
  <c r="F65" i="16" s="1"/>
  <c r="D63" i="16"/>
  <c r="T39" i="16" s="1"/>
  <c r="F60" i="16"/>
  <c r="D60" i="16"/>
  <c r="T38" i="16" s="1"/>
  <c r="F57" i="16"/>
  <c r="D57" i="16"/>
  <c r="T37" i="16" s="1"/>
  <c r="F56" i="16"/>
  <c r="F55" i="16"/>
  <c r="F54" i="16"/>
  <c r="D54" i="16"/>
  <c r="T36" i="16" s="1"/>
  <c r="F51" i="16"/>
  <c r="D51" i="16"/>
  <c r="F48" i="16"/>
  <c r="D48" i="16"/>
  <c r="T34" i="16" s="1"/>
  <c r="F47" i="16"/>
  <c r="F46" i="16"/>
  <c r="F45" i="16"/>
  <c r="D45" i="16"/>
  <c r="T33" i="16" s="1"/>
  <c r="F44" i="16"/>
  <c r="F43" i="16"/>
  <c r="F42" i="16"/>
  <c r="D42" i="16"/>
  <c r="T32" i="16" s="1"/>
  <c r="T40" i="16"/>
  <c r="F40" i="16"/>
  <c r="F39" i="16"/>
  <c r="F41" i="16" s="1"/>
  <c r="D39" i="16"/>
  <c r="T31" i="16" s="1"/>
  <c r="F36" i="16"/>
  <c r="F37" i="16" s="1"/>
  <c r="D36" i="16"/>
  <c r="T30" i="16" s="1"/>
  <c r="T35" i="16"/>
  <c r="F35" i="16"/>
  <c r="F33" i="16"/>
  <c r="F34" i="16" s="1"/>
  <c r="D33" i="16"/>
  <c r="T29" i="16" s="1"/>
  <c r="F30" i="16"/>
  <c r="D30" i="16"/>
  <c r="T28" i="16" s="1"/>
  <c r="F29" i="16"/>
  <c r="F28" i="16"/>
  <c r="F27" i="16"/>
  <c r="D27" i="16"/>
  <c r="T27" i="16" s="1"/>
  <c r="K13" i="16"/>
  <c r="J13" i="16"/>
  <c r="K12" i="16"/>
  <c r="J12" i="16"/>
  <c r="K11" i="16"/>
  <c r="K14" i="16" s="1"/>
  <c r="K53" i="16" s="1"/>
  <c r="J11" i="16"/>
  <c r="J14" i="16" s="1"/>
  <c r="J83" i="16" s="1"/>
  <c r="K10" i="16"/>
  <c r="J10" i="16"/>
  <c r="K9" i="16"/>
  <c r="J9" i="16"/>
  <c r="K8" i="16"/>
  <c r="J8" i="16"/>
  <c r="K7" i="16"/>
  <c r="J7" i="16"/>
  <c r="K6" i="16"/>
  <c r="J6" i="16"/>
  <c r="F102" i="15"/>
  <c r="F104" i="15" s="1"/>
  <c r="D102" i="15"/>
  <c r="F99" i="15"/>
  <c r="F100" i="15" s="1"/>
  <c r="D99" i="15"/>
  <c r="T49" i="15" s="1"/>
  <c r="F98" i="15"/>
  <c r="F97" i="15"/>
  <c r="F96" i="15"/>
  <c r="D96" i="15"/>
  <c r="T48" i="15" s="1"/>
  <c r="F90" i="15"/>
  <c r="D90" i="15"/>
  <c r="T47" i="15" s="1"/>
  <c r="F87" i="15"/>
  <c r="D87" i="15"/>
  <c r="F86" i="15"/>
  <c r="F85" i="15"/>
  <c r="F84" i="15"/>
  <c r="D84" i="15"/>
  <c r="F83" i="15"/>
  <c r="F82" i="15"/>
  <c r="F81" i="15"/>
  <c r="D81" i="15"/>
  <c r="T44" i="15" s="1"/>
  <c r="F78" i="15"/>
  <c r="D78" i="15"/>
  <c r="T43" i="15" s="1"/>
  <c r="F75" i="15"/>
  <c r="D75" i="15"/>
  <c r="F74" i="15"/>
  <c r="F73" i="15"/>
  <c r="F72" i="15"/>
  <c r="D72" i="15"/>
  <c r="T41" i="15" s="1"/>
  <c r="F71" i="15"/>
  <c r="F70" i="15"/>
  <c r="F69" i="15"/>
  <c r="D69" i="15"/>
  <c r="T40" i="15" s="1"/>
  <c r="F65" i="15"/>
  <c r="F64" i="15"/>
  <c r="F63" i="15"/>
  <c r="D63" i="15"/>
  <c r="T39" i="15" s="1"/>
  <c r="F62" i="15"/>
  <c r="F61" i="15"/>
  <c r="F60" i="15"/>
  <c r="D60" i="15"/>
  <c r="T38" i="15" s="1"/>
  <c r="F57" i="15"/>
  <c r="F59" i="15" s="1"/>
  <c r="D57" i="15"/>
  <c r="T37" i="15" s="1"/>
  <c r="F56" i="15"/>
  <c r="F54" i="15"/>
  <c r="F55" i="15" s="1"/>
  <c r="D54" i="15"/>
  <c r="T36" i="15" s="1"/>
  <c r="F53" i="15"/>
  <c r="F52" i="15"/>
  <c r="F51" i="15"/>
  <c r="D51" i="15"/>
  <c r="T35" i="15" s="1"/>
  <c r="T50" i="15"/>
  <c r="F50" i="15"/>
  <c r="F49" i="15"/>
  <c r="F48" i="15"/>
  <c r="D48" i="15"/>
  <c r="T34" i="15" s="1"/>
  <c r="F47" i="15"/>
  <c r="T46" i="15"/>
  <c r="F46" i="15"/>
  <c r="T45" i="15"/>
  <c r="F45" i="15"/>
  <c r="D45" i="15"/>
  <c r="T33" i="15" s="1"/>
  <c r="F44" i="15"/>
  <c r="F43" i="15"/>
  <c r="T42" i="15"/>
  <c r="F42" i="15"/>
  <c r="D42" i="15"/>
  <c r="T32" i="15" s="1"/>
  <c r="F41" i="15"/>
  <c r="F40" i="15"/>
  <c r="F39" i="15"/>
  <c r="D39" i="15"/>
  <c r="F37" i="15"/>
  <c r="F36" i="15"/>
  <c r="F38" i="15" s="1"/>
  <c r="D36" i="15"/>
  <c r="T30" i="15" s="1"/>
  <c r="F33" i="15"/>
  <c r="F35" i="15" s="1"/>
  <c r="D33" i="15"/>
  <c r="T31" i="15"/>
  <c r="F30" i="15"/>
  <c r="D30" i="15"/>
  <c r="T29" i="15"/>
  <c r="T28" i="15"/>
  <c r="F27" i="15"/>
  <c r="F29" i="15" s="1"/>
  <c r="D27" i="15"/>
  <c r="T27" i="15" s="1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F102" i="14"/>
  <c r="F104" i="14" s="1"/>
  <c r="D102" i="14"/>
  <c r="T50" i="14" s="1"/>
  <c r="F99" i="14"/>
  <c r="F101" i="14" s="1"/>
  <c r="D99" i="14"/>
  <c r="T49" i="14" s="1"/>
  <c r="F98" i="14"/>
  <c r="F96" i="14"/>
  <c r="F97" i="14" s="1"/>
  <c r="D96" i="14"/>
  <c r="T48" i="14" s="1"/>
  <c r="F90" i="14"/>
  <c r="D90" i="14"/>
  <c r="T47" i="14" s="1"/>
  <c r="F89" i="14"/>
  <c r="F88" i="14"/>
  <c r="F87" i="14"/>
  <c r="D87" i="14"/>
  <c r="T46" i="14" s="1"/>
  <c r="F86" i="14"/>
  <c r="F85" i="14"/>
  <c r="F84" i="14"/>
  <c r="D84" i="14"/>
  <c r="F83" i="14"/>
  <c r="F81" i="14"/>
  <c r="F82" i="14" s="1"/>
  <c r="D81" i="14"/>
  <c r="T44" i="14" s="1"/>
  <c r="F78" i="14"/>
  <c r="D78" i="14"/>
  <c r="F77" i="14"/>
  <c r="F76" i="14"/>
  <c r="F75" i="14"/>
  <c r="D75" i="14"/>
  <c r="T42" i="14" s="1"/>
  <c r="F74" i="14"/>
  <c r="F73" i="14"/>
  <c r="F72" i="14"/>
  <c r="D72" i="14"/>
  <c r="T41" i="14" s="1"/>
  <c r="F69" i="14"/>
  <c r="D69" i="14"/>
  <c r="T40" i="14" s="1"/>
  <c r="F63" i="14"/>
  <c r="D63" i="14"/>
  <c r="T39" i="14" s="1"/>
  <c r="F62" i="14"/>
  <c r="F61" i="14"/>
  <c r="F60" i="14"/>
  <c r="D60" i="14"/>
  <c r="T38" i="14" s="1"/>
  <c r="F59" i="14"/>
  <c r="F58" i="14"/>
  <c r="F57" i="14"/>
  <c r="D57" i="14"/>
  <c r="T37" i="14" s="1"/>
  <c r="F54" i="14"/>
  <c r="D54" i="14"/>
  <c r="T36" i="14" s="1"/>
  <c r="F52" i="14"/>
  <c r="F51" i="14"/>
  <c r="F53" i="14" s="1"/>
  <c r="D51" i="14"/>
  <c r="F50" i="14"/>
  <c r="F49" i="14"/>
  <c r="F48" i="14"/>
  <c r="D48" i="14"/>
  <c r="T34" i="14" s="1"/>
  <c r="F47" i="14"/>
  <c r="F46" i="14"/>
  <c r="T45" i="14"/>
  <c r="F45" i="14"/>
  <c r="D45" i="14"/>
  <c r="T33" i="14" s="1"/>
  <c r="F44" i="14"/>
  <c r="T43" i="14"/>
  <c r="F43" i="14"/>
  <c r="F42" i="14"/>
  <c r="D42" i="14"/>
  <c r="F40" i="14"/>
  <c r="F39" i="14"/>
  <c r="F41" i="14" s="1"/>
  <c r="D39" i="14"/>
  <c r="F36" i="14"/>
  <c r="D36" i="14"/>
  <c r="T30" i="14" s="1"/>
  <c r="T35" i="14"/>
  <c r="F34" i="14"/>
  <c r="F33" i="14"/>
  <c r="F35" i="14" s="1"/>
  <c r="D33" i="14"/>
  <c r="T32" i="14"/>
  <c r="T31" i="14"/>
  <c r="F30" i="14"/>
  <c r="F31" i="14" s="1"/>
  <c r="D30" i="14"/>
  <c r="T29" i="14"/>
  <c r="T28" i="14"/>
  <c r="F28" i="14"/>
  <c r="F27" i="14"/>
  <c r="F29" i="14" s="1"/>
  <c r="D27" i="14"/>
  <c r="T27" i="14" s="1"/>
  <c r="K13" i="14"/>
  <c r="J13" i="14"/>
  <c r="K12" i="14"/>
  <c r="J12" i="14"/>
  <c r="K11" i="14"/>
  <c r="K14" i="14" s="1"/>
  <c r="K49" i="14" s="1"/>
  <c r="J11" i="14"/>
  <c r="J14" i="14" s="1"/>
  <c r="J36" i="14" s="1"/>
  <c r="K10" i="14"/>
  <c r="J10" i="14"/>
  <c r="K9" i="14"/>
  <c r="J9" i="14"/>
  <c r="K8" i="14"/>
  <c r="J8" i="14"/>
  <c r="K7" i="14"/>
  <c r="J7" i="14"/>
  <c r="K6" i="14"/>
  <c r="J6" i="14"/>
  <c r="F102" i="13"/>
  <c r="D102" i="13"/>
  <c r="T50" i="13" s="1"/>
  <c r="F99" i="13"/>
  <c r="F101" i="13" s="1"/>
  <c r="D99" i="13"/>
  <c r="T49" i="13" s="1"/>
  <c r="F98" i="13"/>
  <c r="F96" i="13"/>
  <c r="F97" i="13" s="1"/>
  <c r="D96" i="13"/>
  <c r="F91" i="13"/>
  <c r="F90" i="13"/>
  <c r="F92" i="13" s="1"/>
  <c r="D90" i="13"/>
  <c r="T47" i="13" s="1"/>
  <c r="F89" i="13"/>
  <c r="F87" i="13"/>
  <c r="F88" i="13" s="1"/>
  <c r="D87" i="13"/>
  <c r="T46" i="13" s="1"/>
  <c r="J85" i="13"/>
  <c r="F85" i="13"/>
  <c r="F84" i="13"/>
  <c r="F86" i="13" s="1"/>
  <c r="D84" i="13"/>
  <c r="T45" i="13" s="1"/>
  <c r="F83" i="13"/>
  <c r="F82" i="13"/>
  <c r="F81" i="13"/>
  <c r="D81" i="13"/>
  <c r="F78" i="13"/>
  <c r="D78" i="13"/>
  <c r="T43" i="13" s="1"/>
  <c r="F75" i="13"/>
  <c r="F76" i="13" s="1"/>
  <c r="D75" i="13"/>
  <c r="T42" i="13" s="1"/>
  <c r="F72" i="13"/>
  <c r="F74" i="13" s="1"/>
  <c r="D72" i="13"/>
  <c r="T41" i="13" s="1"/>
  <c r="F71" i="13"/>
  <c r="F70" i="13"/>
  <c r="F69" i="13"/>
  <c r="D69" i="13"/>
  <c r="T40" i="13" s="1"/>
  <c r="K63" i="13"/>
  <c r="J63" i="13"/>
  <c r="M63" i="13" s="1"/>
  <c r="O63" i="13" s="1"/>
  <c r="P63" i="13" s="1"/>
  <c r="F63" i="13"/>
  <c r="D63" i="13"/>
  <c r="T39" i="13" s="1"/>
  <c r="F60" i="13"/>
  <c r="D60" i="13"/>
  <c r="T38" i="13" s="1"/>
  <c r="F59" i="13"/>
  <c r="F58" i="13"/>
  <c r="F57" i="13"/>
  <c r="D57" i="13"/>
  <c r="T37" i="13" s="1"/>
  <c r="F54" i="13"/>
  <c r="F55" i="13" s="1"/>
  <c r="D54" i="13"/>
  <c r="T36" i="13" s="1"/>
  <c r="F51" i="13"/>
  <c r="D51" i="13"/>
  <c r="T35" i="13" s="1"/>
  <c r="F49" i="13"/>
  <c r="T48" i="13"/>
  <c r="F48" i="13"/>
  <c r="F50" i="13" s="1"/>
  <c r="D48" i="13"/>
  <c r="T34" i="13" s="1"/>
  <c r="F47" i="13"/>
  <c r="F46" i="13"/>
  <c r="F45" i="13"/>
  <c r="D45" i="13"/>
  <c r="T44" i="13"/>
  <c r="F44" i="13"/>
  <c r="F43" i="13"/>
  <c r="F42" i="13"/>
  <c r="D42" i="13"/>
  <c r="T32" i="13" s="1"/>
  <c r="F39" i="13"/>
  <c r="D39" i="13"/>
  <c r="T31" i="13" s="1"/>
  <c r="F36" i="13"/>
  <c r="D36" i="13"/>
  <c r="T30" i="13" s="1"/>
  <c r="F35" i="13"/>
  <c r="F34" i="13"/>
  <c r="T33" i="13"/>
  <c r="F33" i="13"/>
  <c r="D33" i="13"/>
  <c r="F32" i="13"/>
  <c r="F31" i="13"/>
  <c r="F30" i="13"/>
  <c r="D30" i="13"/>
  <c r="T28" i="13" s="1"/>
  <c r="T29" i="13"/>
  <c r="K28" i="13"/>
  <c r="F28" i="13"/>
  <c r="F27" i="13"/>
  <c r="F29" i="13" s="1"/>
  <c r="D27" i="13"/>
  <c r="T27" i="13" s="1"/>
  <c r="K13" i="13"/>
  <c r="J13" i="13"/>
  <c r="K12" i="13"/>
  <c r="J12" i="13"/>
  <c r="K11" i="13"/>
  <c r="K14" i="13" s="1"/>
  <c r="K32" i="13" s="1"/>
  <c r="J11" i="13"/>
  <c r="J14" i="13" s="1"/>
  <c r="J47" i="13" s="1"/>
  <c r="K10" i="13"/>
  <c r="N10" i="13" s="1"/>
  <c r="J10" i="13"/>
  <c r="K9" i="13"/>
  <c r="N9" i="13" s="1"/>
  <c r="J9" i="13"/>
  <c r="K8" i="13"/>
  <c r="J8" i="13"/>
  <c r="K7" i="13"/>
  <c r="J7" i="13"/>
  <c r="K6" i="13"/>
  <c r="J6" i="13"/>
  <c r="F104" i="12"/>
  <c r="F103" i="12"/>
  <c r="F102" i="12"/>
  <c r="D102" i="12"/>
  <c r="T50" i="12" s="1"/>
  <c r="F99" i="12"/>
  <c r="F101" i="12" s="1"/>
  <c r="D99" i="12"/>
  <c r="T49" i="12" s="1"/>
  <c r="F98" i="12"/>
  <c r="F97" i="12"/>
  <c r="F96" i="12"/>
  <c r="D96" i="12"/>
  <c r="F90" i="12"/>
  <c r="F91" i="12" s="1"/>
  <c r="D90" i="12"/>
  <c r="F89" i="12"/>
  <c r="F88" i="12"/>
  <c r="F87" i="12"/>
  <c r="D87" i="12"/>
  <c r="F85" i="12"/>
  <c r="F84" i="12"/>
  <c r="F86" i="12" s="1"/>
  <c r="D84" i="12"/>
  <c r="F81" i="12"/>
  <c r="D81" i="12"/>
  <c r="T44" i="12" s="1"/>
  <c r="F78" i="12"/>
  <c r="D78" i="12"/>
  <c r="T43" i="12" s="1"/>
  <c r="F77" i="12"/>
  <c r="F76" i="12"/>
  <c r="F75" i="12"/>
  <c r="D75" i="12"/>
  <c r="F73" i="12"/>
  <c r="F72" i="12"/>
  <c r="F74" i="12" s="1"/>
  <c r="D72" i="12"/>
  <c r="T41" i="12" s="1"/>
  <c r="F69" i="12"/>
  <c r="D69" i="12"/>
  <c r="T40" i="12" s="1"/>
  <c r="F65" i="12"/>
  <c r="F63" i="12"/>
  <c r="F64" i="12" s="1"/>
  <c r="D63" i="12"/>
  <c r="T39" i="12" s="1"/>
  <c r="F62" i="12"/>
  <c r="F61" i="12"/>
  <c r="F60" i="12"/>
  <c r="D60" i="12"/>
  <c r="T38" i="12" s="1"/>
  <c r="F59" i="12"/>
  <c r="F58" i="12"/>
  <c r="F57" i="12"/>
  <c r="D57" i="12"/>
  <c r="F54" i="12"/>
  <c r="D54" i="12"/>
  <c r="T36" i="12" s="1"/>
  <c r="F51" i="12"/>
  <c r="D51" i="12"/>
  <c r="T35" i="12" s="1"/>
  <c r="F49" i="12"/>
  <c r="T48" i="12"/>
  <c r="F48" i="12"/>
  <c r="F50" i="12" s="1"/>
  <c r="D48" i="12"/>
  <c r="T47" i="12"/>
  <c r="T46" i="12"/>
  <c r="T45" i="12"/>
  <c r="F45" i="12"/>
  <c r="D45" i="12"/>
  <c r="T33" i="12" s="1"/>
  <c r="T42" i="12"/>
  <c r="F42" i="12"/>
  <c r="D42" i="12"/>
  <c r="T32" i="12" s="1"/>
  <c r="F41" i="12"/>
  <c r="F40" i="12"/>
  <c r="F39" i="12"/>
  <c r="D39" i="12"/>
  <c r="T37" i="12"/>
  <c r="F36" i="12"/>
  <c r="D36" i="12"/>
  <c r="T30" i="12" s="1"/>
  <c r="T34" i="12"/>
  <c r="F34" i="12"/>
  <c r="F33" i="12"/>
  <c r="F35" i="12" s="1"/>
  <c r="D33" i="12"/>
  <c r="T29" i="12" s="1"/>
  <c r="F32" i="12"/>
  <c r="T31" i="12"/>
  <c r="F30" i="12"/>
  <c r="F31" i="12" s="1"/>
  <c r="D30" i="12"/>
  <c r="F29" i="12"/>
  <c r="T28" i="12"/>
  <c r="F28" i="12"/>
  <c r="F27" i="12"/>
  <c r="D27" i="12"/>
  <c r="T27" i="12" s="1"/>
  <c r="K13" i="12"/>
  <c r="J13" i="12"/>
  <c r="K12" i="12"/>
  <c r="J12" i="12"/>
  <c r="K11" i="12"/>
  <c r="K14" i="12" s="1"/>
  <c r="K54" i="12" s="1"/>
  <c r="J11" i="12"/>
  <c r="K10" i="12"/>
  <c r="J10" i="12"/>
  <c r="K9" i="12"/>
  <c r="J9" i="12"/>
  <c r="K8" i="12"/>
  <c r="J8" i="12"/>
  <c r="K7" i="12"/>
  <c r="J7" i="12"/>
  <c r="K6" i="12"/>
  <c r="J6" i="12"/>
  <c r="K9" i="1"/>
  <c r="J9" i="1"/>
  <c r="K8" i="1"/>
  <c r="J8" i="1"/>
  <c r="K6" i="1"/>
  <c r="J6" i="1"/>
  <c r="F61" i="19" l="1"/>
  <c r="F89" i="19"/>
  <c r="F92" i="19"/>
  <c r="F76" i="19"/>
  <c r="F83" i="19"/>
  <c r="F73" i="19"/>
  <c r="F104" i="19"/>
  <c r="J14" i="19"/>
  <c r="M9" i="19" s="1"/>
  <c r="P10" i="19" s="1"/>
  <c r="J46" i="17"/>
  <c r="M8" i="17"/>
  <c r="P9" i="17" s="1"/>
  <c r="J68" i="17"/>
  <c r="J47" i="17"/>
  <c r="M9" i="17"/>
  <c r="P10" i="17" s="1"/>
  <c r="M6" i="16"/>
  <c r="P7" i="16" s="1"/>
  <c r="J14" i="15"/>
  <c r="J84" i="15" s="1"/>
  <c r="K14" i="15"/>
  <c r="K34" i="15" s="1"/>
  <c r="N8" i="14"/>
  <c r="N9" i="14"/>
  <c r="J98" i="14"/>
  <c r="J43" i="14"/>
  <c r="K98" i="14"/>
  <c r="K43" i="14"/>
  <c r="J58" i="14"/>
  <c r="J59" i="14"/>
  <c r="K59" i="14"/>
  <c r="M7" i="13"/>
  <c r="P8" i="13" s="1"/>
  <c r="N7" i="13"/>
  <c r="M8" i="13"/>
  <c r="P9" i="13" s="1"/>
  <c r="N8" i="13"/>
  <c r="M9" i="13"/>
  <c r="P10" i="13" s="1"/>
  <c r="K37" i="13"/>
  <c r="K94" i="13"/>
  <c r="K27" i="13"/>
  <c r="K56" i="13"/>
  <c r="J49" i="13"/>
  <c r="J71" i="13"/>
  <c r="J94" i="13"/>
  <c r="M94" i="13" s="1"/>
  <c r="O94" i="13" s="1"/>
  <c r="J56" i="13"/>
  <c r="M56" i="13" s="1"/>
  <c r="O56" i="13" s="1"/>
  <c r="K49" i="13"/>
  <c r="K53" i="13"/>
  <c r="K92" i="13"/>
  <c r="K72" i="13"/>
  <c r="J27" i="13"/>
  <c r="M27" i="13" s="1"/>
  <c r="O27" i="13" s="1"/>
  <c r="P27" i="13" s="1"/>
  <c r="N6" i="13"/>
  <c r="J28" i="13"/>
  <c r="M28" i="13" s="1"/>
  <c r="O28" i="13" s="1"/>
  <c r="P28" i="13" s="1"/>
  <c r="K85" i="12"/>
  <c r="K50" i="12"/>
  <c r="K36" i="12"/>
  <c r="K55" i="12"/>
  <c r="K73" i="12"/>
  <c r="K93" i="12"/>
  <c r="K28" i="12"/>
  <c r="N7" i="12"/>
  <c r="K62" i="12"/>
  <c r="N10" i="12"/>
  <c r="J14" i="12"/>
  <c r="J67" i="12" s="1"/>
  <c r="J43" i="19"/>
  <c r="J30" i="19"/>
  <c r="M6" i="19"/>
  <c r="P7" i="19" s="1"/>
  <c r="J57" i="19"/>
  <c r="J59" i="19"/>
  <c r="J92" i="19"/>
  <c r="J37" i="19"/>
  <c r="J38" i="19"/>
  <c r="J96" i="17"/>
  <c r="M96" i="17" s="1"/>
  <c r="O96" i="17" s="1"/>
  <c r="P96" i="17" s="1"/>
  <c r="K53" i="17"/>
  <c r="K78" i="17"/>
  <c r="M7" i="17"/>
  <c r="P8" i="17" s="1"/>
  <c r="J47" i="16"/>
  <c r="J64" i="16"/>
  <c r="J35" i="16"/>
  <c r="K64" i="16"/>
  <c r="K94" i="16"/>
  <c r="J95" i="16"/>
  <c r="M7" i="16"/>
  <c r="P8" i="16" s="1"/>
  <c r="J43" i="16"/>
  <c r="J30" i="16"/>
  <c r="K43" i="16"/>
  <c r="K30" i="16"/>
  <c r="K47" i="16"/>
  <c r="J51" i="16"/>
  <c r="N6" i="16"/>
  <c r="J77" i="16"/>
  <c r="K36" i="14"/>
  <c r="M36" i="14" s="1"/>
  <c r="O36" i="14" s="1"/>
  <c r="P36" i="14" s="1"/>
  <c r="J78" i="13"/>
  <c r="J32" i="13"/>
  <c r="M32" i="13" s="1"/>
  <c r="O32" i="13" s="1"/>
  <c r="P32" i="13" s="1"/>
  <c r="K78" i="13"/>
  <c r="K45" i="12"/>
  <c r="K39" i="12"/>
  <c r="K48" i="12"/>
  <c r="K61" i="12"/>
  <c r="K31" i="12"/>
  <c r="K41" i="12"/>
  <c r="K78" i="12"/>
  <c r="J66" i="12"/>
  <c r="J81" i="12"/>
  <c r="K34" i="12"/>
  <c r="K66" i="12"/>
  <c r="K82" i="12"/>
  <c r="J14" i="18"/>
  <c r="J96" i="18" s="1"/>
  <c r="K14" i="18"/>
  <c r="K94" i="18" s="1"/>
  <c r="K83" i="18"/>
  <c r="K64" i="18"/>
  <c r="F28" i="19"/>
  <c r="F38" i="19"/>
  <c r="F98" i="19"/>
  <c r="F32" i="19"/>
  <c r="J82" i="19"/>
  <c r="J75" i="19"/>
  <c r="J70" i="19"/>
  <c r="J39" i="19"/>
  <c r="J60" i="19"/>
  <c r="J88" i="19"/>
  <c r="J85" i="19"/>
  <c r="J29" i="19"/>
  <c r="J91" i="19"/>
  <c r="J78" i="19"/>
  <c r="J64" i="19"/>
  <c r="J61" i="19"/>
  <c r="J58" i="19"/>
  <c r="K14" i="19"/>
  <c r="N10" i="19" s="1"/>
  <c r="F35" i="19"/>
  <c r="F86" i="19"/>
  <c r="F47" i="19"/>
  <c r="F46" i="19"/>
  <c r="F59" i="19"/>
  <c r="F65" i="19"/>
  <c r="F64" i="19"/>
  <c r="F70" i="19"/>
  <c r="F71" i="19"/>
  <c r="F100" i="19"/>
  <c r="F53" i="18"/>
  <c r="F52" i="18"/>
  <c r="F97" i="18"/>
  <c r="F98" i="18"/>
  <c r="F73" i="18"/>
  <c r="K87" i="18"/>
  <c r="K82" i="18"/>
  <c r="K33" i="18"/>
  <c r="K88" i="18"/>
  <c r="K67" i="18"/>
  <c r="K47" i="18"/>
  <c r="F34" i="18"/>
  <c r="F50" i="18"/>
  <c r="F70" i="18"/>
  <c r="F71" i="18"/>
  <c r="F43" i="18"/>
  <c r="F37" i="18"/>
  <c r="F38" i="18"/>
  <c r="F100" i="18"/>
  <c r="F103" i="18"/>
  <c r="F37" i="17"/>
  <c r="F38" i="17"/>
  <c r="K68" i="17"/>
  <c r="M68" i="17" s="1"/>
  <c r="O68" i="17" s="1"/>
  <c r="P68" i="17" s="1"/>
  <c r="N6" i="17"/>
  <c r="N7" i="17"/>
  <c r="K71" i="17"/>
  <c r="M47" i="17"/>
  <c r="O47" i="17" s="1"/>
  <c r="P47" i="17" s="1"/>
  <c r="N9" i="17"/>
  <c r="J97" i="17"/>
  <c r="J65" i="17"/>
  <c r="J53" i="17"/>
  <c r="J41" i="17"/>
  <c r="J37" i="17"/>
  <c r="J89" i="17"/>
  <c r="J29" i="17"/>
  <c r="J79" i="17"/>
  <c r="J87" i="17"/>
  <c r="J82" i="17"/>
  <c r="J75" i="17"/>
  <c r="J70" i="17"/>
  <c r="J39" i="17"/>
  <c r="J94" i="17"/>
  <c r="J77" i="17"/>
  <c r="J60" i="17"/>
  <c r="J55" i="17"/>
  <c r="J35" i="17"/>
  <c r="J31" i="17"/>
  <c r="J33" i="17"/>
  <c r="J67" i="17"/>
  <c r="J62" i="17"/>
  <c r="J27" i="17"/>
  <c r="J91" i="17"/>
  <c r="J84" i="17"/>
  <c r="J72" i="17"/>
  <c r="J78" i="17"/>
  <c r="J71" i="17"/>
  <c r="J52" i="17"/>
  <c r="J73" i="17"/>
  <c r="J34" i="17"/>
  <c r="J80" i="17"/>
  <c r="J69" i="17"/>
  <c r="J51" i="17"/>
  <c r="J42" i="17"/>
  <c r="M42" i="17" s="1"/>
  <c r="O42" i="17" s="1"/>
  <c r="P42" i="17" s="1"/>
  <c r="J58" i="17"/>
  <c r="M6" i="17"/>
  <c r="P7" i="17" s="1"/>
  <c r="J83" i="17"/>
  <c r="J64" i="17"/>
  <c r="M64" i="17" s="1"/>
  <c r="O64" i="17" s="1"/>
  <c r="P64" i="17" s="1"/>
  <c r="J57" i="17"/>
  <c r="M57" i="17" s="1"/>
  <c r="O57" i="17" s="1"/>
  <c r="P57" i="17" s="1"/>
  <c r="J93" i="17"/>
  <c r="J88" i="17"/>
  <c r="J85" i="17"/>
  <c r="J38" i="17"/>
  <c r="J98" i="17"/>
  <c r="J76" i="17"/>
  <c r="J45" i="17"/>
  <c r="J54" i="17"/>
  <c r="M54" i="17" s="1"/>
  <c r="O54" i="17" s="1"/>
  <c r="P54" i="17" s="1"/>
  <c r="J86" i="17"/>
  <c r="J28" i="17"/>
  <c r="J44" i="17"/>
  <c r="J92" i="17"/>
  <c r="M92" i="17" s="1"/>
  <c r="O92" i="17" s="1"/>
  <c r="P92" i="17" s="1"/>
  <c r="J81" i="17"/>
  <c r="M81" i="17" s="1"/>
  <c r="O81" i="17" s="1"/>
  <c r="P81" i="17" s="1"/>
  <c r="J74" i="17"/>
  <c r="M74" i="17" s="1"/>
  <c r="O74" i="17" s="1"/>
  <c r="P74" i="17" s="1"/>
  <c r="J63" i="17"/>
  <c r="M63" i="17" s="1"/>
  <c r="O63" i="17" s="1"/>
  <c r="P63" i="17" s="1"/>
  <c r="J56" i="17"/>
  <c r="M56" i="17" s="1"/>
  <c r="O56" i="17" s="1"/>
  <c r="J49" i="17"/>
  <c r="M49" i="17" s="1"/>
  <c r="O49" i="17" s="1"/>
  <c r="P49" i="17" s="1"/>
  <c r="J40" i="17"/>
  <c r="M40" i="17" s="1"/>
  <c r="O40" i="17" s="1"/>
  <c r="P40" i="17" s="1"/>
  <c r="J30" i="17"/>
  <c r="M30" i="17" s="1"/>
  <c r="O30" i="17" s="1"/>
  <c r="P30" i="17" s="1"/>
  <c r="J59" i="17"/>
  <c r="J43" i="17"/>
  <c r="J66" i="17"/>
  <c r="J95" i="17"/>
  <c r="J48" i="17"/>
  <c r="J32" i="17"/>
  <c r="J61" i="17"/>
  <c r="J90" i="17"/>
  <c r="J50" i="17"/>
  <c r="M10" i="17"/>
  <c r="P11" i="17" s="1"/>
  <c r="K87" i="17"/>
  <c r="K82" i="17"/>
  <c r="K75" i="17"/>
  <c r="K70" i="17"/>
  <c r="K39" i="17"/>
  <c r="K94" i="17"/>
  <c r="K77" i="17"/>
  <c r="K79" i="17"/>
  <c r="K46" i="17"/>
  <c r="M46" i="17" s="1"/>
  <c r="O46" i="17" s="1"/>
  <c r="P46" i="17" s="1"/>
  <c r="K60" i="17"/>
  <c r="K55" i="17"/>
  <c r="K35" i="17"/>
  <c r="K31" i="17"/>
  <c r="K62" i="17"/>
  <c r="K27" i="17"/>
  <c r="K33" i="17"/>
  <c r="K89" i="17"/>
  <c r="K29" i="17"/>
  <c r="K67" i="17"/>
  <c r="K91" i="17"/>
  <c r="K84" i="17"/>
  <c r="K72" i="17"/>
  <c r="K64" i="17"/>
  <c r="K57" i="17"/>
  <c r="K52" i="17"/>
  <c r="K50" i="17"/>
  <c r="K88" i="17"/>
  <c r="K85" i="17"/>
  <c r="K38" i="17"/>
  <c r="K98" i="17"/>
  <c r="K34" i="17"/>
  <c r="K80" i="17"/>
  <c r="K58" i="17"/>
  <c r="K65" i="17"/>
  <c r="K86" i="17"/>
  <c r="K28" i="17"/>
  <c r="K93" i="17"/>
  <c r="K44" i="17"/>
  <c r="K36" i="17"/>
  <c r="M36" i="17" s="1"/>
  <c r="O36" i="17" s="1"/>
  <c r="P36" i="17" s="1"/>
  <c r="K47" i="17"/>
  <c r="K92" i="17"/>
  <c r="K81" i="17"/>
  <c r="K74" i="17"/>
  <c r="K63" i="17"/>
  <c r="K56" i="17"/>
  <c r="K49" i="17"/>
  <c r="K40" i="17"/>
  <c r="K30" i="17"/>
  <c r="N8" i="17"/>
  <c r="K73" i="17"/>
  <c r="K69" i="17"/>
  <c r="K51" i="17"/>
  <c r="K37" i="17"/>
  <c r="K83" i="17"/>
  <c r="K54" i="17"/>
  <c r="N10" i="17"/>
  <c r="K97" i="17"/>
  <c r="K59" i="17"/>
  <c r="K43" i="17"/>
  <c r="K66" i="17"/>
  <c r="K95" i="17"/>
  <c r="K48" i="17"/>
  <c r="K32" i="17"/>
  <c r="K76" i="17"/>
  <c r="K42" i="17"/>
  <c r="K61" i="17"/>
  <c r="K45" i="17"/>
  <c r="K90" i="17"/>
  <c r="K41" i="17"/>
  <c r="F59" i="17"/>
  <c r="F56" i="17"/>
  <c r="F74" i="17"/>
  <c r="F91" i="17"/>
  <c r="F52" i="17"/>
  <c r="F71" i="17"/>
  <c r="F100" i="17"/>
  <c r="F103" i="17"/>
  <c r="F61" i="16"/>
  <c r="F62" i="16"/>
  <c r="F92" i="16"/>
  <c r="F91" i="16"/>
  <c r="F32" i="16"/>
  <c r="F31" i="16"/>
  <c r="J97" i="16"/>
  <c r="J65" i="16"/>
  <c r="J53" i="16"/>
  <c r="M53" i="16" s="1"/>
  <c r="O53" i="16" s="1"/>
  <c r="J41" i="16"/>
  <c r="J37" i="16"/>
  <c r="J87" i="16"/>
  <c r="J82" i="16"/>
  <c r="J75" i="16"/>
  <c r="J70" i="16"/>
  <c r="J39" i="16"/>
  <c r="J60" i="16"/>
  <c r="J55" i="16"/>
  <c r="J88" i="16"/>
  <c r="M88" i="16" s="1"/>
  <c r="O88" i="16" s="1"/>
  <c r="J81" i="16"/>
  <c r="J76" i="16"/>
  <c r="J69" i="16"/>
  <c r="J38" i="16"/>
  <c r="M38" i="16" s="1"/>
  <c r="O38" i="16" s="1"/>
  <c r="P38" i="16" s="1"/>
  <c r="J34" i="16"/>
  <c r="J61" i="16"/>
  <c r="J54" i="16"/>
  <c r="J36" i="16"/>
  <c r="J98" i="16"/>
  <c r="J93" i="16"/>
  <c r="M93" i="16" s="1"/>
  <c r="O93" i="16" s="1"/>
  <c r="P93" i="16" s="1"/>
  <c r="J32" i="16"/>
  <c r="M32" i="16" s="1"/>
  <c r="O32" i="16" s="1"/>
  <c r="J79" i="16"/>
  <c r="J52" i="16"/>
  <c r="J92" i="16"/>
  <c r="J44" i="16"/>
  <c r="M8" i="16"/>
  <c r="P9" i="16" s="1"/>
  <c r="J46" i="16"/>
  <c r="J91" i="16"/>
  <c r="J89" i="16"/>
  <c r="M89" i="16" s="1"/>
  <c r="O89" i="16" s="1"/>
  <c r="J86" i="16"/>
  <c r="M86" i="16" s="1"/>
  <c r="O86" i="16" s="1"/>
  <c r="P86" i="16" s="1"/>
  <c r="J42" i="16"/>
  <c r="J27" i="16"/>
  <c r="J59" i="16"/>
  <c r="M59" i="16" s="1"/>
  <c r="O59" i="16" s="1"/>
  <c r="P59" i="16" s="1"/>
  <c r="J62" i="16"/>
  <c r="J29" i="16"/>
  <c r="J85" i="16"/>
  <c r="J72" i="16"/>
  <c r="J66" i="16"/>
  <c r="J96" i="16"/>
  <c r="J49" i="16"/>
  <c r="J31" i="16"/>
  <c r="J58" i="16"/>
  <c r="J94" i="16"/>
  <c r="J74" i="16"/>
  <c r="J56" i="16"/>
  <c r="J80" i="16"/>
  <c r="J68" i="16"/>
  <c r="J78" i="16"/>
  <c r="J84" i="16"/>
  <c r="J73" i="16"/>
  <c r="M73" i="16" s="1"/>
  <c r="O73" i="16" s="1"/>
  <c r="P73" i="16" s="1"/>
  <c r="J67" i="16"/>
  <c r="J48" i="16"/>
  <c r="J90" i="16"/>
  <c r="J57" i="16"/>
  <c r="M57" i="16" s="1"/>
  <c r="O57" i="16" s="1"/>
  <c r="P57" i="16" s="1"/>
  <c r="J33" i="16"/>
  <c r="J28" i="16"/>
  <c r="M10" i="16"/>
  <c r="P11" i="16" s="1"/>
  <c r="J63" i="16"/>
  <c r="J50" i="16"/>
  <c r="M50" i="16" s="1"/>
  <c r="O50" i="16" s="1"/>
  <c r="J45" i="16"/>
  <c r="J40" i="16"/>
  <c r="F49" i="16"/>
  <c r="F50" i="16"/>
  <c r="J71" i="16"/>
  <c r="K87" i="16"/>
  <c r="K82" i="16"/>
  <c r="K75" i="16"/>
  <c r="K70" i="16"/>
  <c r="K39" i="16"/>
  <c r="K60" i="16"/>
  <c r="K55" i="16"/>
  <c r="K35" i="16"/>
  <c r="K31" i="16"/>
  <c r="K61" i="16"/>
  <c r="K54" i="16"/>
  <c r="K36" i="16"/>
  <c r="K98" i="16"/>
  <c r="K93" i="16"/>
  <c r="K32" i="16"/>
  <c r="K28" i="16"/>
  <c r="K83" i="16"/>
  <c r="M83" i="16" s="1"/>
  <c r="O83" i="16" s="1"/>
  <c r="P83" i="16" s="1"/>
  <c r="K71" i="16"/>
  <c r="K66" i="16"/>
  <c r="K89" i="16"/>
  <c r="K86" i="16"/>
  <c r="K42" i="16"/>
  <c r="K27" i="16"/>
  <c r="K29" i="16"/>
  <c r="K34" i="16"/>
  <c r="K91" i="16"/>
  <c r="K76" i="16"/>
  <c r="K59" i="16"/>
  <c r="K92" i="16"/>
  <c r="K85" i="16"/>
  <c r="K72" i="16"/>
  <c r="K46" i="16"/>
  <c r="K58" i="16"/>
  <c r="K88" i="16"/>
  <c r="K95" i="16"/>
  <c r="K78" i="16"/>
  <c r="K51" i="16"/>
  <c r="K41" i="16"/>
  <c r="K96" i="16"/>
  <c r="K79" i="16"/>
  <c r="K52" i="16"/>
  <c r="K49" i="16"/>
  <c r="K62" i="16"/>
  <c r="K44" i="16"/>
  <c r="K69" i="16"/>
  <c r="K65" i="16"/>
  <c r="K81" i="16"/>
  <c r="K57" i="16"/>
  <c r="K38" i="16"/>
  <c r="K33" i="16"/>
  <c r="N10" i="16"/>
  <c r="K63" i="16"/>
  <c r="K74" i="16"/>
  <c r="K50" i="16"/>
  <c r="N9" i="16"/>
  <c r="K45" i="16"/>
  <c r="K37" i="16"/>
  <c r="K68" i="16"/>
  <c r="K84" i="16"/>
  <c r="K73" i="16"/>
  <c r="K67" i="16"/>
  <c r="K90" i="16"/>
  <c r="K77" i="16"/>
  <c r="K56" i="16"/>
  <c r="K80" i="16"/>
  <c r="K97" i="16"/>
  <c r="K48" i="16"/>
  <c r="K40" i="16"/>
  <c r="F86" i="16"/>
  <c r="F85" i="16"/>
  <c r="F80" i="16"/>
  <c r="F79" i="16"/>
  <c r="N7" i="16"/>
  <c r="N8" i="16"/>
  <c r="M9" i="16"/>
  <c r="P10" i="16" s="1"/>
  <c r="F59" i="16"/>
  <c r="F58" i="16"/>
  <c r="F53" i="16"/>
  <c r="F52" i="16"/>
  <c r="F101" i="16"/>
  <c r="F38" i="16"/>
  <c r="F103" i="16"/>
  <c r="F103" i="15"/>
  <c r="J38" i="15"/>
  <c r="J34" i="15"/>
  <c r="J98" i="15"/>
  <c r="J93" i="15"/>
  <c r="J32" i="15"/>
  <c r="K40" i="15"/>
  <c r="K74" i="15"/>
  <c r="F91" i="15"/>
  <c r="F92" i="15"/>
  <c r="F79" i="15"/>
  <c r="F80" i="15"/>
  <c r="F89" i="15"/>
  <c r="F88" i="15"/>
  <c r="F77" i="15"/>
  <c r="F76" i="15"/>
  <c r="F58" i="15"/>
  <c r="M7" i="15"/>
  <c r="P8" i="15" s="1"/>
  <c r="F31" i="15"/>
  <c r="F32" i="15"/>
  <c r="F34" i="15"/>
  <c r="F28" i="15"/>
  <c r="F101" i="15"/>
  <c r="F37" i="14"/>
  <c r="F38" i="14"/>
  <c r="F70" i="14"/>
  <c r="F71" i="14"/>
  <c r="J97" i="14"/>
  <c r="M97" i="14" s="1"/>
  <c r="O97" i="14" s="1"/>
  <c r="J65" i="14"/>
  <c r="J53" i="14"/>
  <c r="J41" i="14"/>
  <c r="J37" i="14"/>
  <c r="J35" i="14"/>
  <c r="J89" i="14"/>
  <c r="M89" i="14" s="1"/>
  <c r="O89" i="14" s="1"/>
  <c r="P89" i="14" s="1"/>
  <c r="J77" i="14"/>
  <c r="J29" i="14"/>
  <c r="J62" i="14"/>
  <c r="J84" i="14"/>
  <c r="J79" i="14"/>
  <c r="J87" i="14"/>
  <c r="J82" i="14"/>
  <c r="J75" i="14"/>
  <c r="J70" i="14"/>
  <c r="J39" i="14"/>
  <c r="J67" i="14"/>
  <c r="J91" i="14"/>
  <c r="J60" i="14"/>
  <c r="J55" i="14"/>
  <c r="J31" i="14"/>
  <c r="J33" i="14"/>
  <c r="J94" i="14"/>
  <c r="J27" i="14"/>
  <c r="J72" i="14"/>
  <c r="J64" i="14"/>
  <c r="J57" i="14"/>
  <c r="J78" i="14"/>
  <c r="M78" i="14" s="1"/>
  <c r="O78" i="14" s="1"/>
  <c r="P78" i="14" s="1"/>
  <c r="J74" i="14"/>
  <c r="J28" i="14"/>
  <c r="M28" i="14" s="1"/>
  <c r="O28" i="14" s="1"/>
  <c r="P28" i="14" s="1"/>
  <c r="M10" i="14"/>
  <c r="P11" i="14" s="1"/>
  <c r="J93" i="14"/>
  <c r="M93" i="14" s="1"/>
  <c r="O93" i="14" s="1"/>
  <c r="P93" i="14" s="1"/>
  <c r="J51" i="14"/>
  <c r="M51" i="14" s="1"/>
  <c r="O51" i="14" s="1"/>
  <c r="P51" i="14" s="1"/>
  <c r="J42" i="14"/>
  <c r="M42" i="14" s="1"/>
  <c r="O42" i="14" s="1"/>
  <c r="P42" i="14" s="1"/>
  <c r="J66" i="14"/>
  <c r="J45" i="14"/>
  <c r="J85" i="14"/>
  <c r="M85" i="14" s="1"/>
  <c r="O85" i="14" s="1"/>
  <c r="P85" i="14" s="1"/>
  <c r="J81" i="14"/>
  <c r="J68" i="14"/>
  <c r="J96" i="14"/>
  <c r="J76" i="14"/>
  <c r="J61" i="14"/>
  <c r="J86" i="14"/>
  <c r="J48" i="14"/>
  <c r="J38" i="14"/>
  <c r="J34" i="14"/>
  <c r="J56" i="14"/>
  <c r="J44" i="14"/>
  <c r="J90" i="14"/>
  <c r="J80" i="14"/>
  <c r="J71" i="14"/>
  <c r="J50" i="14"/>
  <c r="J40" i="14"/>
  <c r="J30" i="14"/>
  <c r="J95" i="14"/>
  <c r="J88" i="14"/>
  <c r="J54" i="14"/>
  <c r="J47" i="14"/>
  <c r="J69" i="14"/>
  <c r="K87" i="14"/>
  <c r="K82" i="14"/>
  <c r="K75" i="14"/>
  <c r="K70" i="14"/>
  <c r="K39" i="14"/>
  <c r="K89" i="14"/>
  <c r="K91" i="14"/>
  <c r="K64" i="14"/>
  <c r="K57" i="14"/>
  <c r="K52" i="14"/>
  <c r="K46" i="14"/>
  <c r="K60" i="14"/>
  <c r="K55" i="14"/>
  <c r="K35" i="14"/>
  <c r="K31" i="14"/>
  <c r="K94" i="14"/>
  <c r="K77" i="14"/>
  <c r="K29" i="14"/>
  <c r="K27" i="14"/>
  <c r="K79" i="14"/>
  <c r="K72" i="14"/>
  <c r="K50" i="14"/>
  <c r="K33" i="14"/>
  <c r="K67" i="14"/>
  <c r="K62" i="14"/>
  <c r="K84" i="14"/>
  <c r="K78" i="14"/>
  <c r="K74" i="14"/>
  <c r="K37" i="14"/>
  <c r="K28" i="14"/>
  <c r="N10" i="14"/>
  <c r="K93" i="14"/>
  <c r="K51" i="14"/>
  <c r="K42" i="14"/>
  <c r="K66" i="14"/>
  <c r="K45" i="14"/>
  <c r="K85" i="14"/>
  <c r="K81" i="14"/>
  <c r="K54" i="14"/>
  <c r="K97" i="14"/>
  <c r="K88" i="14"/>
  <c r="K58" i="14"/>
  <c r="K96" i="14"/>
  <c r="K76" i="14"/>
  <c r="K61" i="14"/>
  <c r="K86" i="14"/>
  <c r="K48" i="14"/>
  <c r="K38" i="14"/>
  <c r="K34" i="14"/>
  <c r="K56" i="14"/>
  <c r="K44" i="14"/>
  <c r="K90" i="14"/>
  <c r="K41" i="14"/>
  <c r="K80" i="14"/>
  <c r="K71" i="14"/>
  <c r="K65" i="14"/>
  <c r="K40" i="14"/>
  <c r="K30" i="14"/>
  <c r="K95" i="14"/>
  <c r="K47" i="14"/>
  <c r="K69" i="14"/>
  <c r="J32" i="14"/>
  <c r="K32" i="14"/>
  <c r="J52" i="14"/>
  <c r="J73" i="14"/>
  <c r="J83" i="14"/>
  <c r="K53" i="14"/>
  <c r="K73" i="14"/>
  <c r="K83" i="14"/>
  <c r="F65" i="14"/>
  <c r="F64" i="14"/>
  <c r="J92" i="14"/>
  <c r="J63" i="14"/>
  <c r="K92" i="14"/>
  <c r="J46" i="14"/>
  <c r="M46" i="14" s="1"/>
  <c r="O46" i="14" s="1"/>
  <c r="P46" i="14" s="1"/>
  <c r="K63" i="14"/>
  <c r="N6" i="14"/>
  <c r="M6" i="14"/>
  <c r="P7" i="14" s="1"/>
  <c r="M7" i="14"/>
  <c r="P8" i="14" s="1"/>
  <c r="F55" i="14"/>
  <c r="F56" i="14"/>
  <c r="N7" i="14"/>
  <c r="M8" i="14"/>
  <c r="P9" i="14" s="1"/>
  <c r="J49" i="14"/>
  <c r="M49" i="14" s="1"/>
  <c r="O49" i="14" s="1"/>
  <c r="P49" i="14" s="1"/>
  <c r="K68" i="14"/>
  <c r="F92" i="14"/>
  <c r="F91" i="14"/>
  <c r="M9" i="14"/>
  <c r="P10" i="14" s="1"/>
  <c r="F32" i="14"/>
  <c r="F80" i="14"/>
  <c r="F79" i="14"/>
  <c r="F100" i="14"/>
  <c r="F103" i="14"/>
  <c r="F62" i="13"/>
  <c r="F61" i="13"/>
  <c r="M47" i="13"/>
  <c r="O47" i="13" s="1"/>
  <c r="P47" i="13" s="1"/>
  <c r="M85" i="13"/>
  <c r="O85" i="13" s="1"/>
  <c r="P85" i="13" s="1"/>
  <c r="F65" i="13"/>
  <c r="F64" i="13"/>
  <c r="F41" i="13"/>
  <c r="F40" i="13"/>
  <c r="J97" i="13"/>
  <c r="J65" i="13"/>
  <c r="J53" i="13"/>
  <c r="M53" i="13" s="1"/>
  <c r="O53" i="13" s="1"/>
  <c r="J41" i="13"/>
  <c r="J37" i="13"/>
  <c r="M37" i="13" s="1"/>
  <c r="O37" i="13" s="1"/>
  <c r="P37" i="13" s="1"/>
  <c r="J87" i="13"/>
  <c r="J82" i="13"/>
  <c r="J75" i="13"/>
  <c r="J70" i="13"/>
  <c r="J39" i="13"/>
  <c r="J48" i="13"/>
  <c r="J86" i="13"/>
  <c r="J74" i="13"/>
  <c r="J44" i="13"/>
  <c r="M44" i="13" s="1"/>
  <c r="O44" i="13" s="1"/>
  <c r="P44" i="13" s="1"/>
  <c r="J40" i="13"/>
  <c r="M40" i="13" s="1"/>
  <c r="O40" i="13" s="1"/>
  <c r="P40" i="13" s="1"/>
  <c r="J96" i="13"/>
  <c r="M96" i="13" s="1"/>
  <c r="O96" i="13" s="1"/>
  <c r="P96" i="13" s="1"/>
  <c r="J59" i="13"/>
  <c r="M59" i="13" s="1"/>
  <c r="O59" i="13" s="1"/>
  <c r="P59" i="13" s="1"/>
  <c r="J42" i="13"/>
  <c r="J88" i="13"/>
  <c r="J81" i="13"/>
  <c r="J76" i="13"/>
  <c r="J69" i="13"/>
  <c r="J38" i="13"/>
  <c r="J34" i="13"/>
  <c r="M34" i="13" s="1"/>
  <c r="O34" i="13" s="1"/>
  <c r="P34" i="13" s="1"/>
  <c r="J61" i="13"/>
  <c r="J54" i="13"/>
  <c r="J92" i="13"/>
  <c r="M10" i="13"/>
  <c r="P11" i="13" s="1"/>
  <c r="J66" i="13"/>
  <c r="J77" i="13"/>
  <c r="J73" i="13"/>
  <c r="J55" i="13"/>
  <c r="J62" i="13"/>
  <c r="J30" i="13"/>
  <c r="J91" i="13"/>
  <c r="J58" i="13"/>
  <c r="J35" i="13"/>
  <c r="J95" i="13"/>
  <c r="J51" i="13"/>
  <c r="J80" i="13"/>
  <c r="J52" i="13"/>
  <c r="J33" i="13"/>
  <c r="J46" i="13"/>
  <c r="J84" i="13"/>
  <c r="J98" i="13"/>
  <c r="J43" i="13"/>
  <c r="J72" i="13"/>
  <c r="J45" i="13"/>
  <c r="J79" i="13"/>
  <c r="J29" i="13"/>
  <c r="J64" i="13"/>
  <c r="J57" i="13"/>
  <c r="J93" i="13"/>
  <c r="J68" i="13"/>
  <c r="M68" i="13" s="1"/>
  <c r="O68" i="13" s="1"/>
  <c r="P68" i="13" s="1"/>
  <c r="J60" i="13"/>
  <c r="J50" i="13"/>
  <c r="M50" i="13" s="1"/>
  <c r="O50" i="13" s="1"/>
  <c r="P50" i="13" s="1"/>
  <c r="K87" i="13"/>
  <c r="K82" i="13"/>
  <c r="K75" i="13"/>
  <c r="K70" i="13"/>
  <c r="K39" i="13"/>
  <c r="K60" i="13"/>
  <c r="K55" i="13"/>
  <c r="K35" i="13"/>
  <c r="K31" i="13"/>
  <c r="K86" i="13"/>
  <c r="K74" i="13"/>
  <c r="K44" i="13"/>
  <c r="K40" i="13"/>
  <c r="K96" i="13"/>
  <c r="K59" i="13"/>
  <c r="K42" i="13"/>
  <c r="K88" i="13"/>
  <c r="K81" i="13"/>
  <c r="K76" i="13"/>
  <c r="K69" i="13"/>
  <c r="K61" i="13"/>
  <c r="K54" i="13"/>
  <c r="K36" i="13"/>
  <c r="K98" i="13"/>
  <c r="K93" i="13"/>
  <c r="K52" i="13"/>
  <c r="K33" i="13"/>
  <c r="K77" i="13"/>
  <c r="K38" i="13"/>
  <c r="K84" i="13"/>
  <c r="K62" i="13"/>
  <c r="K51" i="13"/>
  <c r="K83" i="13"/>
  <c r="K65" i="13"/>
  <c r="K66" i="13"/>
  <c r="K46" i="13"/>
  <c r="K73" i="13"/>
  <c r="K41" i="13"/>
  <c r="K30" i="13"/>
  <c r="K91" i="13"/>
  <c r="K58" i="13"/>
  <c r="K95" i="13"/>
  <c r="K43" i="13"/>
  <c r="K80" i="13"/>
  <c r="K48" i="13"/>
  <c r="K79" i="13"/>
  <c r="K34" i="13"/>
  <c r="K29" i="13"/>
  <c r="K97" i="13"/>
  <c r="K64" i="13"/>
  <c r="K57" i="13"/>
  <c r="K68" i="13"/>
  <c r="K50" i="13"/>
  <c r="K71" i="13"/>
  <c r="K47" i="13"/>
  <c r="K89" i="13"/>
  <c r="K85" i="13"/>
  <c r="J89" i="13"/>
  <c r="M89" i="13" s="1"/>
  <c r="O89" i="13" s="1"/>
  <c r="P89" i="13" s="1"/>
  <c r="F80" i="13"/>
  <c r="F79" i="13"/>
  <c r="F56" i="13"/>
  <c r="K45" i="13"/>
  <c r="J67" i="13"/>
  <c r="K67" i="13"/>
  <c r="J90" i="13"/>
  <c r="J31" i="13"/>
  <c r="K90" i="13"/>
  <c r="M6" i="13"/>
  <c r="P7" i="13" s="1"/>
  <c r="F37" i="13"/>
  <c r="F38" i="13"/>
  <c r="J36" i="13"/>
  <c r="J83" i="13"/>
  <c r="F73" i="13"/>
  <c r="F100" i="13"/>
  <c r="F53" i="13"/>
  <c r="F52" i="13"/>
  <c r="F77" i="13"/>
  <c r="F104" i="13"/>
  <c r="F103" i="13"/>
  <c r="F82" i="12"/>
  <c r="F83" i="12"/>
  <c r="F37" i="12"/>
  <c r="F38" i="12"/>
  <c r="F46" i="12"/>
  <c r="F47" i="12"/>
  <c r="F55" i="12"/>
  <c r="F56" i="12"/>
  <c r="J40" i="12"/>
  <c r="J96" i="12"/>
  <c r="J59" i="12"/>
  <c r="J80" i="12"/>
  <c r="J37" i="12"/>
  <c r="J32" i="12"/>
  <c r="J92" i="12"/>
  <c r="J76" i="12"/>
  <c r="J27" i="12"/>
  <c r="J52" i="12"/>
  <c r="M52" i="12" s="1"/>
  <c r="O52" i="12" s="1"/>
  <c r="K33" i="12"/>
  <c r="K94" i="12"/>
  <c r="K89" i="12"/>
  <c r="K77" i="12"/>
  <c r="K29" i="12"/>
  <c r="K86" i="12"/>
  <c r="K74" i="12"/>
  <c r="K44" i="12"/>
  <c r="K40" i="12"/>
  <c r="K96" i="12"/>
  <c r="K59" i="12"/>
  <c r="K42" i="12"/>
  <c r="K88" i="12"/>
  <c r="K81" i="12"/>
  <c r="K76" i="12"/>
  <c r="K69" i="12"/>
  <c r="K83" i="12"/>
  <c r="K80" i="12"/>
  <c r="K37" i="12"/>
  <c r="K32" i="12"/>
  <c r="K92" i="12"/>
  <c r="K67" i="12"/>
  <c r="K47" i="12"/>
  <c r="K91" i="12"/>
  <c r="K84" i="12"/>
  <c r="K30" i="12"/>
  <c r="K95" i="12"/>
  <c r="K79" i="12"/>
  <c r="K72" i="12"/>
  <c r="K56" i="12"/>
  <c r="K43" i="12"/>
  <c r="K87" i="12"/>
  <c r="K52" i="12"/>
  <c r="K68" i="12"/>
  <c r="K63" i="12"/>
  <c r="K35" i="12"/>
  <c r="K90" i="12"/>
  <c r="K75" i="12"/>
  <c r="K51" i="12"/>
  <c r="K60" i="12"/>
  <c r="K49" i="12"/>
  <c r="K38" i="12"/>
  <c r="K27" i="12"/>
  <c r="K64" i="12"/>
  <c r="K46" i="12"/>
  <c r="K98" i="12"/>
  <c r="K57" i="12"/>
  <c r="K97" i="12"/>
  <c r="F44" i="12"/>
  <c r="F43" i="12"/>
  <c r="K70" i="12"/>
  <c r="F92" i="12"/>
  <c r="F52" i="12"/>
  <c r="F53" i="12"/>
  <c r="K58" i="12"/>
  <c r="N6" i="12"/>
  <c r="J51" i="12"/>
  <c r="K65" i="12"/>
  <c r="K71" i="12"/>
  <c r="K53" i="12"/>
  <c r="F80" i="12"/>
  <c r="F79" i="12"/>
  <c r="N8" i="12"/>
  <c r="F70" i="12"/>
  <c r="F71" i="12"/>
  <c r="F100" i="12"/>
  <c r="N9" i="12"/>
  <c r="J7" i="1"/>
  <c r="K7" i="1"/>
  <c r="J10" i="1"/>
  <c r="K10" i="1"/>
  <c r="J11" i="1"/>
  <c r="K11" i="1"/>
  <c r="J12" i="1"/>
  <c r="K12" i="1"/>
  <c r="J13" i="1"/>
  <c r="K13" i="1"/>
  <c r="P56" i="13" l="1"/>
  <c r="J90" i="19"/>
  <c r="J56" i="19"/>
  <c r="J73" i="19"/>
  <c r="J76" i="19"/>
  <c r="J40" i="19"/>
  <c r="J53" i="19"/>
  <c r="J71" i="19"/>
  <c r="J67" i="19"/>
  <c r="J89" i="19"/>
  <c r="J42" i="19"/>
  <c r="M7" i="19"/>
  <c r="P8" i="19" s="1"/>
  <c r="J77" i="19"/>
  <c r="J62" i="19"/>
  <c r="J66" i="19"/>
  <c r="J32" i="19"/>
  <c r="M32" i="19" s="1"/>
  <c r="O32" i="19" s="1"/>
  <c r="P32" i="19" s="1"/>
  <c r="J79" i="19"/>
  <c r="M79" i="19" s="1"/>
  <c r="O79" i="19" s="1"/>
  <c r="P79" i="19" s="1"/>
  <c r="J27" i="19"/>
  <c r="J49" i="19"/>
  <c r="J31" i="19"/>
  <c r="J50" i="19"/>
  <c r="J68" i="19"/>
  <c r="J35" i="19"/>
  <c r="M35" i="19" s="1"/>
  <c r="O35" i="19" s="1"/>
  <c r="P35" i="19" s="1"/>
  <c r="J98" i="19"/>
  <c r="J63" i="19"/>
  <c r="J46" i="19"/>
  <c r="J97" i="19"/>
  <c r="J94" i="19"/>
  <c r="J51" i="19"/>
  <c r="J28" i="19"/>
  <c r="J72" i="19"/>
  <c r="J65" i="19"/>
  <c r="J83" i="19"/>
  <c r="J81" i="19"/>
  <c r="J55" i="19"/>
  <c r="M55" i="19" s="1"/>
  <c r="O55" i="19" s="1"/>
  <c r="P55" i="19" s="1"/>
  <c r="J80" i="19"/>
  <c r="J96" i="19"/>
  <c r="J36" i="19"/>
  <c r="M10" i="19"/>
  <c r="P11" i="19" s="1"/>
  <c r="J93" i="19"/>
  <c r="J87" i="19"/>
  <c r="J48" i="19"/>
  <c r="J74" i="19"/>
  <c r="J54" i="19"/>
  <c r="J33" i="19"/>
  <c r="J95" i="19"/>
  <c r="J52" i="19"/>
  <c r="J69" i="19"/>
  <c r="J86" i="19"/>
  <c r="J34" i="19"/>
  <c r="J47" i="19"/>
  <c r="J84" i="19"/>
  <c r="J41" i="19"/>
  <c r="J44" i="19"/>
  <c r="J45" i="19"/>
  <c r="M8" i="19"/>
  <c r="P9" i="19" s="1"/>
  <c r="M37" i="17"/>
  <c r="O37" i="17" s="1"/>
  <c r="P37" i="17" s="1"/>
  <c r="M50" i="17"/>
  <c r="O50" i="17" s="1"/>
  <c r="P50" i="17" s="1"/>
  <c r="M71" i="17"/>
  <c r="O71" i="17" s="1"/>
  <c r="P71" i="17" s="1"/>
  <c r="M45" i="17"/>
  <c r="O45" i="17" s="1"/>
  <c r="P45" i="17" s="1"/>
  <c r="R45" i="17" s="1"/>
  <c r="M61" i="17"/>
  <c r="O61" i="17" s="1"/>
  <c r="P61" i="17" s="1"/>
  <c r="M76" i="17"/>
  <c r="O76" i="17" s="1"/>
  <c r="P76" i="17" s="1"/>
  <c r="M98" i="17"/>
  <c r="O98" i="17" s="1"/>
  <c r="P98" i="17" s="1"/>
  <c r="M84" i="17"/>
  <c r="O84" i="17" s="1"/>
  <c r="P84" i="17" s="1"/>
  <c r="M48" i="17"/>
  <c r="O48" i="17" s="1"/>
  <c r="P48" i="17" s="1"/>
  <c r="M38" i="17"/>
  <c r="O38" i="17" s="1"/>
  <c r="P38" i="17" s="1"/>
  <c r="M91" i="17"/>
  <c r="O91" i="17" s="1"/>
  <c r="P91" i="17" s="1"/>
  <c r="M41" i="17"/>
  <c r="O41" i="17" s="1"/>
  <c r="P41" i="17" s="1"/>
  <c r="M95" i="17"/>
  <c r="O95" i="17" s="1"/>
  <c r="P95" i="17" s="1"/>
  <c r="M85" i="17"/>
  <c r="O85" i="17" s="1"/>
  <c r="P85" i="17" s="1"/>
  <c r="M53" i="17"/>
  <c r="O53" i="17" s="1"/>
  <c r="P53" i="17" s="1"/>
  <c r="M79" i="17"/>
  <c r="O79" i="17" s="1"/>
  <c r="P79" i="17" s="1"/>
  <c r="M90" i="17"/>
  <c r="O90" i="17" s="1"/>
  <c r="P90" i="17" s="1"/>
  <c r="R90" i="17" s="1"/>
  <c r="M78" i="17"/>
  <c r="O78" i="17" s="1"/>
  <c r="P78" i="17" s="1"/>
  <c r="M72" i="17"/>
  <c r="O72" i="17" s="1"/>
  <c r="P72" i="17" s="1"/>
  <c r="M32" i="17"/>
  <c r="O32" i="17" s="1"/>
  <c r="P32" i="17" s="1"/>
  <c r="M66" i="17"/>
  <c r="O66" i="17" s="1"/>
  <c r="P66" i="17" s="1"/>
  <c r="M88" i="17"/>
  <c r="O88" i="17" s="1"/>
  <c r="M77" i="16"/>
  <c r="O77" i="16" s="1"/>
  <c r="P77" i="16" s="1"/>
  <c r="M48" i="16"/>
  <c r="O48" i="16" s="1"/>
  <c r="P48" i="16" s="1"/>
  <c r="M76" i="16"/>
  <c r="O76" i="16" s="1"/>
  <c r="P76" i="16" s="1"/>
  <c r="M94" i="16"/>
  <c r="O94" i="16" s="1"/>
  <c r="P94" i="16" s="1"/>
  <c r="M37" i="16"/>
  <c r="O37" i="16" s="1"/>
  <c r="P37" i="16" s="1"/>
  <c r="M62" i="16"/>
  <c r="O62" i="16" s="1"/>
  <c r="P62" i="16" s="1"/>
  <c r="M90" i="16"/>
  <c r="O90" i="16" s="1"/>
  <c r="P90" i="16" s="1"/>
  <c r="M69" i="16"/>
  <c r="O69" i="16" s="1"/>
  <c r="P69" i="16" s="1"/>
  <c r="M35" i="16"/>
  <c r="O35" i="16" s="1"/>
  <c r="P35" i="16" s="1"/>
  <c r="M27" i="16"/>
  <c r="O27" i="16" s="1"/>
  <c r="P27" i="16" s="1"/>
  <c r="M67" i="16"/>
  <c r="O67" i="16" s="1"/>
  <c r="P67" i="16" s="1"/>
  <c r="M42" i="16"/>
  <c r="O42" i="16" s="1"/>
  <c r="P42" i="16" s="1"/>
  <c r="M95" i="16"/>
  <c r="O95" i="16" s="1"/>
  <c r="P95" i="16" s="1"/>
  <c r="R93" i="16" s="1"/>
  <c r="J71" i="15"/>
  <c r="J83" i="15"/>
  <c r="N6" i="15"/>
  <c r="K59" i="15"/>
  <c r="K76" i="15"/>
  <c r="K39" i="15"/>
  <c r="K83" i="15"/>
  <c r="M83" i="15" s="1"/>
  <c r="O83" i="15" s="1"/>
  <c r="P83" i="15" s="1"/>
  <c r="K54" i="15"/>
  <c r="K61" i="15"/>
  <c r="K52" i="15"/>
  <c r="K27" i="15"/>
  <c r="K62" i="15"/>
  <c r="J70" i="15"/>
  <c r="J92" i="15"/>
  <c r="M34" i="15"/>
  <c r="O34" i="15" s="1"/>
  <c r="P34" i="15" s="1"/>
  <c r="K31" i="15"/>
  <c r="J35" i="15"/>
  <c r="J31" i="15"/>
  <c r="M31" i="15" s="1"/>
  <c r="O31" i="15" s="1"/>
  <c r="P31" i="15" s="1"/>
  <c r="J44" i="15"/>
  <c r="M44" i="15" s="1"/>
  <c r="O44" i="15" s="1"/>
  <c r="P44" i="15" s="1"/>
  <c r="K95" i="15"/>
  <c r="J43" i="15"/>
  <c r="K63" i="15"/>
  <c r="J65" i="15"/>
  <c r="K43" i="15"/>
  <c r="J74" i="15"/>
  <c r="M74" i="15" s="1"/>
  <c r="O74" i="15" s="1"/>
  <c r="P74" i="15" s="1"/>
  <c r="N7" i="15"/>
  <c r="K87" i="15"/>
  <c r="K92" i="15"/>
  <c r="K46" i="15"/>
  <c r="J69" i="15"/>
  <c r="N10" i="15"/>
  <c r="K81" i="15"/>
  <c r="K50" i="15"/>
  <c r="J58" i="15"/>
  <c r="M58" i="15" s="1"/>
  <c r="O58" i="15" s="1"/>
  <c r="P58" i="15" s="1"/>
  <c r="K53" i="15"/>
  <c r="K57" i="15"/>
  <c r="J81" i="15"/>
  <c r="M81" i="15" s="1"/>
  <c r="O81" i="15" s="1"/>
  <c r="P81" i="15" s="1"/>
  <c r="J53" i="15"/>
  <c r="M53" i="15" s="1"/>
  <c r="O53" i="15" s="1"/>
  <c r="P53" i="15" s="1"/>
  <c r="K38" i="15"/>
  <c r="K32" i="15"/>
  <c r="M32" i="15" s="1"/>
  <c r="O32" i="15" s="1"/>
  <c r="P32" i="15" s="1"/>
  <c r="J59" i="15"/>
  <c r="J88" i="15"/>
  <c r="K69" i="15"/>
  <c r="K41" i="15"/>
  <c r="M8" i="15"/>
  <c r="P9" i="15" s="1"/>
  <c r="J52" i="15"/>
  <c r="K47" i="15"/>
  <c r="K84" i="15"/>
  <c r="M84" i="15" s="1"/>
  <c r="O84" i="15" s="1"/>
  <c r="P84" i="15" s="1"/>
  <c r="J77" i="15"/>
  <c r="K42" i="15"/>
  <c r="K75" i="15"/>
  <c r="J91" i="15"/>
  <c r="K82" i="15"/>
  <c r="K49" i="15"/>
  <c r="K85" i="15"/>
  <c r="J68" i="15"/>
  <c r="J49" i="15"/>
  <c r="M49" i="15" s="1"/>
  <c r="O49" i="15" s="1"/>
  <c r="P49" i="15" s="1"/>
  <c r="K80" i="15"/>
  <c r="K90" i="15"/>
  <c r="M90" i="15" s="1"/>
  <c r="O90" i="15" s="1"/>
  <c r="P90" i="15" s="1"/>
  <c r="J48" i="15"/>
  <c r="M48" i="15" s="1"/>
  <c r="O48" i="15" s="1"/>
  <c r="P48" i="15" s="1"/>
  <c r="J62" i="15"/>
  <c r="J40" i="15"/>
  <c r="M40" i="15" s="1"/>
  <c r="O40" i="15" s="1"/>
  <c r="P40" i="15" s="1"/>
  <c r="J37" i="15"/>
  <c r="K58" i="15"/>
  <c r="K56" i="15"/>
  <c r="K89" i="15"/>
  <c r="J55" i="15"/>
  <c r="J67" i="15"/>
  <c r="J78" i="15"/>
  <c r="K70" i="15"/>
  <c r="K45" i="15"/>
  <c r="K67" i="15"/>
  <c r="N9" i="15"/>
  <c r="K68" i="15"/>
  <c r="J80" i="15"/>
  <c r="N8" i="15"/>
  <c r="K35" i="15"/>
  <c r="M35" i="15" s="1"/>
  <c r="O35" i="15" s="1"/>
  <c r="P35" i="15" s="1"/>
  <c r="J76" i="15"/>
  <c r="K97" i="15"/>
  <c r="K28" i="15"/>
  <c r="J51" i="15"/>
  <c r="K72" i="15"/>
  <c r="J86" i="15"/>
  <c r="K93" i="15"/>
  <c r="M93" i="15" s="1"/>
  <c r="O93" i="15" s="1"/>
  <c r="P93" i="15" s="1"/>
  <c r="K79" i="15"/>
  <c r="J72" i="15"/>
  <c r="J85" i="15"/>
  <c r="K73" i="15"/>
  <c r="J39" i="15"/>
  <c r="M39" i="15" s="1"/>
  <c r="O39" i="15" s="1"/>
  <c r="P39" i="15" s="1"/>
  <c r="K96" i="15"/>
  <c r="K78" i="15"/>
  <c r="K91" i="15"/>
  <c r="J45" i="15"/>
  <c r="K44" i="15"/>
  <c r="K29" i="15"/>
  <c r="J27" i="15"/>
  <c r="J82" i="15"/>
  <c r="M82" i="15" s="1"/>
  <c r="O82" i="15" s="1"/>
  <c r="P82" i="15" s="1"/>
  <c r="K77" i="15"/>
  <c r="K51" i="15"/>
  <c r="K30" i="15"/>
  <c r="K94" i="15"/>
  <c r="J42" i="15"/>
  <c r="J29" i="15"/>
  <c r="J60" i="15"/>
  <c r="K48" i="15"/>
  <c r="K66" i="15"/>
  <c r="J63" i="15"/>
  <c r="J61" i="15"/>
  <c r="J33" i="15"/>
  <c r="J73" i="15"/>
  <c r="M73" i="15" s="1"/>
  <c r="O73" i="15" s="1"/>
  <c r="P73" i="15" s="1"/>
  <c r="K55" i="15"/>
  <c r="K71" i="15"/>
  <c r="M71" i="15" s="1"/>
  <c r="O71" i="15" s="1"/>
  <c r="P71" i="15" s="1"/>
  <c r="J57" i="15"/>
  <c r="J66" i="15"/>
  <c r="K65" i="15"/>
  <c r="M65" i="15" s="1"/>
  <c r="O65" i="15" s="1"/>
  <c r="P65" i="15" s="1"/>
  <c r="K33" i="15"/>
  <c r="K36" i="15"/>
  <c r="K60" i="15"/>
  <c r="M38" i="15"/>
  <c r="O38" i="15" s="1"/>
  <c r="P38" i="15" s="1"/>
  <c r="M76" i="15"/>
  <c r="O76" i="15" s="1"/>
  <c r="P76" i="15" s="1"/>
  <c r="K37" i="15"/>
  <c r="K88" i="15"/>
  <c r="K98" i="15"/>
  <c r="M98" i="15" s="1"/>
  <c r="O98" i="15" s="1"/>
  <c r="P98" i="15" s="1"/>
  <c r="K64" i="15"/>
  <c r="K86" i="15"/>
  <c r="J97" i="15"/>
  <c r="J95" i="15"/>
  <c r="J89" i="15"/>
  <c r="M89" i="15" s="1"/>
  <c r="O89" i="15" s="1"/>
  <c r="P89" i="15" s="1"/>
  <c r="M10" i="15"/>
  <c r="P11" i="15" s="1"/>
  <c r="J50" i="15"/>
  <c r="J30" i="15"/>
  <c r="J94" i="15"/>
  <c r="M6" i="15"/>
  <c r="P7" i="15" s="1"/>
  <c r="J41" i="15"/>
  <c r="J28" i="15"/>
  <c r="J64" i="15"/>
  <c r="M64" i="15" s="1"/>
  <c r="O64" i="15" s="1"/>
  <c r="P64" i="15" s="1"/>
  <c r="J87" i="15"/>
  <c r="M87" i="15" s="1"/>
  <c r="O87" i="15" s="1"/>
  <c r="P87" i="15" s="1"/>
  <c r="J96" i="15"/>
  <c r="J47" i="15"/>
  <c r="M47" i="15" s="1"/>
  <c r="O47" i="15" s="1"/>
  <c r="P47" i="15" s="1"/>
  <c r="J36" i="15"/>
  <c r="J79" i="15"/>
  <c r="M9" i="15"/>
  <c r="P10" i="15" s="1"/>
  <c r="J56" i="15"/>
  <c r="J75" i="15"/>
  <c r="J54" i="15"/>
  <c r="J46" i="15"/>
  <c r="J90" i="15"/>
  <c r="M45" i="14"/>
  <c r="O45" i="14" s="1"/>
  <c r="P45" i="14" s="1"/>
  <c r="M52" i="14"/>
  <c r="O52" i="14" s="1"/>
  <c r="P52" i="14" s="1"/>
  <c r="M59" i="14"/>
  <c r="O59" i="14" s="1"/>
  <c r="P59" i="14" s="1"/>
  <c r="M58" i="14"/>
  <c r="O58" i="14" s="1"/>
  <c r="P58" i="14" s="1"/>
  <c r="M43" i="14"/>
  <c r="O43" i="14" s="1"/>
  <c r="P43" i="14" s="1"/>
  <c r="M81" i="14"/>
  <c r="O81" i="14" s="1"/>
  <c r="P81" i="14" s="1"/>
  <c r="M91" i="14"/>
  <c r="O91" i="14" s="1"/>
  <c r="P91" i="14" s="1"/>
  <c r="M98" i="14"/>
  <c r="O98" i="14" s="1"/>
  <c r="P98" i="14" s="1"/>
  <c r="M72" i="13"/>
  <c r="O72" i="13" s="1"/>
  <c r="P72" i="13" s="1"/>
  <c r="M92" i="13"/>
  <c r="O92" i="13" s="1"/>
  <c r="P92" i="13" s="1"/>
  <c r="M29" i="13"/>
  <c r="O29" i="13" s="1"/>
  <c r="P29" i="13" s="1"/>
  <c r="R27" i="13" s="1"/>
  <c r="M35" i="13"/>
  <c r="O35" i="13" s="1"/>
  <c r="P35" i="13" s="1"/>
  <c r="M60" i="13"/>
  <c r="O60" i="13" s="1"/>
  <c r="P60" i="13" s="1"/>
  <c r="M62" i="13"/>
  <c r="O62" i="13" s="1"/>
  <c r="P62" i="13" s="1"/>
  <c r="M55" i="13"/>
  <c r="O55" i="13" s="1"/>
  <c r="P55" i="13" s="1"/>
  <c r="Q27" i="13"/>
  <c r="U27" i="13" s="1"/>
  <c r="M49" i="13"/>
  <c r="O49" i="13" s="1"/>
  <c r="P49" i="13" s="1"/>
  <c r="M71" i="13"/>
  <c r="O71" i="13" s="1"/>
  <c r="P71" i="13" s="1"/>
  <c r="M79" i="13"/>
  <c r="O79" i="13" s="1"/>
  <c r="P79" i="13" s="1"/>
  <c r="M74" i="13"/>
  <c r="O74" i="13" s="1"/>
  <c r="P74" i="13" s="1"/>
  <c r="M57" i="13"/>
  <c r="O57" i="13" s="1"/>
  <c r="P57" i="13" s="1"/>
  <c r="M86" i="13"/>
  <c r="O86" i="13" s="1"/>
  <c r="P86" i="13" s="1"/>
  <c r="P94" i="13"/>
  <c r="M77" i="13"/>
  <c r="O77" i="13" s="1"/>
  <c r="P77" i="13" s="1"/>
  <c r="J44" i="12"/>
  <c r="J49" i="12"/>
  <c r="J55" i="12"/>
  <c r="M55" i="12" s="1"/>
  <c r="O55" i="12" s="1"/>
  <c r="P55" i="12" s="1"/>
  <c r="J94" i="12"/>
  <c r="M94" i="12" s="1"/>
  <c r="O94" i="12" s="1"/>
  <c r="P94" i="12" s="1"/>
  <c r="J58" i="12"/>
  <c r="J60" i="12"/>
  <c r="M60" i="12" s="1"/>
  <c r="O60" i="12" s="1"/>
  <c r="P60" i="12" s="1"/>
  <c r="J78" i="12"/>
  <c r="M7" i="12"/>
  <c r="P8" i="12" s="1"/>
  <c r="J42" i="12"/>
  <c r="M42" i="12" s="1"/>
  <c r="O42" i="12" s="1"/>
  <c r="P42" i="12" s="1"/>
  <c r="M6" i="12"/>
  <c r="P7" i="12" s="1"/>
  <c r="J43" i="12"/>
  <c r="M43" i="12" s="1"/>
  <c r="O43" i="12" s="1"/>
  <c r="P43" i="12" s="1"/>
  <c r="J61" i="12"/>
  <c r="M61" i="12" s="1"/>
  <c r="O61" i="12" s="1"/>
  <c r="P61" i="12" s="1"/>
  <c r="J72" i="12"/>
  <c r="M72" i="12" s="1"/>
  <c r="O72" i="12" s="1"/>
  <c r="P72" i="12" s="1"/>
  <c r="J77" i="12"/>
  <c r="M77" i="12" s="1"/>
  <c r="O77" i="12" s="1"/>
  <c r="P77" i="12" s="1"/>
  <c r="J79" i="12"/>
  <c r="M79" i="12" s="1"/>
  <c r="O79" i="12" s="1"/>
  <c r="P79" i="12" s="1"/>
  <c r="J88" i="12"/>
  <c r="M88" i="12" s="1"/>
  <c r="O88" i="12" s="1"/>
  <c r="P88" i="12" s="1"/>
  <c r="J34" i="12"/>
  <c r="M34" i="12" s="1"/>
  <c r="O34" i="12" s="1"/>
  <c r="P34" i="12" s="1"/>
  <c r="J38" i="12"/>
  <c r="M38" i="12" s="1"/>
  <c r="O38" i="12" s="1"/>
  <c r="P38" i="12" s="1"/>
  <c r="J74" i="12"/>
  <c r="M74" i="12" s="1"/>
  <c r="O74" i="12" s="1"/>
  <c r="P74" i="12" s="1"/>
  <c r="J30" i="12"/>
  <c r="M30" i="12" s="1"/>
  <c r="O30" i="12" s="1"/>
  <c r="P30" i="12" s="1"/>
  <c r="J84" i="12"/>
  <c r="J91" i="12"/>
  <c r="J87" i="12"/>
  <c r="J47" i="12"/>
  <c r="J56" i="12"/>
  <c r="J69" i="12"/>
  <c r="M8" i="12"/>
  <c r="P9" i="12" s="1"/>
  <c r="J54" i="12"/>
  <c r="M54" i="12" s="1"/>
  <c r="O54" i="12" s="1"/>
  <c r="P54" i="12" s="1"/>
  <c r="J85" i="12"/>
  <c r="M85" i="12" s="1"/>
  <c r="O85" i="12" s="1"/>
  <c r="P85" i="12" s="1"/>
  <c r="J62" i="12"/>
  <c r="M62" i="12" s="1"/>
  <c r="O62" i="12" s="1"/>
  <c r="P62" i="12" s="1"/>
  <c r="J28" i="12"/>
  <c r="M28" i="12" s="1"/>
  <c r="O28" i="12" s="1"/>
  <c r="P28" i="12" s="1"/>
  <c r="J73" i="12"/>
  <c r="M73" i="12" s="1"/>
  <c r="O73" i="12" s="1"/>
  <c r="P73" i="12" s="1"/>
  <c r="J36" i="12"/>
  <c r="M36" i="12" s="1"/>
  <c r="O36" i="12" s="1"/>
  <c r="P36" i="12" s="1"/>
  <c r="J50" i="12"/>
  <c r="M50" i="12" s="1"/>
  <c r="O50" i="12" s="1"/>
  <c r="P50" i="12" s="1"/>
  <c r="J93" i="12"/>
  <c r="M93" i="12" s="1"/>
  <c r="O93" i="12" s="1"/>
  <c r="P93" i="12" s="1"/>
  <c r="J70" i="12"/>
  <c r="M70" i="12" s="1"/>
  <c r="O70" i="12" s="1"/>
  <c r="P70" i="12" s="1"/>
  <c r="J90" i="12"/>
  <c r="M90" i="12" s="1"/>
  <c r="O90" i="12" s="1"/>
  <c r="P90" i="12" s="1"/>
  <c r="J83" i="12"/>
  <c r="M83" i="12" s="1"/>
  <c r="O83" i="12" s="1"/>
  <c r="P83" i="12" s="1"/>
  <c r="J63" i="12"/>
  <c r="M63" i="12" s="1"/>
  <c r="O63" i="12" s="1"/>
  <c r="P63" i="12" s="1"/>
  <c r="J89" i="12"/>
  <c r="M89" i="12" s="1"/>
  <c r="O89" i="12" s="1"/>
  <c r="P89" i="12" s="1"/>
  <c r="M10" i="12"/>
  <c r="P11" i="12" s="1"/>
  <c r="J98" i="12"/>
  <c r="M98" i="12" s="1"/>
  <c r="O98" i="12" s="1"/>
  <c r="P98" i="12" s="1"/>
  <c r="J64" i="12"/>
  <c r="M64" i="12" s="1"/>
  <c r="O64" i="12" s="1"/>
  <c r="P64" i="12" s="1"/>
  <c r="M9" i="12"/>
  <c r="P10" i="12" s="1"/>
  <c r="J71" i="12"/>
  <c r="M71" i="12" s="1"/>
  <c r="O71" i="12" s="1"/>
  <c r="P71" i="12" s="1"/>
  <c r="J95" i="12"/>
  <c r="M95" i="12" s="1"/>
  <c r="O95" i="12" s="1"/>
  <c r="P95" i="12" s="1"/>
  <c r="J39" i="12"/>
  <c r="M39" i="12" s="1"/>
  <c r="O39" i="12" s="1"/>
  <c r="P39" i="12" s="1"/>
  <c r="J46" i="12"/>
  <c r="J41" i="12"/>
  <c r="J75" i="12"/>
  <c r="M75" i="12" s="1"/>
  <c r="O75" i="12" s="1"/>
  <c r="P75" i="12" s="1"/>
  <c r="J86" i="12"/>
  <c r="M86" i="12" s="1"/>
  <c r="O86" i="12" s="1"/>
  <c r="P86" i="12" s="1"/>
  <c r="J97" i="12"/>
  <c r="J48" i="12"/>
  <c r="M48" i="12" s="1"/>
  <c r="O48" i="12" s="1"/>
  <c r="P48" i="12" s="1"/>
  <c r="J57" i="12"/>
  <c r="M57" i="12" s="1"/>
  <c r="O57" i="12" s="1"/>
  <c r="P57" i="12" s="1"/>
  <c r="J33" i="12"/>
  <c r="M33" i="12" s="1"/>
  <c r="O33" i="12" s="1"/>
  <c r="P33" i="12" s="1"/>
  <c r="J82" i="12"/>
  <c r="M82" i="12" s="1"/>
  <c r="O82" i="12" s="1"/>
  <c r="P82" i="12" s="1"/>
  <c r="J45" i="12"/>
  <c r="M45" i="12" s="1"/>
  <c r="O45" i="12" s="1"/>
  <c r="P45" i="12" s="1"/>
  <c r="J29" i="12"/>
  <c r="M29" i="12" s="1"/>
  <c r="O29" i="12" s="1"/>
  <c r="P29" i="12" s="1"/>
  <c r="J53" i="12"/>
  <c r="M53" i="12" s="1"/>
  <c r="O53" i="12" s="1"/>
  <c r="P53" i="12" s="1"/>
  <c r="J31" i="12"/>
  <c r="M31" i="12" s="1"/>
  <c r="O31" i="12" s="1"/>
  <c r="P31" i="12" s="1"/>
  <c r="J68" i="12"/>
  <c r="M68" i="12" s="1"/>
  <c r="O68" i="12" s="1"/>
  <c r="P68" i="12" s="1"/>
  <c r="J65" i="12"/>
  <c r="M65" i="12" s="1"/>
  <c r="O65" i="12" s="1"/>
  <c r="P65" i="12" s="1"/>
  <c r="J35" i="12"/>
  <c r="M35" i="12" s="1"/>
  <c r="O35" i="12" s="1"/>
  <c r="P35" i="12" s="1"/>
  <c r="K45" i="18"/>
  <c r="J29" i="18"/>
  <c r="J80" i="18"/>
  <c r="K85" i="18"/>
  <c r="K68" i="18"/>
  <c r="K71" i="18"/>
  <c r="K91" i="18"/>
  <c r="K80" i="18"/>
  <c r="K48" i="18"/>
  <c r="K30" i="18"/>
  <c r="J39" i="18"/>
  <c r="J70" i="18"/>
  <c r="M70" i="18" s="1"/>
  <c r="O70" i="18" s="1"/>
  <c r="P70" i="18" s="1"/>
  <c r="J64" i="18"/>
  <c r="M64" i="18" s="1"/>
  <c r="O64" i="18" s="1"/>
  <c r="P64" i="18" s="1"/>
  <c r="J50" i="18"/>
  <c r="J36" i="18"/>
  <c r="M36" i="18" s="1"/>
  <c r="O36" i="18" s="1"/>
  <c r="P36" i="18" s="1"/>
  <c r="J94" i="18"/>
  <c r="M94" i="18" s="1"/>
  <c r="O94" i="18" s="1"/>
  <c r="P94" i="18" s="1"/>
  <c r="J83" i="18"/>
  <c r="M83" i="18" s="1"/>
  <c r="O83" i="18" s="1"/>
  <c r="P83" i="18" s="1"/>
  <c r="J98" i="18"/>
  <c r="M98" i="18" s="1"/>
  <c r="O98" i="18" s="1"/>
  <c r="P98" i="18" s="1"/>
  <c r="J49" i="18"/>
  <c r="J68" i="18"/>
  <c r="M68" i="18" s="1"/>
  <c r="O68" i="18" s="1"/>
  <c r="P68" i="18" s="1"/>
  <c r="J52" i="18"/>
  <c r="J48" i="18"/>
  <c r="J59" i="18"/>
  <c r="J54" i="18"/>
  <c r="J63" i="18"/>
  <c r="J81" i="18"/>
  <c r="J93" i="18"/>
  <c r="M93" i="18" s="1"/>
  <c r="O93" i="18" s="1"/>
  <c r="P93" i="18" s="1"/>
  <c r="J44" i="18"/>
  <c r="M44" i="18" s="1"/>
  <c r="O44" i="18" s="1"/>
  <c r="P44" i="18" s="1"/>
  <c r="J46" i="18"/>
  <c r="J57" i="18"/>
  <c r="K69" i="18"/>
  <c r="K79" i="18"/>
  <c r="K54" i="18"/>
  <c r="J62" i="18"/>
  <c r="J75" i="18"/>
  <c r="K73" i="18"/>
  <c r="J95" i="18"/>
  <c r="J82" i="18"/>
  <c r="M82" i="18" s="1"/>
  <c r="O82" i="18" s="1"/>
  <c r="P82" i="18" s="1"/>
  <c r="K65" i="18"/>
  <c r="M65" i="18" s="1"/>
  <c r="O65" i="18" s="1"/>
  <c r="P65" i="18" s="1"/>
  <c r="J56" i="18"/>
  <c r="J87" i="18"/>
  <c r="M87" i="18" s="1"/>
  <c r="O87" i="18" s="1"/>
  <c r="P87" i="18" s="1"/>
  <c r="K93" i="18"/>
  <c r="J74" i="18"/>
  <c r="J37" i="18"/>
  <c r="K40" i="18"/>
  <c r="K44" i="18"/>
  <c r="J77" i="18"/>
  <c r="J41" i="18"/>
  <c r="M41" i="18" s="1"/>
  <c r="O41" i="18" s="1"/>
  <c r="P41" i="18" s="1"/>
  <c r="K43" i="18"/>
  <c r="K46" i="18"/>
  <c r="N9" i="18"/>
  <c r="J32" i="18"/>
  <c r="M32" i="18" s="1"/>
  <c r="O32" i="18" s="1"/>
  <c r="P32" i="18" s="1"/>
  <c r="J53" i="18"/>
  <c r="K98" i="18"/>
  <c r="K57" i="18"/>
  <c r="J51" i="18"/>
  <c r="J65" i="18"/>
  <c r="K74" i="18"/>
  <c r="M74" i="18" s="1"/>
  <c r="O74" i="18" s="1"/>
  <c r="P74" i="18" s="1"/>
  <c r="K84" i="18"/>
  <c r="J66" i="18"/>
  <c r="J97" i="18"/>
  <c r="K38" i="18"/>
  <c r="K90" i="18"/>
  <c r="K50" i="18"/>
  <c r="J72" i="18"/>
  <c r="K41" i="18"/>
  <c r="K77" i="18"/>
  <c r="K63" i="18"/>
  <c r="M63" i="18" s="1"/>
  <c r="O63" i="18" s="1"/>
  <c r="P63" i="18" s="1"/>
  <c r="J78" i="18"/>
  <c r="K81" i="18"/>
  <c r="K34" i="18"/>
  <c r="N7" i="18"/>
  <c r="K53" i="18"/>
  <c r="K89" i="18"/>
  <c r="K61" i="18"/>
  <c r="K86" i="18"/>
  <c r="K27" i="18"/>
  <c r="N8" i="19"/>
  <c r="N6" i="19"/>
  <c r="M58" i="16"/>
  <c r="O58" i="16" s="1"/>
  <c r="P58" i="16" s="1"/>
  <c r="M98" i="16"/>
  <c r="O98" i="16" s="1"/>
  <c r="P98" i="16" s="1"/>
  <c r="M63" i="16"/>
  <c r="O63" i="16" s="1"/>
  <c r="P63" i="16" s="1"/>
  <c r="M36" i="16"/>
  <c r="O36" i="16" s="1"/>
  <c r="P36" i="16" s="1"/>
  <c r="R36" i="16" s="1"/>
  <c r="M46" i="16"/>
  <c r="O46" i="16" s="1"/>
  <c r="P46" i="16" s="1"/>
  <c r="M72" i="16"/>
  <c r="O72" i="16" s="1"/>
  <c r="P72" i="16" s="1"/>
  <c r="M54" i="16"/>
  <c r="O54" i="16" s="1"/>
  <c r="P54" i="16" s="1"/>
  <c r="M52" i="16"/>
  <c r="O52" i="16" s="1"/>
  <c r="P52" i="16" s="1"/>
  <c r="M79" i="16"/>
  <c r="O79" i="16" s="1"/>
  <c r="P79" i="16" s="1"/>
  <c r="M64" i="16"/>
  <c r="O64" i="16" s="1"/>
  <c r="P64" i="16" s="1"/>
  <c r="M87" i="16"/>
  <c r="O87" i="16" s="1"/>
  <c r="P87" i="16" s="1"/>
  <c r="M30" i="16"/>
  <c r="O30" i="16" s="1"/>
  <c r="P30" i="16" s="1"/>
  <c r="M43" i="16"/>
  <c r="O43" i="16" s="1"/>
  <c r="P43" i="16" s="1"/>
  <c r="M51" i="16"/>
  <c r="O51" i="16" s="1"/>
  <c r="P51" i="16" s="1"/>
  <c r="M49" i="16"/>
  <c r="O49" i="16" s="1"/>
  <c r="P49" i="16" s="1"/>
  <c r="M47" i="16"/>
  <c r="O47" i="16" s="1"/>
  <c r="P47" i="16" s="1"/>
  <c r="M42" i="15"/>
  <c r="O42" i="15" s="1"/>
  <c r="P42" i="15" s="1"/>
  <c r="M75" i="14"/>
  <c r="O75" i="14" s="1"/>
  <c r="P75" i="14" s="1"/>
  <c r="M82" i="14"/>
  <c r="O82" i="14" s="1"/>
  <c r="P82" i="14" s="1"/>
  <c r="M50" i="14"/>
  <c r="O50" i="14" s="1"/>
  <c r="P50" i="14" s="1"/>
  <c r="M30" i="14"/>
  <c r="O30" i="14" s="1"/>
  <c r="P30" i="14" s="1"/>
  <c r="M40" i="14"/>
  <c r="O40" i="14" s="1"/>
  <c r="P40" i="14" s="1"/>
  <c r="M63" i="14"/>
  <c r="O63" i="14" s="1"/>
  <c r="P63" i="14" s="1"/>
  <c r="M87" i="14"/>
  <c r="O87" i="14" s="1"/>
  <c r="P87" i="14" s="1"/>
  <c r="M79" i="14"/>
  <c r="O79" i="14" s="1"/>
  <c r="P79" i="14" s="1"/>
  <c r="M84" i="14"/>
  <c r="O84" i="14" s="1"/>
  <c r="P84" i="14" s="1"/>
  <c r="M74" i="14"/>
  <c r="O74" i="14" s="1"/>
  <c r="P74" i="14" s="1"/>
  <c r="M29" i="14"/>
  <c r="O29" i="14" s="1"/>
  <c r="P29" i="14" s="1"/>
  <c r="M77" i="14"/>
  <c r="O77" i="14" s="1"/>
  <c r="P77" i="14" s="1"/>
  <c r="M73" i="14"/>
  <c r="O73" i="14" s="1"/>
  <c r="P73" i="14" s="1"/>
  <c r="M48" i="14"/>
  <c r="O48" i="14" s="1"/>
  <c r="P48" i="14" s="1"/>
  <c r="M27" i="14"/>
  <c r="O27" i="14" s="1"/>
  <c r="P27" i="14" s="1"/>
  <c r="M37" i="14"/>
  <c r="O37" i="14" s="1"/>
  <c r="P37" i="14" s="1"/>
  <c r="M86" i="14"/>
  <c r="O86" i="14" s="1"/>
  <c r="P86" i="14" s="1"/>
  <c r="Q84" i="14" s="1"/>
  <c r="U46" i="14" s="1"/>
  <c r="M94" i="14"/>
  <c r="O94" i="14" s="1"/>
  <c r="P94" i="14" s="1"/>
  <c r="M53" i="14"/>
  <c r="O53" i="14" s="1"/>
  <c r="P53" i="14" s="1"/>
  <c r="Q51" i="14" s="1"/>
  <c r="U35" i="14" s="1"/>
  <c r="M65" i="14"/>
  <c r="O65" i="14" s="1"/>
  <c r="P65" i="14" s="1"/>
  <c r="M93" i="13"/>
  <c r="O93" i="13" s="1"/>
  <c r="P93" i="13" s="1"/>
  <c r="M48" i="13"/>
  <c r="O48" i="13" s="1"/>
  <c r="P48" i="13" s="1"/>
  <c r="M39" i="13"/>
  <c r="O39" i="13" s="1"/>
  <c r="P39" i="13" s="1"/>
  <c r="M70" i="13"/>
  <c r="O70" i="13" s="1"/>
  <c r="P70" i="13" s="1"/>
  <c r="M82" i="13"/>
  <c r="O82" i="13" s="1"/>
  <c r="P82" i="13" s="1"/>
  <c r="M54" i="13"/>
  <c r="O54" i="13" s="1"/>
  <c r="P54" i="13" s="1"/>
  <c r="M83" i="13"/>
  <c r="O83" i="13" s="1"/>
  <c r="P83" i="13" s="1"/>
  <c r="M45" i="13"/>
  <c r="O45" i="13" s="1"/>
  <c r="P45" i="13" s="1"/>
  <c r="M36" i="13"/>
  <c r="O36" i="13" s="1"/>
  <c r="P36" i="13" s="1"/>
  <c r="M75" i="13"/>
  <c r="O75" i="13" s="1"/>
  <c r="P75" i="13" s="1"/>
  <c r="M43" i="13"/>
  <c r="O43" i="13" s="1"/>
  <c r="P43" i="13" s="1"/>
  <c r="M98" i="13"/>
  <c r="O98" i="13" s="1"/>
  <c r="P98" i="13" s="1"/>
  <c r="M31" i="13"/>
  <c r="O31" i="13" s="1"/>
  <c r="P31" i="13" s="1"/>
  <c r="M78" i="13"/>
  <c r="O78" i="13" s="1"/>
  <c r="P78" i="13" s="1"/>
  <c r="M81" i="12"/>
  <c r="O81" i="12" s="1"/>
  <c r="P81" i="12" s="1"/>
  <c r="M51" i="12"/>
  <c r="O51" i="12" s="1"/>
  <c r="P51" i="12" s="1"/>
  <c r="M66" i="12"/>
  <c r="O66" i="12" s="1"/>
  <c r="P66" i="12" s="1"/>
  <c r="M78" i="12"/>
  <c r="O78" i="12" s="1"/>
  <c r="P78" i="12" s="1"/>
  <c r="M32" i="12"/>
  <c r="O32" i="12" s="1"/>
  <c r="P32" i="12" s="1"/>
  <c r="M84" i="12"/>
  <c r="O84" i="12" s="1"/>
  <c r="P84" i="12" s="1"/>
  <c r="M37" i="12"/>
  <c r="O37" i="12" s="1"/>
  <c r="P37" i="12" s="1"/>
  <c r="M41" i="12"/>
  <c r="O41" i="12" s="1"/>
  <c r="P41" i="12" s="1"/>
  <c r="M91" i="12"/>
  <c r="O91" i="12" s="1"/>
  <c r="P91" i="12" s="1"/>
  <c r="M80" i="12"/>
  <c r="O80" i="12" s="1"/>
  <c r="P80" i="12" s="1"/>
  <c r="K36" i="18"/>
  <c r="K42" i="18"/>
  <c r="K58" i="18"/>
  <c r="K76" i="18"/>
  <c r="K28" i="18"/>
  <c r="J61" i="18"/>
  <c r="J42" i="18"/>
  <c r="J58" i="18"/>
  <c r="J76" i="18"/>
  <c r="J28" i="18"/>
  <c r="J89" i="18"/>
  <c r="M89" i="18" s="1"/>
  <c r="O89" i="18" s="1"/>
  <c r="P89" i="18" s="1"/>
  <c r="J69" i="18"/>
  <c r="J38" i="18"/>
  <c r="J84" i="18"/>
  <c r="J34" i="18"/>
  <c r="J27" i="18"/>
  <c r="M27" i="18" s="1"/>
  <c r="J90" i="18"/>
  <c r="M90" i="18" s="1"/>
  <c r="O90" i="18" s="1"/>
  <c r="P90" i="18" s="1"/>
  <c r="K29" i="18"/>
  <c r="K32" i="18"/>
  <c r="K31" i="18"/>
  <c r="M9" i="18"/>
  <c r="P10" i="18" s="1"/>
  <c r="K97" i="18"/>
  <c r="J71" i="18"/>
  <c r="M71" i="18" s="1"/>
  <c r="O71" i="18" s="1"/>
  <c r="P71" i="18" s="1"/>
  <c r="J30" i="18"/>
  <c r="J45" i="18"/>
  <c r="M45" i="18" s="1"/>
  <c r="O45" i="18" s="1"/>
  <c r="P45" i="18" s="1"/>
  <c r="K49" i="18"/>
  <c r="K51" i="18"/>
  <c r="K35" i="18"/>
  <c r="N8" i="18"/>
  <c r="J85" i="18"/>
  <c r="M85" i="18" s="1"/>
  <c r="O85" i="18" s="1"/>
  <c r="P85" i="18" s="1"/>
  <c r="J33" i="18"/>
  <c r="M33" i="18" s="1"/>
  <c r="O33" i="18" s="1"/>
  <c r="P33" i="18" s="1"/>
  <c r="K52" i="18"/>
  <c r="K66" i="18"/>
  <c r="K55" i="18"/>
  <c r="M8" i="18"/>
  <c r="P9" i="18" s="1"/>
  <c r="J79" i="18"/>
  <c r="J91" i="18"/>
  <c r="M91" i="18" s="1"/>
  <c r="O91" i="18" s="1"/>
  <c r="P91" i="18" s="1"/>
  <c r="J31" i="18"/>
  <c r="K92" i="18"/>
  <c r="K59" i="18"/>
  <c r="K72" i="18"/>
  <c r="K60" i="18"/>
  <c r="M7" i="18"/>
  <c r="P8" i="18" s="1"/>
  <c r="J73" i="18"/>
  <c r="J47" i="18"/>
  <c r="M47" i="18" s="1"/>
  <c r="O47" i="18" s="1"/>
  <c r="P47" i="18" s="1"/>
  <c r="J35" i="18"/>
  <c r="J86" i="18"/>
  <c r="K62" i="18"/>
  <c r="K78" i="18"/>
  <c r="K39" i="18"/>
  <c r="N6" i="18"/>
  <c r="J40" i="18"/>
  <c r="J67" i="18"/>
  <c r="M67" i="18" s="1"/>
  <c r="O67" i="18" s="1"/>
  <c r="P67" i="18" s="1"/>
  <c r="J55" i="18"/>
  <c r="M55" i="18" s="1"/>
  <c r="O55" i="18" s="1"/>
  <c r="P55" i="18" s="1"/>
  <c r="M6" i="18"/>
  <c r="P7" i="18" s="1"/>
  <c r="K95" i="18"/>
  <c r="K96" i="18"/>
  <c r="M96" i="18" s="1"/>
  <c r="O96" i="18" s="1"/>
  <c r="P96" i="18" s="1"/>
  <c r="K70" i="18"/>
  <c r="N10" i="18"/>
  <c r="J43" i="18"/>
  <c r="J88" i="18"/>
  <c r="M88" i="18" s="1"/>
  <c r="O88" i="18" s="1"/>
  <c r="P88" i="18" s="1"/>
  <c r="J60" i="18"/>
  <c r="J92" i="18"/>
  <c r="M92" i="18" s="1"/>
  <c r="O92" i="18" s="1"/>
  <c r="P92" i="18" s="1"/>
  <c r="K56" i="18"/>
  <c r="K37" i="18"/>
  <c r="K75" i="18"/>
  <c r="M10" i="18"/>
  <c r="P11" i="18" s="1"/>
  <c r="K14" i="1"/>
  <c r="J14" i="1"/>
  <c r="K60" i="19"/>
  <c r="M60" i="19" s="1"/>
  <c r="O60" i="19" s="1"/>
  <c r="P60" i="19" s="1"/>
  <c r="K55" i="19"/>
  <c r="K35" i="19"/>
  <c r="K31" i="19"/>
  <c r="M31" i="19" s="1"/>
  <c r="O31" i="19" s="1"/>
  <c r="P31" i="19" s="1"/>
  <c r="K33" i="19"/>
  <c r="M33" i="19" s="1"/>
  <c r="O33" i="19" s="1"/>
  <c r="P33" i="19" s="1"/>
  <c r="K94" i="19"/>
  <c r="K89" i="19"/>
  <c r="M89" i="19" s="1"/>
  <c r="O89" i="19" s="1"/>
  <c r="P89" i="19" s="1"/>
  <c r="K77" i="19"/>
  <c r="K82" i="19"/>
  <c r="M82" i="19" s="1"/>
  <c r="O82" i="19" s="1"/>
  <c r="P82" i="19" s="1"/>
  <c r="K71" i="19"/>
  <c r="K65" i="19"/>
  <c r="K51" i="19"/>
  <c r="K76" i="19"/>
  <c r="K46" i="19"/>
  <c r="K44" i="19"/>
  <c r="K96" i="19"/>
  <c r="K93" i="19"/>
  <c r="K90" i="19"/>
  <c r="K68" i="19"/>
  <c r="K59" i="19"/>
  <c r="M59" i="19" s="1"/>
  <c r="O59" i="19" s="1"/>
  <c r="P59" i="19" s="1"/>
  <c r="K75" i="19"/>
  <c r="M75" i="19" s="1"/>
  <c r="O75" i="19" s="1"/>
  <c r="P75" i="19" s="1"/>
  <c r="K39" i="19"/>
  <c r="M39" i="19" s="1"/>
  <c r="O39" i="19" s="1"/>
  <c r="P39" i="19" s="1"/>
  <c r="K91" i="19"/>
  <c r="M91" i="19" s="1"/>
  <c r="O91" i="19" s="1"/>
  <c r="P91" i="19" s="1"/>
  <c r="K78" i="19"/>
  <c r="M78" i="19" s="1"/>
  <c r="O78" i="19" s="1"/>
  <c r="P78" i="19" s="1"/>
  <c r="K64" i="19"/>
  <c r="M64" i="19" s="1"/>
  <c r="O64" i="19" s="1"/>
  <c r="P64" i="19" s="1"/>
  <c r="K61" i="19"/>
  <c r="M61" i="19" s="1"/>
  <c r="O61" i="19" s="1"/>
  <c r="P61" i="19" s="1"/>
  <c r="K58" i="19"/>
  <c r="M58" i="19" s="1"/>
  <c r="O58" i="19" s="1"/>
  <c r="P58" i="19" s="1"/>
  <c r="K81" i="19"/>
  <c r="K49" i="19"/>
  <c r="K95" i="19"/>
  <c r="K84" i="19"/>
  <c r="N7" i="19"/>
  <c r="K40" i="19"/>
  <c r="M40" i="19" s="1"/>
  <c r="O40" i="19" s="1"/>
  <c r="P40" i="19" s="1"/>
  <c r="K34" i="19"/>
  <c r="M34" i="19" s="1"/>
  <c r="O34" i="19" s="1"/>
  <c r="P34" i="19" s="1"/>
  <c r="K69" i="19"/>
  <c r="M69" i="19" s="1"/>
  <c r="O69" i="19" s="1"/>
  <c r="P69" i="19" s="1"/>
  <c r="K36" i="19"/>
  <c r="K53" i="19"/>
  <c r="M53" i="19" s="1"/>
  <c r="O53" i="19" s="1"/>
  <c r="P53" i="19" s="1"/>
  <c r="K97" i="19"/>
  <c r="M97" i="19" s="1"/>
  <c r="O97" i="19" s="1"/>
  <c r="P97" i="19" s="1"/>
  <c r="K56" i="19"/>
  <c r="K27" i="19"/>
  <c r="K86" i="19"/>
  <c r="K79" i="19"/>
  <c r="K83" i="19"/>
  <c r="M83" i="19" s="1"/>
  <c r="O83" i="19" s="1"/>
  <c r="P83" i="19" s="1"/>
  <c r="K63" i="19"/>
  <c r="M63" i="19" s="1"/>
  <c r="O63" i="19" s="1"/>
  <c r="P63" i="19" s="1"/>
  <c r="K45" i="19"/>
  <c r="K88" i="19"/>
  <c r="M88" i="19" s="1"/>
  <c r="O88" i="19" s="1"/>
  <c r="P88" i="19" s="1"/>
  <c r="K72" i="19"/>
  <c r="M72" i="19" s="1"/>
  <c r="O72" i="19" s="1"/>
  <c r="P72" i="19" s="1"/>
  <c r="K48" i="19"/>
  <c r="K74" i="19"/>
  <c r="K62" i="19"/>
  <c r="K54" i="19"/>
  <c r="M54" i="19" s="1"/>
  <c r="O54" i="19" s="1"/>
  <c r="P54" i="19" s="1"/>
  <c r="K41" i="19"/>
  <c r="K70" i="19"/>
  <c r="M70" i="19" s="1"/>
  <c r="O70" i="19" s="1"/>
  <c r="P70" i="19" s="1"/>
  <c r="K32" i="19"/>
  <c r="K29" i="19"/>
  <c r="M29" i="19" s="1"/>
  <c r="O29" i="19" s="1"/>
  <c r="P29" i="19" s="1"/>
  <c r="K98" i="19"/>
  <c r="M98" i="19" s="1"/>
  <c r="O98" i="19" s="1"/>
  <c r="P98" i="19" s="1"/>
  <c r="K66" i="19"/>
  <c r="K38" i="19"/>
  <c r="M38" i="19" s="1"/>
  <c r="O38" i="19" s="1"/>
  <c r="P38" i="19" s="1"/>
  <c r="K50" i="19"/>
  <c r="K28" i="19"/>
  <c r="M28" i="19" s="1"/>
  <c r="O28" i="19" s="1"/>
  <c r="P28" i="19" s="1"/>
  <c r="K73" i="19"/>
  <c r="M73" i="19" s="1"/>
  <c r="O73" i="19" s="1"/>
  <c r="P73" i="19" s="1"/>
  <c r="K47" i="19"/>
  <c r="K85" i="19"/>
  <c r="M85" i="19" s="1"/>
  <c r="O85" i="19" s="1"/>
  <c r="P85" i="19" s="1"/>
  <c r="K57" i="19"/>
  <c r="M57" i="19" s="1"/>
  <c r="O57" i="19" s="1"/>
  <c r="P57" i="19" s="1"/>
  <c r="K43" i="19"/>
  <c r="M43" i="19" s="1"/>
  <c r="O43" i="19" s="1"/>
  <c r="P43" i="19" s="1"/>
  <c r="K80" i="19"/>
  <c r="M80" i="19" s="1"/>
  <c r="O80" i="19" s="1"/>
  <c r="P80" i="19" s="1"/>
  <c r="K37" i="19"/>
  <c r="M37" i="19" s="1"/>
  <c r="O37" i="19" s="1"/>
  <c r="P37" i="19" s="1"/>
  <c r="K92" i="19"/>
  <c r="M92" i="19" s="1"/>
  <c r="O92" i="19" s="1"/>
  <c r="P92" i="19" s="1"/>
  <c r="K87" i="19"/>
  <c r="K52" i="19"/>
  <c r="K67" i="19"/>
  <c r="K30" i="19"/>
  <c r="M30" i="19" s="1"/>
  <c r="O30" i="19" s="1"/>
  <c r="P30" i="19" s="1"/>
  <c r="K42" i="19"/>
  <c r="M46" i="19"/>
  <c r="O46" i="19" s="1"/>
  <c r="P46" i="19" s="1"/>
  <c r="M76" i="19"/>
  <c r="O76" i="19" s="1"/>
  <c r="P76" i="19" s="1"/>
  <c r="N9" i="19"/>
  <c r="M80" i="18"/>
  <c r="O80" i="18" s="1"/>
  <c r="P80" i="18" s="1"/>
  <c r="M48" i="18"/>
  <c r="O48" i="18" s="1"/>
  <c r="P48" i="18" s="1"/>
  <c r="M89" i="17"/>
  <c r="O89" i="17" s="1"/>
  <c r="P89" i="17" s="1"/>
  <c r="M62" i="17"/>
  <c r="O62" i="17" s="1"/>
  <c r="P62" i="17" s="1"/>
  <c r="M93" i="17"/>
  <c r="O93" i="17" s="1"/>
  <c r="P93" i="17" s="1"/>
  <c r="M83" i="17"/>
  <c r="O83" i="17" s="1"/>
  <c r="P83" i="17" s="1"/>
  <c r="M39" i="17"/>
  <c r="O39" i="17" s="1"/>
  <c r="P39" i="17" s="1"/>
  <c r="M80" i="17"/>
  <c r="O80" i="17" s="1"/>
  <c r="P80" i="17" s="1"/>
  <c r="M70" i="17"/>
  <c r="O70" i="17" s="1"/>
  <c r="P70" i="17" s="1"/>
  <c r="M27" i="17"/>
  <c r="O27" i="17" s="1"/>
  <c r="P27" i="17" s="1"/>
  <c r="M65" i="17"/>
  <c r="O65" i="17" s="1"/>
  <c r="P65" i="17" s="1"/>
  <c r="R63" i="17" s="1"/>
  <c r="M43" i="17"/>
  <c r="O43" i="17" s="1"/>
  <c r="P43" i="17" s="1"/>
  <c r="M59" i="17"/>
  <c r="O59" i="17" s="1"/>
  <c r="P59" i="17" s="1"/>
  <c r="M60" i="17"/>
  <c r="O60" i="17" s="1"/>
  <c r="P60" i="17" s="1"/>
  <c r="M77" i="17"/>
  <c r="O77" i="17" s="1"/>
  <c r="P77" i="17" s="1"/>
  <c r="M94" i="17"/>
  <c r="O94" i="17" s="1"/>
  <c r="P94" i="17" s="1"/>
  <c r="M44" i="17"/>
  <c r="O44" i="17" s="1"/>
  <c r="P44" i="17" s="1"/>
  <c r="M34" i="17"/>
  <c r="O34" i="17" s="1"/>
  <c r="P34" i="17" s="1"/>
  <c r="M75" i="17"/>
  <c r="O75" i="17" s="1"/>
  <c r="P75" i="17" s="1"/>
  <c r="M29" i="17"/>
  <c r="O29" i="17" s="1"/>
  <c r="P29" i="17" s="1"/>
  <c r="M97" i="17"/>
  <c r="O97" i="17" s="1"/>
  <c r="P97" i="17" s="1"/>
  <c r="M31" i="17"/>
  <c r="O31" i="17" s="1"/>
  <c r="P31" i="17" s="1"/>
  <c r="P56" i="17"/>
  <c r="M51" i="17"/>
  <c r="O51" i="17" s="1"/>
  <c r="P51" i="17" s="1"/>
  <c r="M28" i="17"/>
  <c r="O28" i="17" s="1"/>
  <c r="P28" i="17" s="1"/>
  <c r="M73" i="17"/>
  <c r="O73" i="17" s="1"/>
  <c r="P73" i="17" s="1"/>
  <c r="M82" i="17"/>
  <c r="O82" i="17" s="1"/>
  <c r="P82" i="17" s="1"/>
  <c r="P88" i="17"/>
  <c r="M67" i="17"/>
  <c r="O67" i="17" s="1"/>
  <c r="P67" i="17" s="1"/>
  <c r="M33" i="17"/>
  <c r="O33" i="17" s="1"/>
  <c r="P33" i="17" s="1"/>
  <c r="M35" i="17"/>
  <c r="O35" i="17" s="1"/>
  <c r="P35" i="17" s="1"/>
  <c r="M55" i="17"/>
  <c r="O55" i="17" s="1"/>
  <c r="P55" i="17" s="1"/>
  <c r="M58" i="17"/>
  <c r="O58" i="17" s="1"/>
  <c r="P58" i="17" s="1"/>
  <c r="M69" i="17"/>
  <c r="O69" i="17" s="1"/>
  <c r="P69" i="17" s="1"/>
  <c r="M86" i="17"/>
  <c r="O86" i="17" s="1"/>
  <c r="P86" i="17" s="1"/>
  <c r="M52" i="17"/>
  <c r="O52" i="17" s="1"/>
  <c r="P52" i="17" s="1"/>
  <c r="M87" i="17"/>
  <c r="O87" i="17" s="1"/>
  <c r="P87" i="17" s="1"/>
  <c r="M40" i="16"/>
  <c r="O40" i="16" s="1"/>
  <c r="P40" i="16" s="1"/>
  <c r="M31" i="16"/>
  <c r="O31" i="16" s="1"/>
  <c r="P31" i="16" s="1"/>
  <c r="P32" i="16"/>
  <c r="M41" i="16"/>
  <c r="O41" i="16" s="1"/>
  <c r="P41" i="16" s="1"/>
  <c r="M45" i="16"/>
  <c r="O45" i="16" s="1"/>
  <c r="P45" i="16" s="1"/>
  <c r="P53" i="16"/>
  <c r="P50" i="16"/>
  <c r="M96" i="16"/>
  <c r="O96" i="16" s="1"/>
  <c r="P96" i="16" s="1"/>
  <c r="M65" i="16"/>
  <c r="O65" i="16" s="1"/>
  <c r="P65" i="16" s="1"/>
  <c r="R63" i="16" s="1"/>
  <c r="Q63" i="16"/>
  <c r="U39" i="16" s="1"/>
  <c r="M66" i="16"/>
  <c r="O66" i="16" s="1"/>
  <c r="P66" i="16" s="1"/>
  <c r="M97" i="16"/>
  <c r="O97" i="16" s="1"/>
  <c r="P97" i="16" s="1"/>
  <c r="M28" i="16"/>
  <c r="O28" i="16" s="1"/>
  <c r="P28" i="16" s="1"/>
  <c r="M85" i="16"/>
  <c r="O85" i="16" s="1"/>
  <c r="P85" i="16" s="1"/>
  <c r="M61" i="16"/>
  <c r="O61" i="16" s="1"/>
  <c r="P61" i="16" s="1"/>
  <c r="M33" i="16"/>
  <c r="O33" i="16" s="1"/>
  <c r="P33" i="16" s="1"/>
  <c r="M29" i="16"/>
  <c r="O29" i="16" s="1"/>
  <c r="P29" i="16" s="1"/>
  <c r="M34" i="16"/>
  <c r="O34" i="16" s="1"/>
  <c r="P34" i="16" s="1"/>
  <c r="R57" i="16"/>
  <c r="Q57" i="16"/>
  <c r="U37" i="16" s="1"/>
  <c r="M81" i="16"/>
  <c r="O81" i="16" s="1"/>
  <c r="P81" i="16" s="1"/>
  <c r="P88" i="16"/>
  <c r="M84" i="16"/>
  <c r="O84" i="16" s="1"/>
  <c r="P84" i="16" s="1"/>
  <c r="P89" i="16"/>
  <c r="M55" i="16"/>
  <c r="O55" i="16" s="1"/>
  <c r="P55" i="16" s="1"/>
  <c r="M78" i="16"/>
  <c r="O78" i="16" s="1"/>
  <c r="P78" i="16" s="1"/>
  <c r="M91" i="16"/>
  <c r="O91" i="16" s="1"/>
  <c r="P91" i="16" s="1"/>
  <c r="M60" i="16"/>
  <c r="O60" i="16" s="1"/>
  <c r="P60" i="16" s="1"/>
  <c r="M68" i="16"/>
  <c r="O68" i="16" s="1"/>
  <c r="P68" i="16" s="1"/>
  <c r="M39" i="16"/>
  <c r="O39" i="16" s="1"/>
  <c r="P39" i="16" s="1"/>
  <c r="M80" i="16"/>
  <c r="O80" i="16" s="1"/>
  <c r="P80" i="16" s="1"/>
  <c r="M70" i="16"/>
  <c r="O70" i="16" s="1"/>
  <c r="P70" i="16" s="1"/>
  <c r="M56" i="16"/>
  <c r="O56" i="16" s="1"/>
  <c r="P56" i="16" s="1"/>
  <c r="M44" i="16"/>
  <c r="O44" i="16" s="1"/>
  <c r="P44" i="16" s="1"/>
  <c r="M75" i="16"/>
  <c r="O75" i="16" s="1"/>
  <c r="P75" i="16" s="1"/>
  <c r="M71" i="16"/>
  <c r="O71" i="16" s="1"/>
  <c r="P71" i="16" s="1"/>
  <c r="M74" i="16"/>
  <c r="O74" i="16" s="1"/>
  <c r="P74" i="16" s="1"/>
  <c r="M92" i="16"/>
  <c r="O92" i="16" s="1"/>
  <c r="P92" i="16" s="1"/>
  <c r="M82" i="16"/>
  <c r="O82" i="16" s="1"/>
  <c r="P82" i="16" s="1"/>
  <c r="M92" i="14"/>
  <c r="O92" i="14" s="1"/>
  <c r="P92" i="14" s="1"/>
  <c r="M71" i="14"/>
  <c r="O71" i="14" s="1"/>
  <c r="P71" i="14" s="1"/>
  <c r="M80" i="14"/>
  <c r="O80" i="14" s="1"/>
  <c r="P80" i="14" s="1"/>
  <c r="Q78" i="14" s="1"/>
  <c r="U44" i="14" s="1"/>
  <c r="M90" i="14"/>
  <c r="O90" i="14" s="1"/>
  <c r="P90" i="14" s="1"/>
  <c r="M62" i="14"/>
  <c r="O62" i="14" s="1"/>
  <c r="P62" i="14" s="1"/>
  <c r="M44" i="14"/>
  <c r="O44" i="14" s="1"/>
  <c r="P44" i="14" s="1"/>
  <c r="Q42" i="14" s="1"/>
  <c r="U32" i="14" s="1"/>
  <c r="R78" i="14"/>
  <c r="M56" i="14"/>
  <c r="O56" i="14" s="1"/>
  <c r="P56" i="14" s="1"/>
  <c r="M57" i="14"/>
  <c r="O57" i="14" s="1"/>
  <c r="P57" i="14" s="1"/>
  <c r="M34" i="14"/>
  <c r="O34" i="14" s="1"/>
  <c r="P34" i="14" s="1"/>
  <c r="M64" i="14"/>
  <c r="O64" i="14" s="1"/>
  <c r="P64" i="14" s="1"/>
  <c r="M83" i="14"/>
  <c r="O83" i="14" s="1"/>
  <c r="P83" i="14" s="1"/>
  <c r="R81" i="14" s="1"/>
  <c r="M38" i="14"/>
  <c r="O38" i="14" s="1"/>
  <c r="P38" i="14" s="1"/>
  <c r="M72" i="14"/>
  <c r="O72" i="14" s="1"/>
  <c r="P72" i="14" s="1"/>
  <c r="M35" i="14"/>
  <c r="O35" i="14" s="1"/>
  <c r="P35" i="14" s="1"/>
  <c r="M41" i="14"/>
  <c r="O41" i="14" s="1"/>
  <c r="P41" i="14" s="1"/>
  <c r="M61" i="14"/>
  <c r="O61" i="14" s="1"/>
  <c r="P61" i="14" s="1"/>
  <c r="M33" i="14"/>
  <c r="O33" i="14" s="1"/>
  <c r="P33" i="14" s="1"/>
  <c r="M32" i="14"/>
  <c r="O32" i="14" s="1"/>
  <c r="P32" i="14" s="1"/>
  <c r="M76" i="14"/>
  <c r="O76" i="14" s="1"/>
  <c r="P76" i="14" s="1"/>
  <c r="M31" i="14"/>
  <c r="O31" i="14" s="1"/>
  <c r="P31" i="14" s="1"/>
  <c r="M96" i="14"/>
  <c r="O96" i="14" s="1"/>
  <c r="P96" i="14" s="1"/>
  <c r="M55" i="14"/>
  <c r="O55" i="14" s="1"/>
  <c r="P55" i="14" s="1"/>
  <c r="P97" i="14"/>
  <c r="M69" i="14"/>
  <c r="O69" i="14" s="1"/>
  <c r="P69" i="14" s="1"/>
  <c r="M68" i="14"/>
  <c r="O68" i="14" s="1"/>
  <c r="P68" i="14" s="1"/>
  <c r="M60" i="14"/>
  <c r="O60" i="14" s="1"/>
  <c r="P60" i="14" s="1"/>
  <c r="M47" i="14"/>
  <c r="O47" i="14" s="1"/>
  <c r="P47" i="14" s="1"/>
  <c r="M54" i="14"/>
  <c r="O54" i="14" s="1"/>
  <c r="P54" i="14" s="1"/>
  <c r="M67" i="14"/>
  <c r="O67" i="14" s="1"/>
  <c r="P67" i="14" s="1"/>
  <c r="M88" i="14"/>
  <c r="O88" i="14" s="1"/>
  <c r="P88" i="14" s="1"/>
  <c r="M39" i="14"/>
  <c r="O39" i="14" s="1"/>
  <c r="P39" i="14" s="1"/>
  <c r="M95" i="14"/>
  <c r="O95" i="14" s="1"/>
  <c r="P95" i="14" s="1"/>
  <c r="M66" i="14"/>
  <c r="O66" i="14" s="1"/>
  <c r="P66" i="14" s="1"/>
  <c r="M70" i="14"/>
  <c r="O70" i="14" s="1"/>
  <c r="P70" i="14" s="1"/>
  <c r="M87" i="13"/>
  <c r="O87" i="13" s="1"/>
  <c r="P87" i="13" s="1"/>
  <c r="M61" i="13"/>
  <c r="O61" i="13" s="1"/>
  <c r="P61" i="13" s="1"/>
  <c r="M90" i="13"/>
  <c r="O90" i="13" s="1"/>
  <c r="P90" i="13" s="1"/>
  <c r="M84" i="13"/>
  <c r="O84" i="13" s="1"/>
  <c r="P84" i="13" s="1"/>
  <c r="M41" i="13"/>
  <c r="O41" i="13" s="1"/>
  <c r="P41" i="13" s="1"/>
  <c r="Q39" i="13" s="1"/>
  <c r="U31" i="13" s="1"/>
  <c r="M46" i="13"/>
  <c r="O46" i="13" s="1"/>
  <c r="P46" i="13" s="1"/>
  <c r="M38" i="13"/>
  <c r="O38" i="13" s="1"/>
  <c r="P38" i="13" s="1"/>
  <c r="P53" i="13"/>
  <c r="M67" i="13"/>
  <c r="O67" i="13" s="1"/>
  <c r="P67" i="13" s="1"/>
  <c r="M33" i="13"/>
  <c r="O33" i="13" s="1"/>
  <c r="P33" i="13" s="1"/>
  <c r="M69" i="13"/>
  <c r="O69" i="13" s="1"/>
  <c r="P69" i="13" s="1"/>
  <c r="M65" i="13"/>
  <c r="O65" i="13" s="1"/>
  <c r="P65" i="13" s="1"/>
  <c r="M52" i="13"/>
  <c r="O52" i="13" s="1"/>
  <c r="P52" i="13" s="1"/>
  <c r="M76" i="13"/>
  <c r="O76" i="13" s="1"/>
  <c r="P76" i="13" s="1"/>
  <c r="M97" i="13"/>
  <c r="O97" i="13" s="1"/>
  <c r="P97" i="13" s="1"/>
  <c r="M80" i="13"/>
  <c r="O80" i="13" s="1"/>
  <c r="P80" i="13" s="1"/>
  <c r="M81" i="13"/>
  <c r="O81" i="13" s="1"/>
  <c r="P81" i="13" s="1"/>
  <c r="M51" i="13"/>
  <c r="O51" i="13" s="1"/>
  <c r="P51" i="13" s="1"/>
  <c r="M88" i="13"/>
  <c r="O88" i="13" s="1"/>
  <c r="P88" i="13" s="1"/>
  <c r="M95" i="13"/>
  <c r="O95" i="13" s="1"/>
  <c r="P95" i="13" s="1"/>
  <c r="M42" i="13"/>
  <c r="O42" i="13" s="1"/>
  <c r="P42" i="13" s="1"/>
  <c r="M58" i="13"/>
  <c r="O58" i="13" s="1"/>
  <c r="P58" i="13" s="1"/>
  <c r="M91" i="13"/>
  <c r="O91" i="13" s="1"/>
  <c r="P91" i="13" s="1"/>
  <c r="M30" i="13"/>
  <c r="O30" i="13" s="1"/>
  <c r="P30" i="13" s="1"/>
  <c r="M64" i="13"/>
  <c r="O64" i="13" s="1"/>
  <c r="P64" i="13" s="1"/>
  <c r="M73" i="13"/>
  <c r="O73" i="13" s="1"/>
  <c r="P73" i="13" s="1"/>
  <c r="M66" i="13"/>
  <c r="O66" i="13" s="1"/>
  <c r="P66" i="13" s="1"/>
  <c r="M87" i="12"/>
  <c r="O87" i="12" s="1"/>
  <c r="P87" i="12" s="1"/>
  <c r="M59" i="12"/>
  <c r="O59" i="12" s="1"/>
  <c r="P59" i="12" s="1"/>
  <c r="M96" i="12"/>
  <c r="O96" i="12" s="1"/>
  <c r="P96" i="12" s="1"/>
  <c r="M56" i="12"/>
  <c r="O56" i="12" s="1"/>
  <c r="P56" i="12" s="1"/>
  <c r="M40" i="12"/>
  <c r="O40" i="12" s="1"/>
  <c r="P40" i="12" s="1"/>
  <c r="M44" i="12"/>
  <c r="O44" i="12" s="1"/>
  <c r="P44" i="12" s="1"/>
  <c r="M97" i="12"/>
  <c r="O97" i="12" s="1"/>
  <c r="P97" i="12" s="1"/>
  <c r="M46" i="12"/>
  <c r="O46" i="12" s="1"/>
  <c r="P46" i="12" s="1"/>
  <c r="M58" i="12"/>
  <c r="O58" i="12" s="1"/>
  <c r="P58" i="12" s="1"/>
  <c r="P52" i="12"/>
  <c r="M69" i="12"/>
  <c r="O69" i="12" s="1"/>
  <c r="P69" i="12" s="1"/>
  <c r="M27" i="12"/>
  <c r="O27" i="12" s="1"/>
  <c r="P27" i="12" s="1"/>
  <c r="M67" i="12"/>
  <c r="O67" i="12" s="1"/>
  <c r="P67" i="12" s="1"/>
  <c r="M76" i="12"/>
  <c r="O76" i="12" s="1"/>
  <c r="P76" i="12" s="1"/>
  <c r="M47" i="12"/>
  <c r="O47" i="12" s="1"/>
  <c r="P47" i="12" s="1"/>
  <c r="M49" i="12"/>
  <c r="O49" i="12" s="1"/>
  <c r="P49" i="12" s="1"/>
  <c r="M92" i="12"/>
  <c r="O92" i="12" s="1"/>
  <c r="P92" i="12" s="1"/>
  <c r="F102" i="1"/>
  <c r="F104" i="1" s="1"/>
  <c r="D102" i="1"/>
  <c r="T50" i="1" s="1"/>
  <c r="F99" i="1"/>
  <c r="F100" i="1" s="1"/>
  <c r="D99" i="1"/>
  <c r="T49" i="1" s="1"/>
  <c r="F96" i="1"/>
  <c r="F98" i="1" s="1"/>
  <c r="D96" i="1"/>
  <c r="T48" i="1" s="1"/>
  <c r="F90" i="1"/>
  <c r="F92" i="1" s="1"/>
  <c r="D90" i="1"/>
  <c r="T47" i="1" s="1"/>
  <c r="F87" i="1"/>
  <c r="D87" i="1"/>
  <c r="T46" i="1" s="1"/>
  <c r="F84" i="1"/>
  <c r="F86" i="1" s="1"/>
  <c r="D84" i="1"/>
  <c r="T45" i="1" s="1"/>
  <c r="F81" i="1"/>
  <c r="F82" i="1" s="1"/>
  <c r="D81" i="1"/>
  <c r="T44" i="1" s="1"/>
  <c r="F78" i="1"/>
  <c r="F79" i="1" s="1"/>
  <c r="D78" i="1"/>
  <c r="T43" i="1" s="1"/>
  <c r="F75" i="1"/>
  <c r="F76" i="1" s="1"/>
  <c r="D75" i="1"/>
  <c r="T42" i="1" s="1"/>
  <c r="F72" i="1"/>
  <c r="F74" i="1" s="1"/>
  <c r="D72" i="1"/>
  <c r="T41" i="1" s="1"/>
  <c r="F69" i="1"/>
  <c r="F71" i="1" s="1"/>
  <c r="D69" i="1"/>
  <c r="T40" i="1" s="1"/>
  <c r="F63" i="1"/>
  <c r="F64" i="1" s="1"/>
  <c r="D63" i="1"/>
  <c r="T39" i="1" s="1"/>
  <c r="F60" i="1"/>
  <c r="F62" i="1" s="1"/>
  <c r="D60" i="1"/>
  <c r="T38" i="1" s="1"/>
  <c r="F57" i="1"/>
  <c r="F58" i="1" s="1"/>
  <c r="D57" i="1"/>
  <c r="T37" i="1" s="1"/>
  <c r="F54" i="1"/>
  <c r="F56" i="1" s="1"/>
  <c r="D54" i="1"/>
  <c r="T36" i="1" s="1"/>
  <c r="F51" i="1"/>
  <c r="F52" i="1" s="1"/>
  <c r="D51" i="1"/>
  <c r="T35" i="1" s="1"/>
  <c r="F48" i="1"/>
  <c r="D48" i="1"/>
  <c r="T34" i="1" s="1"/>
  <c r="F45" i="1"/>
  <c r="D45" i="1"/>
  <c r="T33" i="1" s="1"/>
  <c r="F42" i="1"/>
  <c r="F44" i="1" s="1"/>
  <c r="D42" i="1"/>
  <c r="T32" i="1" s="1"/>
  <c r="F39" i="1"/>
  <c r="F41" i="1" s="1"/>
  <c r="D39" i="1"/>
  <c r="T31" i="1" s="1"/>
  <c r="F36" i="1"/>
  <c r="F38" i="1" s="1"/>
  <c r="D36" i="1"/>
  <c r="T30" i="1" s="1"/>
  <c r="F33" i="1"/>
  <c r="F35" i="1" s="1"/>
  <c r="D33" i="1"/>
  <c r="T29" i="1" s="1"/>
  <c r="F30" i="1"/>
  <c r="F32" i="1" s="1"/>
  <c r="D30" i="1"/>
  <c r="T28" i="1" s="1"/>
  <c r="F27" i="1"/>
  <c r="F29" i="1" s="1"/>
  <c r="D27" i="1"/>
  <c r="T27" i="1" s="1"/>
  <c r="Q72" i="17" l="1"/>
  <c r="U42" i="17" s="1"/>
  <c r="Q45" i="17"/>
  <c r="U33" i="17" s="1"/>
  <c r="R36" i="17"/>
  <c r="R48" i="17"/>
  <c r="Q57" i="13"/>
  <c r="U37" i="13" s="1"/>
  <c r="Q60" i="13"/>
  <c r="U38" i="13" s="1"/>
  <c r="Q54" i="13"/>
  <c r="U36" i="13" s="1"/>
  <c r="Q93" i="13"/>
  <c r="U49" i="13" s="1"/>
  <c r="M95" i="19"/>
  <c r="O95" i="19" s="1"/>
  <c r="P95" i="19" s="1"/>
  <c r="M94" i="19"/>
  <c r="O94" i="19" s="1"/>
  <c r="P94" i="19" s="1"/>
  <c r="M66" i="19"/>
  <c r="O66" i="19" s="1"/>
  <c r="P66" i="19" s="1"/>
  <c r="R66" i="19" s="1"/>
  <c r="M93" i="19"/>
  <c r="O93" i="19" s="1"/>
  <c r="P93" i="19" s="1"/>
  <c r="Q93" i="19" s="1"/>
  <c r="U49" i="19" s="1"/>
  <c r="M27" i="19"/>
  <c r="O27" i="19" s="1"/>
  <c r="P27" i="19" s="1"/>
  <c r="M50" i="19"/>
  <c r="O50" i="19" s="1"/>
  <c r="P50" i="19" s="1"/>
  <c r="M56" i="19"/>
  <c r="O56" i="19" s="1"/>
  <c r="P56" i="19" s="1"/>
  <c r="Q54" i="19" s="1"/>
  <c r="U36" i="19" s="1"/>
  <c r="M68" i="19"/>
  <c r="O68" i="19" s="1"/>
  <c r="P68" i="19" s="1"/>
  <c r="M90" i="19"/>
  <c r="O90" i="19" s="1"/>
  <c r="P90" i="19" s="1"/>
  <c r="Q90" i="19" s="1"/>
  <c r="U48" i="19" s="1"/>
  <c r="M36" i="19"/>
  <c r="O36" i="19" s="1"/>
  <c r="P36" i="19" s="1"/>
  <c r="Q36" i="19" s="1"/>
  <c r="U30" i="19" s="1"/>
  <c r="M96" i="19"/>
  <c r="O96" i="19" s="1"/>
  <c r="P96" i="19" s="1"/>
  <c r="Q96" i="19" s="1"/>
  <c r="U50" i="19" s="1"/>
  <c r="M42" i="19"/>
  <c r="O42" i="19" s="1"/>
  <c r="P42" i="19" s="1"/>
  <c r="R42" i="19" s="1"/>
  <c r="M51" i="19"/>
  <c r="O51" i="19" s="1"/>
  <c r="P51" i="19" s="1"/>
  <c r="M67" i="19"/>
  <c r="O67" i="19" s="1"/>
  <c r="P67" i="19" s="1"/>
  <c r="M65" i="19"/>
  <c r="O65" i="19" s="1"/>
  <c r="P65" i="19" s="1"/>
  <c r="Q63" i="19" s="1"/>
  <c r="U39" i="19" s="1"/>
  <c r="M62" i="19"/>
  <c r="O62" i="19" s="1"/>
  <c r="P62" i="19" s="1"/>
  <c r="Q60" i="19" s="1"/>
  <c r="U38" i="19" s="1"/>
  <c r="M71" i="19"/>
  <c r="O71" i="19" s="1"/>
  <c r="P71" i="19" s="1"/>
  <c r="M87" i="19"/>
  <c r="O87" i="19" s="1"/>
  <c r="P87" i="19" s="1"/>
  <c r="R87" i="19" s="1"/>
  <c r="M49" i="19"/>
  <c r="O49" i="19" s="1"/>
  <c r="P49" i="19" s="1"/>
  <c r="M48" i="19"/>
  <c r="O48" i="19" s="1"/>
  <c r="P48" i="19" s="1"/>
  <c r="M81" i="19"/>
  <c r="O81" i="19" s="1"/>
  <c r="P81" i="19" s="1"/>
  <c r="R81" i="19" s="1"/>
  <c r="M77" i="19"/>
  <c r="O77" i="19" s="1"/>
  <c r="P77" i="19" s="1"/>
  <c r="Q75" i="19" s="1"/>
  <c r="U43" i="19" s="1"/>
  <c r="M74" i="19"/>
  <c r="O74" i="19" s="1"/>
  <c r="P74" i="19" s="1"/>
  <c r="M44" i="19"/>
  <c r="O44" i="19" s="1"/>
  <c r="P44" i="19" s="1"/>
  <c r="M41" i="19"/>
  <c r="O41" i="19" s="1"/>
  <c r="P41" i="19" s="1"/>
  <c r="R39" i="19" s="1"/>
  <c r="M52" i="19"/>
  <c r="O52" i="19" s="1"/>
  <c r="P52" i="19" s="1"/>
  <c r="M45" i="19"/>
  <c r="O45" i="19" s="1"/>
  <c r="P45" i="19" s="1"/>
  <c r="M47" i="19"/>
  <c r="O47" i="19" s="1"/>
  <c r="P47" i="19" s="1"/>
  <c r="M84" i="19"/>
  <c r="O84" i="19" s="1"/>
  <c r="P84" i="19" s="1"/>
  <c r="M86" i="19"/>
  <c r="O86" i="19" s="1"/>
  <c r="P86" i="19" s="1"/>
  <c r="Q84" i="19" s="1"/>
  <c r="U46" i="19" s="1"/>
  <c r="R42" i="17"/>
  <c r="S42" i="17" s="1"/>
  <c r="Q54" i="17"/>
  <c r="U36" i="17" s="1"/>
  <c r="R96" i="17"/>
  <c r="Q48" i="17"/>
  <c r="U34" i="17" s="1"/>
  <c r="Q66" i="17"/>
  <c r="U40" i="17" s="1"/>
  <c r="Q90" i="17"/>
  <c r="U48" i="17" s="1"/>
  <c r="Q30" i="17"/>
  <c r="U28" i="17" s="1"/>
  <c r="R78" i="17"/>
  <c r="R66" i="17"/>
  <c r="S66" i="17" s="1"/>
  <c r="Q84" i="17"/>
  <c r="U46" i="17" s="1"/>
  <c r="Q63" i="17"/>
  <c r="U39" i="17" s="1"/>
  <c r="R57" i="17"/>
  <c r="Q36" i="17"/>
  <c r="U30" i="17" s="1"/>
  <c r="R72" i="17"/>
  <c r="R48" i="16"/>
  <c r="Q90" i="16"/>
  <c r="U48" i="16" s="1"/>
  <c r="Q93" i="16"/>
  <c r="U49" i="16" s="1"/>
  <c r="Q42" i="16"/>
  <c r="U32" i="16" s="1"/>
  <c r="Q36" i="16"/>
  <c r="U30" i="16" s="1"/>
  <c r="M77" i="15"/>
  <c r="O77" i="15" s="1"/>
  <c r="P77" i="15" s="1"/>
  <c r="M27" i="15"/>
  <c r="O27" i="15" s="1"/>
  <c r="P27" i="15" s="1"/>
  <c r="M85" i="15"/>
  <c r="O85" i="15" s="1"/>
  <c r="P85" i="15" s="1"/>
  <c r="M66" i="15"/>
  <c r="O66" i="15" s="1"/>
  <c r="P66" i="15" s="1"/>
  <c r="M92" i="15"/>
  <c r="O92" i="15" s="1"/>
  <c r="P92" i="15" s="1"/>
  <c r="M45" i="15"/>
  <c r="O45" i="15" s="1"/>
  <c r="P45" i="15" s="1"/>
  <c r="M91" i="15"/>
  <c r="O91" i="15" s="1"/>
  <c r="P91" i="15" s="1"/>
  <c r="R90" i="15" s="1"/>
  <c r="M61" i="15"/>
  <c r="O61" i="15" s="1"/>
  <c r="P61" i="15" s="1"/>
  <c r="M55" i="15"/>
  <c r="O55" i="15" s="1"/>
  <c r="P55" i="15" s="1"/>
  <c r="M54" i="15"/>
  <c r="O54" i="15" s="1"/>
  <c r="P54" i="15" s="1"/>
  <c r="M63" i="15"/>
  <c r="O63" i="15" s="1"/>
  <c r="P63" i="15" s="1"/>
  <c r="Q63" i="15" s="1"/>
  <c r="U39" i="15" s="1"/>
  <c r="M37" i="15"/>
  <c r="O37" i="15" s="1"/>
  <c r="P37" i="15" s="1"/>
  <c r="M94" i="15"/>
  <c r="O94" i="15" s="1"/>
  <c r="P94" i="15" s="1"/>
  <c r="M51" i="15"/>
  <c r="O51" i="15" s="1"/>
  <c r="P51" i="15" s="1"/>
  <c r="M62" i="15"/>
  <c r="O62" i="15" s="1"/>
  <c r="P62" i="15" s="1"/>
  <c r="M59" i="15"/>
  <c r="O59" i="15" s="1"/>
  <c r="P59" i="15" s="1"/>
  <c r="M43" i="15"/>
  <c r="O43" i="15" s="1"/>
  <c r="P43" i="15" s="1"/>
  <c r="Q42" i="15" s="1"/>
  <c r="U32" i="15" s="1"/>
  <c r="M28" i="15"/>
  <c r="O28" i="15" s="1"/>
  <c r="P28" i="15" s="1"/>
  <c r="M46" i="15"/>
  <c r="O46" i="15" s="1"/>
  <c r="P46" i="15" s="1"/>
  <c r="M75" i="15"/>
  <c r="O75" i="15" s="1"/>
  <c r="P75" i="15" s="1"/>
  <c r="M57" i="15"/>
  <c r="O57" i="15" s="1"/>
  <c r="P57" i="15" s="1"/>
  <c r="M67" i="15"/>
  <c r="O67" i="15" s="1"/>
  <c r="P67" i="15" s="1"/>
  <c r="M78" i="15"/>
  <c r="O78" i="15" s="1"/>
  <c r="P78" i="15" s="1"/>
  <c r="M70" i="15"/>
  <c r="O70" i="15" s="1"/>
  <c r="P70" i="15" s="1"/>
  <c r="R69" i="15" s="1"/>
  <c r="M52" i="15"/>
  <c r="O52" i="15" s="1"/>
  <c r="P52" i="15" s="1"/>
  <c r="M80" i="15"/>
  <c r="O80" i="15" s="1"/>
  <c r="P80" i="15" s="1"/>
  <c r="M95" i="15"/>
  <c r="O95" i="15" s="1"/>
  <c r="P95" i="15" s="1"/>
  <c r="M86" i="15"/>
  <c r="O86" i="15" s="1"/>
  <c r="P86" i="15" s="1"/>
  <c r="M41" i="15"/>
  <c r="O41" i="15" s="1"/>
  <c r="P41" i="15" s="1"/>
  <c r="R39" i="15" s="1"/>
  <c r="M97" i="15"/>
  <c r="O97" i="15" s="1"/>
  <c r="P97" i="15" s="1"/>
  <c r="M29" i="15"/>
  <c r="O29" i="15" s="1"/>
  <c r="P29" i="15" s="1"/>
  <c r="M79" i="15"/>
  <c r="O79" i="15" s="1"/>
  <c r="P79" i="15" s="1"/>
  <c r="M88" i="15"/>
  <c r="O88" i="15" s="1"/>
  <c r="P88" i="15" s="1"/>
  <c r="R87" i="15" s="1"/>
  <c r="M72" i="15"/>
  <c r="O72" i="15" s="1"/>
  <c r="P72" i="15" s="1"/>
  <c r="R72" i="15" s="1"/>
  <c r="M69" i="15"/>
  <c r="O69" i="15" s="1"/>
  <c r="P69" i="15" s="1"/>
  <c r="M60" i="15"/>
  <c r="O60" i="15" s="1"/>
  <c r="P60" i="15" s="1"/>
  <c r="Q60" i="15" s="1"/>
  <c r="U38" i="15" s="1"/>
  <c r="M30" i="15"/>
  <c r="O30" i="15" s="1"/>
  <c r="P30" i="15" s="1"/>
  <c r="Q30" i="15" s="1"/>
  <c r="U28" i="15" s="1"/>
  <c r="M50" i="15"/>
  <c r="O50" i="15" s="1"/>
  <c r="P50" i="15" s="1"/>
  <c r="Q48" i="15" s="1"/>
  <c r="U34" i="15" s="1"/>
  <c r="M33" i="15"/>
  <c r="O33" i="15" s="1"/>
  <c r="P33" i="15" s="1"/>
  <c r="Q33" i="15" s="1"/>
  <c r="U29" i="15" s="1"/>
  <c r="M68" i="15"/>
  <c r="O68" i="15" s="1"/>
  <c r="P68" i="15" s="1"/>
  <c r="M56" i="15"/>
  <c r="O56" i="15" s="1"/>
  <c r="P56" i="15" s="1"/>
  <c r="M96" i="15"/>
  <c r="O96" i="15" s="1"/>
  <c r="P96" i="15" s="1"/>
  <c r="R96" i="15" s="1"/>
  <c r="M36" i="15"/>
  <c r="O36" i="15" s="1"/>
  <c r="P36" i="15" s="1"/>
  <c r="R45" i="14"/>
  <c r="R48" i="14"/>
  <c r="S48" i="14" s="1"/>
  <c r="Q30" i="14"/>
  <c r="U28" i="14" s="1"/>
  <c r="S27" i="13"/>
  <c r="R45" i="13"/>
  <c r="R39" i="13"/>
  <c r="S39" i="13" s="1"/>
  <c r="R48" i="13"/>
  <c r="R78" i="13"/>
  <c r="R93" i="13"/>
  <c r="R60" i="13"/>
  <c r="S60" i="13" s="1"/>
  <c r="Q45" i="13"/>
  <c r="U33" i="13" s="1"/>
  <c r="R75" i="13"/>
  <c r="Q48" i="13"/>
  <c r="U34" i="13" s="1"/>
  <c r="R93" i="12"/>
  <c r="R63" i="12"/>
  <c r="Q81" i="12"/>
  <c r="U45" i="12" s="1"/>
  <c r="Q36" i="12"/>
  <c r="U30" i="12" s="1"/>
  <c r="R81" i="12"/>
  <c r="R51" i="12"/>
  <c r="M59" i="18"/>
  <c r="O59" i="18" s="1"/>
  <c r="P59" i="18" s="1"/>
  <c r="M29" i="18"/>
  <c r="O29" i="18" s="1"/>
  <c r="P29" i="18" s="1"/>
  <c r="M86" i="18"/>
  <c r="O86" i="18" s="1"/>
  <c r="P86" i="18" s="1"/>
  <c r="M51" i="18"/>
  <c r="O51" i="18" s="1"/>
  <c r="P51" i="18" s="1"/>
  <c r="M62" i="18"/>
  <c r="O62" i="18" s="1"/>
  <c r="P62" i="18" s="1"/>
  <c r="M60" i="18"/>
  <c r="O60" i="18" s="1"/>
  <c r="P60" i="18" s="1"/>
  <c r="R60" i="18" s="1"/>
  <c r="M84" i="18"/>
  <c r="O84" i="18" s="1"/>
  <c r="P84" i="18" s="1"/>
  <c r="Q84" i="18" s="1"/>
  <c r="U46" i="18" s="1"/>
  <c r="M95" i="18"/>
  <c r="O95" i="18" s="1"/>
  <c r="P95" i="18" s="1"/>
  <c r="M72" i="18"/>
  <c r="O72" i="18" s="1"/>
  <c r="P72" i="18" s="1"/>
  <c r="M97" i="18"/>
  <c r="O97" i="18" s="1"/>
  <c r="P97" i="18" s="1"/>
  <c r="R96" i="18" s="1"/>
  <c r="M75" i="18"/>
  <c r="O75" i="18" s="1"/>
  <c r="P75" i="18" s="1"/>
  <c r="M73" i="18"/>
  <c r="O73" i="18" s="1"/>
  <c r="P73" i="18" s="1"/>
  <c r="M49" i="18"/>
  <c r="O49" i="18" s="1"/>
  <c r="P49" i="18" s="1"/>
  <c r="M30" i="18"/>
  <c r="O30" i="18" s="1"/>
  <c r="P30" i="18" s="1"/>
  <c r="M46" i="18"/>
  <c r="O46" i="18" s="1"/>
  <c r="P46" i="18" s="1"/>
  <c r="R45" i="18" s="1"/>
  <c r="M61" i="18"/>
  <c r="O61" i="18" s="1"/>
  <c r="P61" i="18" s="1"/>
  <c r="R90" i="18"/>
  <c r="M77" i="18"/>
  <c r="O77" i="18" s="1"/>
  <c r="P77" i="18" s="1"/>
  <c r="M50" i="18"/>
  <c r="O50" i="18" s="1"/>
  <c r="P50" i="18" s="1"/>
  <c r="M37" i="18"/>
  <c r="O37" i="18" s="1"/>
  <c r="P37" i="18" s="1"/>
  <c r="M69" i="18"/>
  <c r="O69" i="18" s="1"/>
  <c r="P69" i="18" s="1"/>
  <c r="Q69" i="18" s="1"/>
  <c r="U41" i="18" s="1"/>
  <c r="M57" i="18"/>
  <c r="O57" i="18" s="1"/>
  <c r="P57" i="18" s="1"/>
  <c r="M56" i="18"/>
  <c r="O56" i="18" s="1"/>
  <c r="P56" i="18" s="1"/>
  <c r="M31" i="18"/>
  <c r="O31" i="18" s="1"/>
  <c r="P31" i="18" s="1"/>
  <c r="O27" i="18"/>
  <c r="P27" i="18" s="1"/>
  <c r="M66" i="18"/>
  <c r="O66" i="18" s="1"/>
  <c r="P66" i="18" s="1"/>
  <c r="R66" i="18" s="1"/>
  <c r="M52" i="18"/>
  <c r="O52" i="18" s="1"/>
  <c r="P52" i="18" s="1"/>
  <c r="M39" i="18"/>
  <c r="O39" i="18" s="1"/>
  <c r="P39" i="18" s="1"/>
  <c r="M58" i="18"/>
  <c r="O58" i="18" s="1"/>
  <c r="P58" i="18" s="1"/>
  <c r="M53" i="18"/>
  <c r="O53" i="18" s="1"/>
  <c r="P53" i="18" s="1"/>
  <c r="M54" i="18"/>
  <c r="O54" i="18" s="1"/>
  <c r="P54" i="18" s="1"/>
  <c r="M42" i="18"/>
  <c r="O42" i="18" s="1"/>
  <c r="P42" i="18" s="1"/>
  <c r="M81" i="18"/>
  <c r="O81" i="18" s="1"/>
  <c r="P81" i="18" s="1"/>
  <c r="R81" i="18" s="1"/>
  <c r="M43" i="18"/>
  <c r="O43" i="18" s="1"/>
  <c r="P43" i="18" s="1"/>
  <c r="M79" i="18"/>
  <c r="O79" i="18" s="1"/>
  <c r="P79" i="18" s="1"/>
  <c r="M34" i="18"/>
  <c r="O34" i="18" s="1"/>
  <c r="P34" i="18" s="1"/>
  <c r="M40" i="18"/>
  <c r="O40" i="18" s="1"/>
  <c r="P40" i="18" s="1"/>
  <c r="M38" i="18"/>
  <c r="O38" i="18" s="1"/>
  <c r="P38" i="18" s="1"/>
  <c r="M78" i="18"/>
  <c r="O78" i="18" s="1"/>
  <c r="P78" i="18" s="1"/>
  <c r="R78" i="18" s="1"/>
  <c r="M35" i="18"/>
  <c r="O35" i="18" s="1"/>
  <c r="P35" i="18" s="1"/>
  <c r="M28" i="18"/>
  <c r="O28" i="18" s="1"/>
  <c r="P28" i="18" s="1"/>
  <c r="M76" i="18"/>
  <c r="O76" i="18" s="1"/>
  <c r="P76" i="18" s="1"/>
  <c r="R54" i="17"/>
  <c r="S54" i="17" s="1"/>
  <c r="R84" i="17"/>
  <c r="Q42" i="17"/>
  <c r="U32" i="17" s="1"/>
  <c r="R81" i="17"/>
  <c r="R90" i="16"/>
  <c r="S90" i="16" s="1"/>
  <c r="Q72" i="16"/>
  <c r="U42" i="16" s="1"/>
  <c r="Q51" i="16"/>
  <c r="U35" i="16" s="1"/>
  <c r="R72" i="16"/>
  <c r="R54" i="16"/>
  <c r="S63" i="16"/>
  <c r="R69" i="16"/>
  <c r="R27" i="16"/>
  <c r="R87" i="16"/>
  <c r="Q69" i="16"/>
  <c r="U41" i="16" s="1"/>
  <c r="Q81" i="15"/>
  <c r="U45" i="15" s="1"/>
  <c r="R51" i="14"/>
  <c r="S51" i="14" s="1"/>
  <c r="Q48" i="14"/>
  <c r="U34" i="14" s="1"/>
  <c r="R84" i="14"/>
  <c r="S84" i="14" s="1"/>
  <c r="R27" i="14"/>
  <c r="R36" i="14"/>
  <c r="R87" i="14"/>
  <c r="Q63" i="14"/>
  <c r="U39" i="14" s="1"/>
  <c r="Q81" i="14"/>
  <c r="U45" i="14" s="1"/>
  <c r="R30" i="14"/>
  <c r="S30" i="14" s="1"/>
  <c r="Q27" i="14"/>
  <c r="U27" i="14" s="1"/>
  <c r="R93" i="14"/>
  <c r="Q87" i="14"/>
  <c r="U47" i="14" s="1"/>
  <c r="S81" i="14"/>
  <c r="R63" i="14"/>
  <c r="S63" i="14" s="1"/>
  <c r="R75" i="14"/>
  <c r="R54" i="13"/>
  <c r="S54" i="13" s="1"/>
  <c r="R57" i="13"/>
  <c r="S57" i="13" s="1"/>
  <c r="R96" i="13"/>
  <c r="R36" i="13"/>
  <c r="Q72" i="13"/>
  <c r="U42" i="13" s="1"/>
  <c r="R36" i="12"/>
  <c r="Q30" i="12"/>
  <c r="U28" i="12" s="1"/>
  <c r="R84" i="12"/>
  <c r="Q48" i="12"/>
  <c r="U34" i="12" s="1"/>
  <c r="Q54" i="12"/>
  <c r="U36" i="12" s="1"/>
  <c r="R75" i="12"/>
  <c r="R54" i="12"/>
  <c r="R30" i="12"/>
  <c r="R48" i="12"/>
  <c r="R90" i="12"/>
  <c r="Q75" i="12"/>
  <c r="U43" i="12" s="1"/>
  <c r="R33" i="19"/>
  <c r="Q33" i="19"/>
  <c r="U29" i="19" s="1"/>
  <c r="Q30" i="19"/>
  <c r="U28" i="19" s="1"/>
  <c r="R30" i="19"/>
  <c r="S30" i="19" s="1"/>
  <c r="Q72" i="19"/>
  <c r="U42" i="19" s="1"/>
  <c r="R72" i="19"/>
  <c r="R78" i="19"/>
  <c r="Q78" i="19"/>
  <c r="U44" i="19" s="1"/>
  <c r="Q57" i="19"/>
  <c r="U37" i="19" s="1"/>
  <c r="R57" i="19"/>
  <c r="R27" i="19"/>
  <c r="Q27" i="19"/>
  <c r="U27" i="19" s="1"/>
  <c r="R69" i="19"/>
  <c r="Q69" i="19"/>
  <c r="U41" i="19" s="1"/>
  <c r="R87" i="18"/>
  <c r="Q87" i="18"/>
  <c r="U47" i="18" s="1"/>
  <c r="Q90" i="18"/>
  <c r="U48" i="18" s="1"/>
  <c r="R93" i="18"/>
  <c r="Q93" i="18"/>
  <c r="U49" i="18" s="1"/>
  <c r="Q72" i="18"/>
  <c r="U42" i="18" s="1"/>
  <c r="R72" i="18"/>
  <c r="S72" i="18" s="1"/>
  <c r="Q81" i="18"/>
  <c r="U45" i="18" s="1"/>
  <c r="Q63" i="18"/>
  <c r="U39" i="18" s="1"/>
  <c r="R63" i="18"/>
  <c r="Q57" i="17"/>
  <c r="U37" i="17" s="1"/>
  <c r="Q96" i="17"/>
  <c r="U50" i="17" s="1"/>
  <c r="Q78" i="17"/>
  <c r="U44" i="17" s="1"/>
  <c r="R60" i="17"/>
  <c r="Q60" i="17"/>
  <c r="U38" i="17" s="1"/>
  <c r="Q81" i="17"/>
  <c r="U45" i="17" s="1"/>
  <c r="R87" i="17"/>
  <c r="Q87" i="17"/>
  <c r="U47" i="17" s="1"/>
  <c r="R39" i="17"/>
  <c r="Q39" i="17"/>
  <c r="U31" i="17" s="1"/>
  <c r="R75" i="17"/>
  <c r="Q75" i="17"/>
  <c r="U43" i="17" s="1"/>
  <c r="R30" i="17"/>
  <c r="S30" i="17" s="1"/>
  <c r="R51" i="17"/>
  <c r="Q51" i="17"/>
  <c r="U35" i="17" s="1"/>
  <c r="R27" i="17"/>
  <c r="Q27" i="17"/>
  <c r="U27" i="17" s="1"/>
  <c r="R69" i="17"/>
  <c r="Q69" i="17"/>
  <c r="U41" i="17" s="1"/>
  <c r="Q33" i="17"/>
  <c r="U29" i="17" s="1"/>
  <c r="R33" i="17"/>
  <c r="S33" i="17" s="1"/>
  <c r="R93" i="17"/>
  <c r="Q93" i="17"/>
  <c r="U49" i="17" s="1"/>
  <c r="R96" i="16"/>
  <c r="Q96" i="16"/>
  <c r="U50" i="16" s="1"/>
  <c r="S57" i="16"/>
  <c r="Q75" i="16"/>
  <c r="U43" i="16" s="1"/>
  <c r="R75" i="16"/>
  <c r="Q39" i="16"/>
  <c r="U31" i="16" s="1"/>
  <c r="R39" i="16"/>
  <c r="S93" i="16"/>
  <c r="R60" i="16"/>
  <c r="Q60" i="16"/>
  <c r="U38" i="16" s="1"/>
  <c r="Q33" i="16"/>
  <c r="U29" i="16" s="1"/>
  <c r="R33" i="16"/>
  <c r="S33" i="16" s="1"/>
  <c r="R45" i="16"/>
  <c r="Q45" i="16"/>
  <c r="U33" i="16" s="1"/>
  <c r="R78" i="16"/>
  <c r="Q78" i="16"/>
  <c r="U44" i="16" s="1"/>
  <c r="Q54" i="16"/>
  <c r="U36" i="16" s="1"/>
  <c r="R30" i="16"/>
  <c r="Q30" i="16"/>
  <c r="U28" i="16" s="1"/>
  <c r="Q84" i="16"/>
  <c r="U46" i="16" s="1"/>
  <c r="R84" i="16"/>
  <c r="S84" i="16" s="1"/>
  <c r="Q87" i="16"/>
  <c r="U47" i="16" s="1"/>
  <c r="Q81" i="16"/>
  <c r="U45" i="16" s="1"/>
  <c r="R81" i="16"/>
  <c r="R42" i="16"/>
  <c r="Q27" i="16"/>
  <c r="U27" i="16" s="1"/>
  <c r="Q48" i="16"/>
  <c r="U34" i="16" s="1"/>
  <c r="S36" i="16"/>
  <c r="R66" i="16"/>
  <c r="Q66" i="16"/>
  <c r="U40" i="16" s="1"/>
  <c r="R51" i="16"/>
  <c r="Q84" i="15"/>
  <c r="U46" i="15" s="1"/>
  <c r="R81" i="15"/>
  <c r="Q39" i="14"/>
  <c r="U31" i="14" s="1"/>
  <c r="R39" i="14"/>
  <c r="S39" i="14" s="1"/>
  <c r="R33" i="14"/>
  <c r="Q33" i="14"/>
  <c r="U29" i="14" s="1"/>
  <c r="Q45" i="14"/>
  <c r="U33" i="14" s="1"/>
  <c r="R90" i="14"/>
  <c r="Q90" i="14"/>
  <c r="U48" i="14" s="1"/>
  <c r="Q36" i="14"/>
  <c r="U30" i="14" s="1"/>
  <c r="R54" i="14"/>
  <c r="Q54" i="14"/>
  <c r="U36" i="14" s="1"/>
  <c r="R42" i="14"/>
  <c r="S42" i="14" s="1"/>
  <c r="Q72" i="14"/>
  <c r="U42" i="14" s="1"/>
  <c r="R72" i="14"/>
  <c r="Q93" i="14"/>
  <c r="U49" i="14" s="1"/>
  <c r="R60" i="14"/>
  <c r="Q60" i="14"/>
  <c r="U38" i="14" s="1"/>
  <c r="R69" i="14"/>
  <c r="Q69" i="14"/>
  <c r="U41" i="14" s="1"/>
  <c r="Q96" i="14"/>
  <c r="U50" i="14" s="1"/>
  <c r="R96" i="14"/>
  <c r="S96" i="14" s="1"/>
  <c r="R57" i="14"/>
  <c r="Q57" i="14"/>
  <c r="U37" i="14" s="1"/>
  <c r="Q75" i="14"/>
  <c r="U43" i="14" s="1"/>
  <c r="R66" i="14"/>
  <c r="Q66" i="14"/>
  <c r="U40" i="14" s="1"/>
  <c r="S78" i="14"/>
  <c r="R81" i="13"/>
  <c r="Q81" i="13"/>
  <c r="U45" i="13" s="1"/>
  <c r="Q66" i="13"/>
  <c r="U40" i="13" s="1"/>
  <c r="R66" i="13"/>
  <c r="S66" i="13" s="1"/>
  <c r="R63" i="13"/>
  <c r="Q63" i="13"/>
  <c r="U39" i="13" s="1"/>
  <c r="Q30" i="13"/>
  <c r="U28" i="13" s="1"/>
  <c r="R30" i="13"/>
  <c r="Q84" i="13"/>
  <c r="U46" i="13" s="1"/>
  <c r="R84" i="13"/>
  <c r="S84" i="13" s="1"/>
  <c r="R90" i="13"/>
  <c r="Q90" i="13"/>
  <c r="U48" i="13" s="1"/>
  <c r="R72" i="13"/>
  <c r="R42" i="13"/>
  <c r="Q42" i="13"/>
  <c r="U32" i="13" s="1"/>
  <c r="Q75" i="13"/>
  <c r="U43" i="13" s="1"/>
  <c r="R87" i="13"/>
  <c r="Q87" i="13"/>
  <c r="U47" i="13" s="1"/>
  <c r="R51" i="13"/>
  <c r="Q51" i="13"/>
  <c r="U35" i="13" s="1"/>
  <c r="S45" i="13"/>
  <c r="S93" i="13"/>
  <c r="Q36" i="13"/>
  <c r="U30" i="13" s="1"/>
  <c r="R69" i="13"/>
  <c r="Q69" i="13"/>
  <c r="U41" i="13" s="1"/>
  <c r="R33" i="13"/>
  <c r="Q33" i="13"/>
  <c r="U29" i="13" s="1"/>
  <c r="Q96" i="13"/>
  <c r="U50" i="13" s="1"/>
  <c r="Q78" i="13"/>
  <c r="U44" i="13" s="1"/>
  <c r="Q51" i="12"/>
  <c r="U35" i="12" s="1"/>
  <c r="R39" i="12"/>
  <c r="Q39" i="12"/>
  <c r="U31" i="12" s="1"/>
  <c r="R96" i="12"/>
  <c r="Q96" i="12"/>
  <c r="U50" i="12" s="1"/>
  <c r="R33" i="12"/>
  <c r="Q33" i="12"/>
  <c r="U29" i="12" s="1"/>
  <c r="R57" i="12"/>
  <c r="Q57" i="12"/>
  <c r="U37" i="12" s="1"/>
  <c r="R87" i="12"/>
  <c r="Q87" i="12"/>
  <c r="U47" i="12" s="1"/>
  <c r="Q63" i="12"/>
  <c r="U39" i="12" s="1"/>
  <c r="R45" i="12"/>
  <c r="Q45" i="12"/>
  <c r="U33" i="12" s="1"/>
  <c r="Q90" i="12"/>
  <c r="U48" i="12" s="1"/>
  <c r="Q93" i="12"/>
  <c r="U49" i="12" s="1"/>
  <c r="R60" i="12"/>
  <c r="Q60" i="12"/>
  <c r="U38" i="12" s="1"/>
  <c r="Q66" i="12"/>
  <c r="U40" i="12" s="1"/>
  <c r="R66" i="12"/>
  <c r="S66" i="12" s="1"/>
  <c r="Q84" i="12"/>
  <c r="U46" i="12" s="1"/>
  <c r="Q27" i="12"/>
  <c r="U27" i="12" s="1"/>
  <c r="R27" i="12"/>
  <c r="R42" i="12"/>
  <c r="Q42" i="12"/>
  <c r="U32" i="12" s="1"/>
  <c r="R78" i="12"/>
  <c r="Q78" i="12"/>
  <c r="U44" i="12" s="1"/>
  <c r="R69" i="12"/>
  <c r="Q69" i="12"/>
  <c r="U41" i="12" s="1"/>
  <c r="R72" i="12"/>
  <c r="Q72" i="12"/>
  <c r="U42" i="12" s="1"/>
  <c r="K89" i="1"/>
  <c r="J81" i="1"/>
  <c r="F40" i="1"/>
  <c r="F73" i="1"/>
  <c r="F31" i="1"/>
  <c r="F91" i="1"/>
  <c r="F80" i="1"/>
  <c r="F70" i="1"/>
  <c r="F101" i="1"/>
  <c r="F55" i="1"/>
  <c r="F97" i="1"/>
  <c r="F85" i="1"/>
  <c r="F34" i="1"/>
  <c r="F61" i="1"/>
  <c r="F37" i="1"/>
  <c r="F65" i="1"/>
  <c r="F83" i="1"/>
  <c r="F28" i="1"/>
  <c r="F103" i="1"/>
  <c r="F46" i="1"/>
  <c r="F47" i="1"/>
  <c r="F88" i="1"/>
  <c r="F89" i="1"/>
  <c r="F49" i="1"/>
  <c r="F50" i="1"/>
  <c r="F53" i="1"/>
  <c r="K73" i="1"/>
  <c r="F59" i="1"/>
  <c r="F43" i="1"/>
  <c r="F77" i="1"/>
  <c r="R48" i="19" l="1"/>
  <c r="R54" i="19"/>
  <c r="S54" i="19" s="1"/>
  <c r="R93" i="19"/>
  <c r="Q66" i="19"/>
  <c r="U40" i="19" s="1"/>
  <c r="Q39" i="19"/>
  <c r="U31" i="19" s="1"/>
  <c r="R36" i="19"/>
  <c r="R96" i="19"/>
  <c r="Q42" i="19"/>
  <c r="U32" i="19" s="1"/>
  <c r="R51" i="19"/>
  <c r="S45" i="17"/>
  <c r="S72" i="17"/>
  <c r="S36" i="17"/>
  <c r="S48" i="17"/>
  <c r="S42" i="16"/>
  <c r="Q90" i="15"/>
  <c r="U48" i="15" s="1"/>
  <c r="Q75" i="15"/>
  <c r="U43" i="15" s="1"/>
  <c r="R45" i="15"/>
  <c r="Q69" i="15"/>
  <c r="U41" i="15" s="1"/>
  <c r="R51" i="15"/>
  <c r="S51" i="15" s="1"/>
  <c r="R93" i="15"/>
  <c r="R84" i="15"/>
  <c r="S84" i="15" s="1"/>
  <c r="S93" i="14"/>
  <c r="S93" i="12"/>
  <c r="S81" i="12"/>
  <c r="Q60" i="18"/>
  <c r="U38" i="18" s="1"/>
  <c r="R84" i="18"/>
  <c r="R63" i="19"/>
  <c r="Q48" i="19"/>
  <c r="U34" i="19" s="1"/>
  <c r="Q81" i="19"/>
  <c r="U45" i="19" s="1"/>
  <c r="Q87" i="19"/>
  <c r="U47" i="19" s="1"/>
  <c r="R75" i="19"/>
  <c r="S75" i="19" s="1"/>
  <c r="Q45" i="19"/>
  <c r="U33" i="19" s="1"/>
  <c r="Q51" i="19"/>
  <c r="U35" i="19" s="1"/>
  <c r="R84" i="19"/>
  <c r="S84" i="19" s="1"/>
  <c r="R60" i="19"/>
  <c r="S60" i="19" s="1"/>
  <c r="R90" i="19"/>
  <c r="S90" i="19" s="1"/>
  <c r="R45" i="19"/>
  <c r="S63" i="17"/>
  <c r="S90" i="17"/>
  <c r="S84" i="17"/>
  <c r="S72" i="16"/>
  <c r="R27" i="15"/>
  <c r="R42" i="15"/>
  <c r="R75" i="15"/>
  <c r="R30" i="15"/>
  <c r="Q45" i="15"/>
  <c r="U33" i="15" s="1"/>
  <c r="R36" i="15"/>
  <c r="Q93" i="15"/>
  <c r="U49" i="15" s="1"/>
  <c r="Q51" i="15"/>
  <c r="U35" i="15" s="1"/>
  <c r="R63" i="15"/>
  <c r="Q96" i="15"/>
  <c r="U50" i="15" s="1"/>
  <c r="R54" i="15"/>
  <c r="R57" i="15"/>
  <c r="S57" i="15" s="1"/>
  <c r="Q72" i="15"/>
  <c r="U42" i="15" s="1"/>
  <c r="R60" i="15"/>
  <c r="S60" i="15" s="1"/>
  <c r="Q87" i="15"/>
  <c r="U47" i="15" s="1"/>
  <c r="Q39" i="15"/>
  <c r="U31" i="15" s="1"/>
  <c r="Q78" i="15"/>
  <c r="U44" i="15" s="1"/>
  <c r="R66" i="15"/>
  <c r="S90" i="15"/>
  <c r="Q66" i="15"/>
  <c r="U40" i="15" s="1"/>
  <c r="R78" i="15"/>
  <c r="Q27" i="15"/>
  <c r="U27" i="15" s="1"/>
  <c r="R33" i="15"/>
  <c r="S33" i="15" s="1"/>
  <c r="Q54" i="15"/>
  <c r="U36" i="15" s="1"/>
  <c r="Q57" i="15"/>
  <c r="U37" i="15" s="1"/>
  <c r="Q36" i="15"/>
  <c r="U30" i="15" s="1"/>
  <c r="R48" i="15"/>
  <c r="S48" i="15" s="1"/>
  <c r="S69" i="15"/>
  <c r="S81" i="15"/>
  <c r="S30" i="15"/>
  <c r="S63" i="15"/>
  <c r="S30" i="13"/>
  <c r="S48" i="13"/>
  <c r="S72" i="13"/>
  <c r="S30" i="12"/>
  <c r="S48" i="12"/>
  <c r="S27" i="12"/>
  <c r="S54" i="12"/>
  <c r="S36" i="12"/>
  <c r="Q45" i="18"/>
  <c r="U33" i="18" s="1"/>
  <c r="Q96" i="18"/>
  <c r="U50" i="18" s="1"/>
  <c r="R69" i="18"/>
  <c r="R30" i="18"/>
  <c r="Q48" i="18"/>
  <c r="U34" i="18" s="1"/>
  <c r="R48" i="18"/>
  <c r="S48" i="18" s="1"/>
  <c r="R75" i="18"/>
  <c r="Q66" i="18"/>
  <c r="U40" i="18" s="1"/>
  <c r="Q30" i="18"/>
  <c r="U28" i="18" s="1"/>
  <c r="R36" i="18"/>
  <c r="R57" i="18"/>
  <c r="R39" i="18"/>
  <c r="Q51" i="18"/>
  <c r="U35" i="18" s="1"/>
  <c r="R51" i="18"/>
  <c r="S51" i="18" s="1"/>
  <c r="Q75" i="18"/>
  <c r="U43" i="18" s="1"/>
  <c r="R42" i="18"/>
  <c r="Q33" i="18"/>
  <c r="U29" i="18" s="1"/>
  <c r="R54" i="18"/>
  <c r="Q42" i="18"/>
  <c r="U32" i="18" s="1"/>
  <c r="Q57" i="18"/>
  <c r="U37" i="18" s="1"/>
  <c r="Q36" i="18"/>
  <c r="U30" i="18" s="1"/>
  <c r="Q54" i="18"/>
  <c r="U36" i="18" s="1"/>
  <c r="Q39" i="18"/>
  <c r="U31" i="18" s="1"/>
  <c r="Q78" i="18"/>
  <c r="U44" i="18" s="1"/>
  <c r="Q27" i="18"/>
  <c r="U27" i="18" s="1"/>
  <c r="S63" i="18"/>
  <c r="S84" i="18"/>
  <c r="S90" i="18"/>
  <c r="R33" i="18"/>
  <c r="R27" i="18"/>
  <c r="S36" i="19"/>
  <c r="S72" i="19"/>
  <c r="S57" i="19"/>
  <c r="S75" i="17"/>
  <c r="S57" i="17"/>
  <c r="S96" i="17"/>
  <c r="S81" i="16"/>
  <c r="S75" i="16"/>
  <c r="S78" i="16"/>
  <c r="S51" i="16"/>
  <c r="S69" i="16"/>
  <c r="S39" i="16"/>
  <c r="S42" i="15"/>
  <c r="S75" i="15"/>
  <c r="S87" i="14"/>
  <c r="S27" i="14"/>
  <c r="S51" i="12"/>
  <c r="S84" i="12"/>
  <c r="S75" i="12"/>
  <c r="S81" i="18"/>
  <c r="S45" i="18"/>
  <c r="S69" i="18"/>
  <c r="S78" i="19"/>
  <c r="S66" i="19"/>
  <c r="S96" i="19"/>
  <c r="S33" i="19"/>
  <c r="S27" i="19"/>
  <c r="S81" i="19"/>
  <c r="S63" i="19"/>
  <c r="S87" i="19"/>
  <c r="S69" i="19"/>
  <c r="S93" i="19"/>
  <c r="S93" i="18"/>
  <c r="S96" i="18"/>
  <c r="S60" i="18"/>
  <c r="S87" i="18"/>
  <c r="S39" i="17"/>
  <c r="S87" i="17"/>
  <c r="S93" i="17"/>
  <c r="S60" i="17"/>
  <c r="S69" i="17"/>
  <c r="S27" i="17"/>
  <c r="S78" i="17"/>
  <c r="S51" i="17"/>
  <c r="S81" i="17"/>
  <c r="S60" i="16"/>
  <c r="S45" i="16"/>
  <c r="S96" i="16"/>
  <c r="S27" i="16"/>
  <c r="S30" i="16"/>
  <c r="S48" i="16"/>
  <c r="S66" i="16"/>
  <c r="S87" i="16"/>
  <c r="S54" i="16"/>
  <c r="S54" i="14"/>
  <c r="S66" i="14"/>
  <c r="S57" i="14"/>
  <c r="S69" i="14"/>
  <c r="S60" i="14"/>
  <c r="S75" i="14"/>
  <c r="S90" i="14"/>
  <c r="S33" i="14"/>
  <c r="S36" i="14"/>
  <c r="S72" i="14"/>
  <c r="S45" i="14"/>
  <c r="S33" i="13"/>
  <c r="S69" i="13"/>
  <c r="S63" i="13"/>
  <c r="S42" i="13"/>
  <c r="S90" i="13"/>
  <c r="S78" i="13"/>
  <c r="S51" i="13"/>
  <c r="S81" i="13"/>
  <c r="S75" i="13"/>
  <c r="S96" i="13"/>
  <c r="S87" i="13"/>
  <c r="S36" i="13"/>
  <c r="S60" i="12"/>
  <c r="S90" i="12"/>
  <c r="S45" i="12"/>
  <c r="S72" i="12"/>
  <c r="S87" i="12"/>
  <c r="S69" i="12"/>
  <c r="S57" i="12"/>
  <c r="S78" i="12"/>
  <c r="S33" i="12"/>
  <c r="S42" i="12"/>
  <c r="S96" i="12"/>
  <c r="S39" i="12"/>
  <c r="S63" i="12"/>
  <c r="K77" i="1"/>
  <c r="K38" i="1"/>
  <c r="K74" i="1"/>
  <c r="K40" i="1"/>
  <c r="K78" i="1"/>
  <c r="N10" i="1"/>
  <c r="K84" i="1"/>
  <c r="K29" i="1"/>
  <c r="K52" i="1"/>
  <c r="K55" i="1"/>
  <c r="K85" i="1"/>
  <c r="K65" i="1"/>
  <c r="K47" i="1"/>
  <c r="K93" i="1"/>
  <c r="K69" i="1"/>
  <c r="K67" i="1"/>
  <c r="K43" i="1"/>
  <c r="K64" i="1"/>
  <c r="K96" i="1"/>
  <c r="K95" i="1"/>
  <c r="K51" i="1"/>
  <c r="N6" i="1"/>
  <c r="N9" i="1"/>
  <c r="K71" i="1"/>
  <c r="K42" i="1"/>
  <c r="K59" i="1"/>
  <c r="K41" i="1"/>
  <c r="K49" i="1"/>
  <c r="K28" i="1"/>
  <c r="K70" i="1"/>
  <c r="K39" i="1"/>
  <c r="K34" i="1"/>
  <c r="K54" i="1"/>
  <c r="K45" i="1"/>
  <c r="K48" i="1"/>
  <c r="K57" i="1"/>
  <c r="N8" i="1"/>
  <c r="K35" i="1"/>
  <c r="K33" i="1"/>
  <c r="K87" i="1"/>
  <c r="K90" i="1"/>
  <c r="K50" i="1"/>
  <c r="K53" i="1"/>
  <c r="K63" i="1"/>
  <c r="K60" i="1"/>
  <c r="K37" i="1"/>
  <c r="K76" i="1"/>
  <c r="K82" i="1"/>
  <c r="K79" i="1"/>
  <c r="J27" i="1"/>
  <c r="K80" i="1"/>
  <c r="K27" i="1"/>
  <c r="K83" i="1"/>
  <c r="K46" i="1"/>
  <c r="K86" i="1"/>
  <c r="K44" i="1"/>
  <c r="K32" i="1"/>
  <c r="K36" i="1"/>
  <c r="K75" i="1"/>
  <c r="K58" i="1"/>
  <c r="K61" i="1"/>
  <c r="K94" i="1"/>
  <c r="K62" i="1"/>
  <c r="K68" i="1"/>
  <c r="K98" i="1"/>
  <c r="K97" i="1"/>
  <c r="K88" i="1"/>
  <c r="K56" i="1"/>
  <c r="K72" i="1"/>
  <c r="N7" i="1"/>
  <c r="K92" i="1"/>
  <c r="K81" i="1"/>
  <c r="M81" i="1" s="1"/>
  <c r="K66" i="1"/>
  <c r="K30" i="1"/>
  <c r="K31" i="1"/>
  <c r="K91" i="1"/>
  <c r="J44" i="1"/>
  <c r="J75" i="1"/>
  <c r="J36" i="1"/>
  <c r="J64" i="1"/>
  <c r="J69" i="1"/>
  <c r="J41" i="1"/>
  <c r="J68" i="1"/>
  <c r="J32" i="1"/>
  <c r="M6" i="1"/>
  <c r="P7" i="1" s="1"/>
  <c r="J97" i="1"/>
  <c r="J78" i="1"/>
  <c r="J62" i="1"/>
  <c r="J49" i="1"/>
  <c r="J58" i="1"/>
  <c r="J87" i="1"/>
  <c r="J29" i="1"/>
  <c r="J66" i="1"/>
  <c r="J95" i="1"/>
  <c r="J42" i="1"/>
  <c r="J55" i="1"/>
  <c r="J96" i="1"/>
  <c r="J59" i="1"/>
  <c r="J54" i="1"/>
  <c r="J85" i="1"/>
  <c r="J51" i="1"/>
  <c r="J84" i="1"/>
  <c r="J73" i="1"/>
  <c r="M73" i="1" s="1"/>
  <c r="J89" i="1"/>
  <c r="M89" i="1" s="1"/>
  <c r="J70" i="1"/>
  <c r="J28" i="1"/>
  <c r="J77" i="1"/>
  <c r="J76" i="1"/>
  <c r="J40" i="1"/>
  <c r="J82" i="1"/>
  <c r="J39" i="1"/>
  <c r="J57" i="1"/>
  <c r="M7" i="1"/>
  <c r="P8" i="1" s="1"/>
  <c r="J61" i="1"/>
  <c r="J65" i="1"/>
  <c r="J43" i="1"/>
  <c r="J33" i="1"/>
  <c r="J90" i="1"/>
  <c r="J34" i="1"/>
  <c r="J48" i="1"/>
  <c r="J50" i="1"/>
  <c r="J52" i="1"/>
  <c r="M8" i="1"/>
  <c r="P9" i="1" s="1"/>
  <c r="J88" i="1"/>
  <c r="J56" i="1"/>
  <c r="J92" i="1"/>
  <c r="J35" i="1"/>
  <c r="J93" i="1"/>
  <c r="J72" i="1"/>
  <c r="J30" i="1"/>
  <c r="J60" i="1"/>
  <c r="J47" i="1"/>
  <c r="J79" i="1"/>
  <c r="J67" i="1"/>
  <c r="J83" i="1"/>
  <c r="J71" i="1"/>
  <c r="J86" i="1"/>
  <c r="J63" i="1"/>
  <c r="J53" i="1"/>
  <c r="J31" i="1"/>
  <c r="J94" i="1"/>
  <c r="M10" i="1"/>
  <c r="P11" i="1" s="1"/>
  <c r="J98" i="1"/>
  <c r="J38" i="1"/>
  <c r="M9" i="1"/>
  <c r="P10" i="1" s="1"/>
  <c r="J91" i="1"/>
  <c r="J74" i="1"/>
  <c r="J46" i="1"/>
  <c r="J45" i="1"/>
  <c r="J80" i="1"/>
  <c r="J37" i="1"/>
  <c r="S39" i="19" l="1"/>
  <c r="S51" i="19"/>
  <c r="S45" i="19"/>
  <c r="S42" i="19"/>
  <c r="S48" i="19"/>
  <c r="S45" i="15"/>
  <c r="S75" i="18"/>
  <c r="S87" i="15"/>
  <c r="S78" i="15"/>
  <c r="S72" i="15"/>
  <c r="S93" i="15"/>
  <c r="S96" i="15"/>
  <c r="S54" i="15"/>
  <c r="S39" i="15"/>
  <c r="S66" i="15"/>
  <c r="S27" i="15"/>
  <c r="S36" i="15"/>
  <c r="S30" i="18"/>
  <c r="S66" i="18"/>
  <c r="S42" i="18"/>
  <c r="S54" i="18"/>
  <c r="S27" i="18"/>
  <c r="S33" i="18"/>
  <c r="S36" i="18"/>
  <c r="S57" i="18"/>
  <c r="S78" i="18"/>
  <c r="S39" i="18"/>
  <c r="M87" i="1"/>
  <c r="M59" i="1"/>
  <c r="M35" i="1"/>
  <c r="M85" i="1"/>
  <c r="M42" i="1"/>
  <c r="M67" i="1"/>
  <c r="M74" i="1"/>
  <c r="O74" i="1" s="1"/>
  <c r="P74" i="1" s="1"/>
  <c r="M77" i="1"/>
  <c r="M40" i="1"/>
  <c r="M38" i="1"/>
  <c r="M78" i="1"/>
  <c r="M34" i="1"/>
  <c r="M71" i="1"/>
  <c r="M95" i="1"/>
  <c r="M47" i="1"/>
  <c r="M39" i="1"/>
  <c r="M93" i="1"/>
  <c r="M28" i="1"/>
  <c r="M29" i="1"/>
  <c r="O29" i="1" s="1"/>
  <c r="P29" i="1" s="1"/>
  <c r="M70" i="1"/>
  <c r="M84" i="1"/>
  <c r="M65" i="1"/>
  <c r="M49" i="1"/>
  <c r="M52" i="1"/>
  <c r="M41" i="1"/>
  <c r="M45" i="1"/>
  <c r="M51" i="1"/>
  <c r="M60" i="1"/>
  <c r="M54" i="1"/>
  <c r="M96" i="1"/>
  <c r="M69" i="1"/>
  <c r="M43" i="1"/>
  <c r="M57" i="1"/>
  <c r="M55" i="1"/>
  <c r="M64" i="1"/>
  <c r="M27" i="1"/>
  <c r="M50" i="1"/>
  <c r="M48" i="1"/>
  <c r="M53" i="1"/>
  <c r="M33" i="1"/>
  <c r="M98" i="1"/>
  <c r="M68" i="1"/>
  <c r="O68" i="1" s="1"/>
  <c r="P68" i="1" s="1"/>
  <c r="M90" i="1"/>
  <c r="M72" i="1"/>
  <c r="M88" i="1"/>
  <c r="M83" i="1"/>
  <c r="M31" i="1"/>
  <c r="M86" i="1"/>
  <c r="M44" i="1"/>
  <c r="M66" i="1"/>
  <c r="M37" i="1"/>
  <c r="M30" i="1"/>
  <c r="M46" i="1"/>
  <c r="M76" i="1"/>
  <c r="M62" i="1"/>
  <c r="M91" i="1"/>
  <c r="M97" i="1"/>
  <c r="M56" i="1"/>
  <c r="M32" i="1"/>
  <c r="M92" i="1"/>
  <c r="M94" i="1"/>
  <c r="M36" i="1"/>
  <c r="M63" i="1"/>
  <c r="M75" i="1"/>
  <c r="M61" i="1"/>
  <c r="M79" i="1"/>
  <c r="M80" i="1"/>
  <c r="M82" i="1"/>
  <c r="M58" i="1"/>
  <c r="O77" i="1"/>
  <c r="P77" i="1" s="1"/>
  <c r="O69" i="1"/>
  <c r="P69" i="1" s="1"/>
  <c r="O58" i="1" l="1"/>
  <c r="P58" i="1" s="1"/>
  <c r="O94" i="1"/>
  <c r="P94" i="1" s="1"/>
  <c r="O30" i="1"/>
  <c r="P30" i="1" s="1"/>
  <c r="O36" i="1"/>
  <c r="P36" i="1" s="1"/>
  <c r="O45" i="1"/>
  <c r="P45" i="1" s="1"/>
  <c r="O35" i="1"/>
  <c r="P35" i="1" s="1"/>
  <c r="O53" i="1"/>
  <c r="P53" i="1" s="1"/>
  <c r="O33" i="1"/>
  <c r="P33" i="1" s="1"/>
  <c r="O97" i="1"/>
  <c r="P97" i="1" s="1"/>
  <c r="O64" i="1"/>
  <c r="P64" i="1" s="1"/>
  <c r="O80" i="1"/>
  <c r="P80" i="1" s="1"/>
  <c r="O67" i="1"/>
  <c r="P67" i="1" s="1"/>
  <c r="O51" i="1"/>
  <c r="P51" i="1" s="1"/>
  <c r="O98" i="1"/>
  <c r="P98" i="1" s="1"/>
  <c r="O95" i="1"/>
  <c r="P95" i="1" s="1"/>
  <c r="O55" i="1"/>
  <c r="P55" i="1" s="1"/>
  <c r="O46" i="1"/>
  <c r="P46" i="1" s="1"/>
  <c r="O38" i="1"/>
  <c r="P38" i="1" s="1"/>
  <c r="O48" i="1"/>
  <c r="P48" i="1" s="1"/>
  <c r="O89" i="1"/>
  <c r="P89" i="1" s="1"/>
  <c r="O78" i="1"/>
  <c r="P78" i="1" s="1"/>
  <c r="O59" i="1"/>
  <c r="P59" i="1" s="1"/>
  <c r="O37" i="1"/>
  <c r="P37" i="1" s="1"/>
  <c r="O40" i="1"/>
  <c r="P40" i="1" s="1"/>
  <c r="O41" i="1"/>
  <c r="P41" i="1" s="1"/>
  <c r="O92" i="1"/>
  <c r="P92" i="1" s="1"/>
  <c r="O71" i="1"/>
  <c r="P71" i="1" s="1"/>
  <c r="O28" i="1"/>
  <c r="P28" i="1" s="1"/>
  <c r="O90" i="1"/>
  <c r="P90" i="1" s="1"/>
  <c r="O70" i="1"/>
  <c r="P70" i="1" s="1"/>
  <c r="O85" i="1"/>
  <c r="P85" i="1" s="1"/>
  <c r="O54" i="1"/>
  <c r="P54" i="1" s="1"/>
  <c r="O34" i="1"/>
  <c r="P34" i="1" s="1"/>
  <c r="O50" i="1"/>
  <c r="P50" i="1" s="1"/>
  <c r="O63" i="1"/>
  <c r="P63" i="1" s="1"/>
  <c r="O32" i="1"/>
  <c r="P32" i="1" s="1"/>
  <c r="O88" i="1"/>
  <c r="P88" i="1" s="1"/>
  <c r="O76" i="1"/>
  <c r="P76" i="1" s="1"/>
  <c r="O72" i="1"/>
  <c r="P72" i="1" s="1"/>
  <c r="O86" i="1"/>
  <c r="P86" i="1" s="1"/>
  <c r="O43" i="1"/>
  <c r="P43" i="1" s="1"/>
  <c r="O52" i="1"/>
  <c r="P52" i="1" s="1"/>
  <c r="O91" i="1"/>
  <c r="P91" i="1" s="1"/>
  <c r="O79" i="1"/>
  <c r="P79" i="1" s="1"/>
  <c r="O75" i="1"/>
  <c r="P75" i="1" s="1"/>
  <c r="O39" i="1"/>
  <c r="P39" i="1" s="1"/>
  <c r="O73" i="1"/>
  <c r="P73" i="1" s="1"/>
  <c r="O42" i="1"/>
  <c r="P42" i="1" s="1"/>
  <c r="O65" i="1"/>
  <c r="P65" i="1" s="1"/>
  <c r="O61" i="1"/>
  <c r="P61" i="1" s="1"/>
  <c r="O62" i="1"/>
  <c r="P62" i="1" s="1"/>
  <c r="O44" i="1"/>
  <c r="P44" i="1" s="1"/>
  <c r="O60" i="1"/>
  <c r="P60" i="1" s="1"/>
  <c r="O56" i="1"/>
  <c r="P56" i="1" s="1"/>
  <c r="O87" i="1"/>
  <c r="P87" i="1" s="1"/>
  <c r="O84" i="1"/>
  <c r="P84" i="1" s="1"/>
  <c r="O82" i="1"/>
  <c r="P82" i="1" s="1"/>
  <c r="O27" i="1"/>
  <c r="P27" i="1" s="1"/>
  <c r="O96" i="1"/>
  <c r="P96" i="1" s="1"/>
  <c r="O31" i="1"/>
  <c r="P31" i="1" s="1"/>
  <c r="O81" i="1"/>
  <c r="P81" i="1" s="1"/>
  <c r="O47" i="1"/>
  <c r="P47" i="1" s="1"/>
  <c r="O57" i="1"/>
  <c r="P57" i="1" s="1"/>
  <c r="O66" i="1"/>
  <c r="P66" i="1" s="1"/>
  <c r="O83" i="1"/>
  <c r="P83" i="1" s="1"/>
  <c r="O93" i="1"/>
  <c r="P93" i="1" s="1"/>
  <c r="O49" i="1"/>
  <c r="P49" i="1" s="1"/>
  <c r="Q30" i="1" l="1"/>
  <c r="U28" i="1" s="1"/>
  <c r="R69" i="1"/>
  <c r="Q78" i="1"/>
  <c r="U44" i="1" s="1"/>
  <c r="R48" i="1"/>
  <c r="Q69" i="1"/>
  <c r="U41" i="1" s="1"/>
  <c r="Q96" i="1"/>
  <c r="U50" i="1" s="1"/>
  <c r="R30" i="1"/>
  <c r="Q33" i="1"/>
  <c r="U29" i="1" s="1"/>
  <c r="R75" i="1"/>
  <c r="R66" i="1"/>
  <c r="R96" i="1"/>
  <c r="Q57" i="1"/>
  <c r="U37" i="1" s="1"/>
  <c r="R57" i="1"/>
  <c r="S57" i="1" s="1"/>
  <c r="R60" i="1"/>
  <c r="Q60" i="1"/>
  <c r="U38" i="1" s="1"/>
  <c r="Q51" i="1"/>
  <c r="U35" i="1" s="1"/>
  <c r="R51" i="1"/>
  <c r="Q54" i="1"/>
  <c r="U36" i="1" s="1"/>
  <c r="R54" i="1"/>
  <c r="Q63" i="1"/>
  <c r="U39" i="1" s="1"/>
  <c r="R63" i="1"/>
  <c r="R42" i="1"/>
  <c r="Q42" i="1"/>
  <c r="U32" i="1" s="1"/>
  <c r="R78" i="1"/>
  <c r="Q48" i="1"/>
  <c r="U34" i="1" s="1"/>
  <c r="R87" i="1"/>
  <c r="Q87" i="1"/>
  <c r="U47" i="1" s="1"/>
  <c r="Q45" i="1"/>
  <c r="U33" i="1" s="1"/>
  <c r="R45" i="1"/>
  <c r="R93" i="1"/>
  <c r="Q93" i="1"/>
  <c r="U49" i="1" s="1"/>
  <c r="Q39" i="1"/>
  <c r="U31" i="1" s="1"/>
  <c r="R39" i="1"/>
  <c r="Q90" i="1"/>
  <c r="U48" i="1" s="1"/>
  <c r="R90" i="1"/>
  <c r="Q81" i="1"/>
  <c r="U45" i="1" s="1"/>
  <c r="R81" i="1"/>
  <c r="S81" i="1" s="1"/>
  <c r="Q66" i="1"/>
  <c r="U40" i="1" s="1"/>
  <c r="Q27" i="1"/>
  <c r="U27" i="1" s="1"/>
  <c r="R27" i="1"/>
  <c r="S27" i="1" s="1"/>
  <c r="Q84" i="1"/>
  <c r="U46" i="1" s="1"/>
  <c r="R84" i="1"/>
  <c r="Q72" i="1"/>
  <c r="U42" i="1" s="1"/>
  <c r="R72" i="1"/>
  <c r="S72" i="1" s="1"/>
  <c r="R33" i="1"/>
  <c r="Q75" i="1"/>
  <c r="U43" i="1" s="1"/>
  <c r="R36" i="1"/>
  <c r="Q36" i="1"/>
  <c r="U30" i="1" s="1"/>
  <c r="S78" i="1" l="1"/>
  <c r="S63" i="1"/>
  <c r="S30" i="1"/>
  <c r="S45" i="1"/>
  <c r="S39" i="1"/>
  <c r="S51" i="1"/>
  <c r="S90" i="1"/>
  <c r="S96" i="1"/>
  <c r="S69" i="1"/>
  <c r="S54" i="1"/>
  <c r="S33" i="1"/>
  <c r="S84" i="1"/>
  <c r="S93" i="1"/>
  <c r="S36" i="1"/>
  <c r="S87" i="1"/>
  <c r="S60" i="1"/>
  <c r="S75" i="1"/>
  <c r="S42" i="1"/>
  <c r="S66" i="1"/>
  <c r="S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22F8B89E-A59A-48AF-AB96-928EB5E678FE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F6C34CE0-B6EF-408B-951D-920E17100849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53166943-B09C-4BC2-9D64-40FCFBCDA0C1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5AA36C85-CEAB-4393-9E48-A2A5697E7755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B3A3FBA5-D67B-43C9-AAC6-64E4D4F6DD95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46D59F03-7371-4CA7-9E83-D0EB7EECEA9E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3D06F229-A662-45A4-9C74-E84FDB1F5534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846CF43A-76F1-4B05-AD92-17774F160554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6D82EF58-8FFA-431E-9209-A6666B0A79F6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544AB307-A54F-4A50-9EF8-5E24BC44215F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C5CFDF91-02D0-41F0-9DB3-021ADAE5AA14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F082D37E-9224-4C4C-97B4-DCF9EE5348C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3570ACCA-259B-4D70-8734-F2D14598531F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A7D47890-A1BF-4C99-907C-00F353304C31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3E221F38-9251-4EA2-BA61-FA725C2A5A1C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9EBF423F-8A3C-4568-9F0E-E233C386409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Ruven Gierholz</author>
    <author>Autor</author>
  </authors>
  <commentList>
    <comment ref="N25" authorId="0" shapeId="0" xr:uid="{87D6E9D7-1412-4F38-8F3F-548411C8D30C}">
      <text>
        <r>
          <rPr>
            <b/>
            <sz val="9"/>
            <color indexed="81"/>
            <rFont val="Segoe UI"/>
            <charset val="1"/>
          </rPr>
          <t>Ruven Gierholz:</t>
        </r>
        <r>
          <rPr>
            <sz val="9"/>
            <color indexed="81"/>
            <rFont val="Segoe UI"/>
            <charset val="1"/>
          </rPr>
          <t xml:space="preserve">
hier den Faktor aus Eichgerade verwenden</t>
        </r>
      </text>
    </comment>
    <comment ref="O25" authorId="1" shapeId="0" xr:uid="{B42D2233-3E97-4D90-BD0C-ED0AC769C6A4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sharedStrings.xml><?xml version="1.0" encoding="utf-8"?>
<sst xmlns="http://schemas.openxmlformats.org/spreadsheetml/2006/main" count="1332" uniqueCount="131">
  <si>
    <t>Berechnung Anthocyane</t>
  </si>
  <si>
    <t>Absorption</t>
  </si>
  <si>
    <t>minus Blank</t>
  </si>
  <si>
    <t>Anthocyan Standard</t>
  </si>
  <si>
    <t>Wellpos.</t>
  </si>
  <si>
    <t>530 nm</t>
  </si>
  <si>
    <t>657 nm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</si>
  <si>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g/ml</t>
    </r>
  </si>
  <si>
    <t>A1</t>
  </si>
  <si>
    <t>A2</t>
  </si>
  <si>
    <t>A3</t>
  </si>
  <si>
    <t>A4</t>
  </si>
  <si>
    <t>A5</t>
  </si>
  <si>
    <t>A6</t>
  </si>
  <si>
    <t>Blank</t>
  </si>
  <si>
    <t>A7</t>
  </si>
  <si>
    <t>A8</t>
  </si>
  <si>
    <t>A9</t>
  </si>
  <si>
    <t>Blank aver</t>
  </si>
  <si>
    <t>A10</t>
  </si>
  <si>
    <t>2ml Extraktionsmittel</t>
  </si>
  <si>
    <t>A11</t>
  </si>
  <si>
    <t>keine Verdünnung</t>
  </si>
  <si>
    <t>A12</t>
  </si>
  <si>
    <t>B1</t>
  </si>
  <si>
    <t>Berechnung</t>
  </si>
  <si>
    <t>B2</t>
  </si>
  <si>
    <r>
      <rPr>
        <sz val="11"/>
        <color rgb="FF000000"/>
        <rFont val="Calibri"/>
        <family val="2"/>
        <scheme val="minor"/>
      </rPr>
      <t>Anth = A</t>
    </r>
    <r>
      <rPr>
        <vertAlign val="subscript"/>
        <sz val="11"/>
        <color rgb="FF000000"/>
        <rFont val="Calibri"/>
        <family val="2"/>
        <scheme val="minor"/>
      </rPr>
      <t>530</t>
    </r>
    <r>
      <rPr>
        <sz val="11"/>
        <color rgb="FF000000"/>
        <rFont val="Calibri"/>
        <family val="2"/>
        <scheme val="minor"/>
      </rPr>
      <t xml:space="preserve"> – 0,25 A</t>
    </r>
    <r>
      <rPr>
        <vertAlign val="subscript"/>
        <sz val="11"/>
        <color rgb="FF000000"/>
        <rFont val="Calibri"/>
        <family val="2"/>
        <scheme val="minor"/>
      </rPr>
      <t>657</t>
    </r>
  </si>
  <si>
    <t>B3</t>
  </si>
  <si>
    <t>B4</t>
  </si>
  <si>
    <t>B5</t>
  </si>
  <si>
    <t>B6</t>
  </si>
  <si>
    <t>aus Einwaage-Tabelle</t>
  </si>
  <si>
    <t>*Anstieg Eichgerade</t>
  </si>
  <si>
    <t>/DW</t>
  </si>
  <si>
    <t>Mittel-wert</t>
  </si>
  <si>
    <t>STABW</t>
  </si>
  <si>
    <t>Proben-nummer</t>
  </si>
  <si>
    <t>Proben-Nr.</t>
  </si>
  <si>
    <t>Einwaage</t>
  </si>
  <si>
    <t>Wellposi-tion</t>
  </si>
  <si>
    <t>DW [mg]</t>
  </si>
  <si>
    <t>530 nm - Blank</t>
  </si>
  <si>
    <t>657 nm - Blank</t>
  </si>
  <si>
    <t>A(Antho)</t>
  </si>
  <si>
    <t>μg/ 2 ml</t>
  </si>
  <si>
    <t>μg/ml</t>
  </si>
  <si>
    <t>μg/mg DW</t>
  </si>
  <si>
    <t>µg/mg DW</t>
  </si>
  <si>
    <t>%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</si>
  <si>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</si>
  <si>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</si>
  <si>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</si>
  <si>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</si>
  <si>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</si>
  <si>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</si>
  <si>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</si>
  <si>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</si>
  <si>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</si>
  <si>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</si>
  <si>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</si>
  <si>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</si>
  <si>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</si>
  <si>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</si>
  <si>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</si>
  <si>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</si>
  <si>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</si>
  <si>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</si>
  <si>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</si>
  <si>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</si>
  <si>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</si>
  <si>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</si>
  <si>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</si>
  <si>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</si>
  <si>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</si>
  <si>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</si>
  <si>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</si>
  <si>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</si>
  <si>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</si>
  <si>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</si>
  <si>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</si>
  <si>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</si>
  <si>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</si>
  <si>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</si>
  <si>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</si>
  <si>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</si>
  <si>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</si>
  <si>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</si>
  <si>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</si>
  <si>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</si>
  <si>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</si>
  <si>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</si>
  <si>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</si>
  <si>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</si>
  <si>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</si>
  <si>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</si>
  <si>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</si>
  <si>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</si>
  <si>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</si>
  <si>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</si>
  <si>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</si>
  <si>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</si>
  <si>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</si>
  <si>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</si>
  <si>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</si>
  <si>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</si>
  <si>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</si>
  <si>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</si>
  <si>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</si>
  <si>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</si>
  <si>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</si>
  <si>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</si>
  <si>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</si>
  <si>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</si>
  <si>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</si>
  <si>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</si>
  <si>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</si>
  <si>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</si>
  <si>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</si>
  <si>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</si>
  <si>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</si>
  <si>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</si>
  <si>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Overflow</t>
  </si>
  <si>
    <t>*2</t>
  </si>
  <si>
    <t>100 µl gemessen</t>
  </si>
  <si>
    <t>E10</t>
  </si>
  <si>
    <t>E11</t>
  </si>
  <si>
    <t>E12</t>
  </si>
  <si>
    <t>H1</t>
  </si>
  <si>
    <t>H2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</si>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</sst>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/>
    <xf numFmtId="0" fontId="0" fillId="0" borderId="6" xfId="0" applyBorder="1"/>
    <xf numFmtId="0" fontId="0" fillId="0" borderId="4" xfId="0" applyBorder="1"/>
    <xf numFmtId="164" fontId="0" fillId="0" borderId="4" xfId="0" applyNumberFormat="1" applyBorder="1"/>
    <xf numFmtId="164" fontId="0" fillId="0" borderId="5" xfId="0" applyNumberFormat="1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49" fontId="0" fillId="0" borderId="10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2" fontId="0" fillId="0" borderId="0" xfId="0" applyNumberFormat="1"/>
    <xf numFmtId="0" fontId="6" fillId="0" borderId="11" xfId="0" applyFont="1" applyBorder="1" applyAlignment="1">
      <alignment horizontal="left" vertical="center" indent="5"/>
    </xf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2" fillId="0" borderId="1" xfId="0" quotePrefix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/>
    <xf numFmtId="165" fontId="0" fillId="0" borderId="8" xfId="0" applyNumberFormat="1" applyBorder="1"/>
    <xf numFmtId="165" fontId="0" fillId="0" borderId="9" xfId="0" applyNumberFormat="1" applyBorder="1"/>
    <xf numFmtId="165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165" fontId="0" fillId="0" borderId="7" xfId="0" applyNumberFormat="1" applyBorder="1"/>
    <xf numFmtId="1" fontId="0" fillId="0" borderId="7" xfId="0" applyNumberFormat="1" applyBorder="1"/>
    <xf numFmtId="2" fontId="0" fillId="0" borderId="7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165" fontId="0" fillId="0" borderId="14" xfId="0" applyNumberFormat="1" applyBorder="1"/>
    <xf numFmtId="0" fontId="8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'1-24'!$Q$4:$Q$6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'1-24'!$P$7:$P$11</c:f>
              <c:numCache>
                <c:formatCode>General</c:formatCode>
                <c:ptCount val="5"/>
                <c:pt idx="0">
                  <c:v>0.17640833333333333</c:v>
                </c:pt>
                <c:pt idx="1">
                  <c:v>0.5283000000000001</c:v>
                </c:pt>
                <c:pt idx="2">
                  <c:v>0.85298333333333332</c:v>
                </c:pt>
                <c:pt idx="3">
                  <c:v>1.4229833333333333</c:v>
                </c:pt>
                <c:pt idx="4">
                  <c:v>3.7692333333333332</c:v>
                </c:pt>
              </c:numCache>
            </c:numRef>
          </c:xVal>
          <c:yVal>
            <c:numRef>
              <c:f>'1-24'!$Q$7:$Q$11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7-4B19-B6E4-DD76F703D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'25-48'!$Q$4:$Q$6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'25-48'!$P$7:$P$11</c:f>
              <c:numCache>
                <c:formatCode>General</c:formatCode>
                <c:ptCount val="5"/>
                <c:pt idx="0">
                  <c:v>0.21831666666666669</c:v>
                </c:pt>
                <c:pt idx="1">
                  <c:v>0.47061666666666674</c:v>
                </c:pt>
                <c:pt idx="2">
                  <c:v>0.96489166666666659</c:v>
                </c:pt>
                <c:pt idx="3">
                  <c:v>1.9411166666666668</c:v>
                </c:pt>
                <c:pt idx="4">
                  <c:v>3.5412500000000002</c:v>
                </c:pt>
              </c:numCache>
            </c:numRef>
          </c:xVal>
          <c:yVal>
            <c:numRef>
              <c:f>'25-48'!$Q$7:$Q$11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D-404A-AA3C-912EA87E3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'49-72'!$Q$4:$Q$6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'49-72'!$P$7:$P$11</c:f>
              <c:numCache>
                <c:formatCode>General</c:formatCode>
                <c:ptCount val="5"/>
                <c:pt idx="0">
                  <c:v>0.30577499999999996</c:v>
                </c:pt>
                <c:pt idx="1">
                  <c:v>0.51964999999999995</c:v>
                </c:pt>
                <c:pt idx="2">
                  <c:v>1.0275000000000001</c:v>
                </c:pt>
                <c:pt idx="3">
                  <c:v>1.9699999999999998</c:v>
                </c:pt>
                <c:pt idx="4">
                  <c:v>3.7823500000000001</c:v>
                </c:pt>
              </c:numCache>
            </c:numRef>
          </c:xVal>
          <c:yVal>
            <c:numRef>
              <c:f>'49-72'!$Q$7:$Q$11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F3-4AC7-84D7-AAB103B93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'73-96'!$Q$4:$Q$6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'73-96'!$P$7:$P$11</c:f>
              <c:numCache>
                <c:formatCode>General</c:formatCode>
                <c:ptCount val="5"/>
                <c:pt idx="0">
                  <c:v>0.26372499999999999</c:v>
                </c:pt>
                <c:pt idx="1">
                  <c:v>0.49873333333333336</c:v>
                </c:pt>
                <c:pt idx="2">
                  <c:v>0.99222500000000002</c:v>
                </c:pt>
                <c:pt idx="3">
                  <c:v>2.0359250000000002</c:v>
                </c:pt>
                <c:pt idx="4">
                  <c:v>3.55565</c:v>
                </c:pt>
              </c:numCache>
            </c:numRef>
          </c:xVal>
          <c:yVal>
            <c:numRef>
              <c:f>'73-96'!$Q$7:$Q$11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8D-4B0A-A00E-5393BA06C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'97-120'!$Q$4:$Q$6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'97-120'!$P$7:$P$11</c:f>
              <c:numCache>
                <c:formatCode>General</c:formatCode>
                <c:ptCount val="5"/>
                <c:pt idx="0">
                  <c:v>0.28140833333333332</c:v>
                </c:pt>
                <c:pt idx="1">
                  <c:v>0.49331666666666663</c:v>
                </c:pt>
                <c:pt idx="2">
                  <c:v>1.0198583333333331</c:v>
                </c:pt>
                <c:pt idx="3">
                  <c:v>2.0840083333333332</c:v>
                </c:pt>
                <c:pt idx="4">
                  <c:v>3.8850833333333332</c:v>
                </c:pt>
              </c:numCache>
            </c:numRef>
          </c:xVal>
          <c:yVal>
            <c:numRef>
              <c:f>'97-120'!$Q$7:$Q$11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A78-9C57-322D5F94B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'121-144'!$Q$4:$Q$6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'121-144'!$P$7:$P$11</c:f>
              <c:numCache>
                <c:formatCode>General</c:formatCode>
                <c:ptCount val="5"/>
                <c:pt idx="0">
                  <c:v>0.24186666666666667</c:v>
                </c:pt>
                <c:pt idx="1">
                  <c:v>0.43899999999999995</c:v>
                </c:pt>
                <c:pt idx="2">
                  <c:v>0.92336666666666667</c:v>
                </c:pt>
                <c:pt idx="3">
                  <c:v>1.8173416666666669</c:v>
                </c:pt>
                <c:pt idx="4">
                  <c:v>3.6730333333333332</c:v>
                </c:pt>
              </c:numCache>
            </c:numRef>
          </c:xVal>
          <c:yVal>
            <c:numRef>
              <c:f>'121-144'!$Q$7:$Q$11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4-4D92-A5BE-8ACF07DF7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'145-168'!$Q$4:$Q$6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'145-168'!$P$7:$P$11</c:f>
              <c:numCache>
                <c:formatCode>General</c:formatCode>
                <c:ptCount val="5"/>
                <c:pt idx="0">
                  <c:v>0.19193333333333334</c:v>
                </c:pt>
                <c:pt idx="1">
                  <c:v>0.41709999999999997</c:v>
                </c:pt>
                <c:pt idx="2">
                  <c:v>0.89103333333333334</c:v>
                </c:pt>
                <c:pt idx="3">
                  <c:v>1.7700083333333336</c:v>
                </c:pt>
                <c:pt idx="4">
                  <c:v>3.7754833333333337</c:v>
                </c:pt>
              </c:numCache>
            </c:numRef>
          </c:xVal>
          <c:yVal>
            <c:numRef>
              <c:f>'145-168'!$Q$7:$Q$11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9F-4FE2-B50A-E7D1BBE4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'169-192'!$Q$4:$Q$6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'169-192'!$P$7:$P$11</c:f>
              <c:numCache>
                <c:formatCode>General</c:formatCode>
                <c:ptCount val="5"/>
                <c:pt idx="0">
                  <c:v>0.20698333333333332</c:v>
                </c:pt>
                <c:pt idx="1">
                  <c:v>0.51595000000000002</c:v>
                </c:pt>
                <c:pt idx="2">
                  <c:v>1.0278333333333334</c:v>
                </c:pt>
                <c:pt idx="3">
                  <c:v>1.9959333333333331</c:v>
                </c:pt>
                <c:pt idx="4">
                  <c:v>3.6264833333333333</c:v>
                </c:pt>
              </c:numCache>
            </c:numRef>
          </c:xVal>
          <c:yVal>
            <c:numRef>
              <c:f>'169-192'!$Q$7:$Q$11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5FB-A968-DA2122FE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'193-202'!$Q$4:$Q$6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'193-202'!$P$7:$P$11</c:f>
              <c:numCache>
                <c:formatCode>General</c:formatCode>
                <c:ptCount val="5"/>
                <c:pt idx="0">
                  <c:v>0.19117500000000001</c:v>
                </c:pt>
                <c:pt idx="1">
                  <c:v>0.49770000000000003</c:v>
                </c:pt>
                <c:pt idx="2">
                  <c:v>0.77752500000000013</c:v>
                </c:pt>
                <c:pt idx="3">
                  <c:v>2.0067999999999997</c:v>
                </c:pt>
                <c:pt idx="4">
                  <c:v>3.7264666666666666</c:v>
                </c:pt>
              </c:numCache>
            </c:numRef>
          </c:xVal>
          <c:yVal>
            <c:numRef>
              <c:f>'193-202'!$Q$7:$Q$11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54-4D94-AEAA-C302F4BC1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725B40-1602-4F32-B6CC-D75991BD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4FCA89C-DCD3-43D6-84FA-41491247D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75896B8-2CBC-4D98-98C8-2385A9EBD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BC9818D-13F1-4A06-8BAA-5CC9EB0C2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CF1D347-3CA5-494F-A379-90DDCFC50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6B3E66F-8B37-4E22-BB1C-6E02BB90B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C55896B-C96D-4771-AAF7-91D747DA9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39A68F-A2E2-465F-AFC7-F911A1048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6F9DF6D-6907-4584-8EAF-C66331BAF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55F1-0658-46C4-8794-5E91CEEE6B9B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3" t="s">
        <v>2</v>
      </c>
      <c r="N4" s="4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 s="12">
        <v>4.2000000000000003E-2</v>
      </c>
      <c r="G6" s="12">
        <v>3.8100000000000002E-2</v>
      </c>
      <c r="I6" s="13">
        <v>12.5</v>
      </c>
      <c r="J6" s="14">
        <f>AVERAGE(F9:F11,G66)</f>
        <v>0.21407500000000002</v>
      </c>
      <c r="K6" s="15">
        <f>AVERAGE(G9:G11,H66)</f>
        <v>3.7449999999999997E-2</v>
      </c>
      <c r="M6" s="14">
        <f>J6-$J$14</f>
        <v>0.17640833333333333</v>
      </c>
      <c r="N6" s="15">
        <f>K6-$K$14</f>
        <v>1.0499999999999954E-3</v>
      </c>
      <c r="P6" s="1" t="s">
        <v>5</v>
      </c>
      <c r="Q6" s="7" t="s">
        <v>7</v>
      </c>
    </row>
    <row r="7" spans="5:17" x14ac:dyDescent="0.25">
      <c r="E7" s="16" t="s">
        <v>9</v>
      </c>
      <c r="F7" s="17">
        <v>3.5799999999999998E-2</v>
      </c>
      <c r="G7" s="17">
        <v>3.49E-2</v>
      </c>
      <c r="I7" s="18">
        <v>25</v>
      </c>
      <c r="J7" s="19">
        <f>AVERAGE(F12:F14)</f>
        <v>0.56596666666666673</v>
      </c>
      <c r="K7" s="20">
        <f>AVERAGE(G12:G14)</f>
        <v>3.6399999999999995E-2</v>
      </c>
      <c r="M7" s="19">
        <f>J7-$J$14</f>
        <v>0.5283000000000001</v>
      </c>
      <c r="N7" s="20">
        <f>K7-$K$14</f>
        <v>0</v>
      </c>
      <c r="P7" s="17">
        <f>M6</f>
        <v>0.17640833333333333</v>
      </c>
      <c r="Q7" s="12">
        <v>12.5</v>
      </c>
    </row>
    <row r="8" spans="5:17" x14ac:dyDescent="0.25">
      <c r="E8" s="21" t="s">
        <v>10</v>
      </c>
      <c r="F8" s="22">
        <v>3.95E-2</v>
      </c>
      <c r="G8" s="22">
        <v>3.8399999999999997E-2</v>
      </c>
      <c r="I8" s="18">
        <v>50</v>
      </c>
      <c r="J8" s="19">
        <f>AVERAGE(F15:F17,G67)</f>
        <v>0.89064999999999994</v>
      </c>
      <c r="K8" s="20">
        <f>AVERAGE(G15:G17,H67)</f>
        <v>3.7075000000000004E-2</v>
      </c>
      <c r="M8" s="19">
        <f>J8-$J$14</f>
        <v>0.85298333333333332</v>
      </c>
      <c r="N8" s="20">
        <f>K8-$K$14</f>
        <v>6.7500000000000199E-4</v>
      </c>
      <c r="P8" s="17">
        <f>M7</f>
        <v>0.5283000000000001</v>
      </c>
      <c r="Q8" s="17">
        <v>25</v>
      </c>
    </row>
    <row r="9" spans="5:17" x14ac:dyDescent="0.25">
      <c r="E9" s="11" t="s">
        <v>11</v>
      </c>
      <c r="F9" s="12">
        <v>0.31159999999999999</v>
      </c>
      <c r="G9" s="12">
        <v>3.56E-2</v>
      </c>
      <c r="I9" s="18">
        <v>100</v>
      </c>
      <c r="J9" s="19">
        <f>AVERAGE(F18:F20,G68)</f>
        <v>1.46065</v>
      </c>
      <c r="K9" s="20">
        <f>AVERAGE(G18:G20,H68)</f>
        <v>3.7925E-2</v>
      </c>
      <c r="M9" s="19">
        <f>J9-$J$14</f>
        <v>1.4229833333333333</v>
      </c>
      <c r="N9" s="20">
        <f>K9-$K$14</f>
        <v>1.5249999999999986E-3</v>
      </c>
      <c r="P9" s="17">
        <f>M8</f>
        <v>0.85298333333333332</v>
      </c>
      <c r="Q9" s="17">
        <v>50</v>
      </c>
    </row>
    <row r="10" spans="5:17" x14ac:dyDescent="0.25">
      <c r="E10" s="16" t="s">
        <v>12</v>
      </c>
      <c r="F10" s="17">
        <v>0.17879999999999999</v>
      </c>
      <c r="G10" s="17">
        <v>3.6999999999999998E-2</v>
      </c>
      <c r="I10" s="23">
        <v>250</v>
      </c>
      <c r="J10" s="24">
        <f>AVERAGE(F21:F23)</f>
        <v>3.8068999999999997</v>
      </c>
      <c r="K10" s="25">
        <f>AVERAGE(G21:G23)</f>
        <v>3.5266666666666668E-2</v>
      </c>
      <c r="M10" s="19">
        <f>J10-$J$14</f>
        <v>3.7692333333333332</v>
      </c>
      <c r="N10" s="20">
        <f>K10-$K$14</f>
        <v>-1.1333333333333334E-3</v>
      </c>
      <c r="P10" s="17">
        <f>M9</f>
        <v>1.4229833333333333</v>
      </c>
      <c r="Q10" s="17">
        <v>100</v>
      </c>
    </row>
    <row r="11" spans="5:17" x14ac:dyDescent="0.25">
      <c r="E11" s="21" t="s">
        <v>13</v>
      </c>
      <c r="F11" s="22">
        <v>0.3039</v>
      </c>
      <c r="G11" s="22">
        <v>3.6499999999999998E-2</v>
      </c>
      <c r="I11" s="26" t="s">
        <v>14</v>
      </c>
      <c r="J11" s="13">
        <f t="shared" ref="J11:K13" si="0">F6</f>
        <v>4.2000000000000003E-2</v>
      </c>
      <c r="K11" s="27">
        <f t="shared" si="0"/>
        <v>3.8100000000000002E-2</v>
      </c>
      <c r="M11" s="23"/>
      <c r="N11" s="28"/>
      <c r="P11" s="22">
        <f>M10</f>
        <v>3.7692333333333332</v>
      </c>
      <c r="Q11" s="22">
        <v>250</v>
      </c>
    </row>
    <row r="12" spans="5:17" x14ac:dyDescent="0.25">
      <c r="E12" s="11" t="s">
        <v>15</v>
      </c>
      <c r="F12" s="12">
        <v>0.55330000000000001</v>
      </c>
      <c r="G12" s="12">
        <v>3.5499999999999997E-2</v>
      </c>
      <c r="I12" s="29" t="s">
        <v>14</v>
      </c>
      <c r="J12" s="18">
        <f t="shared" si="0"/>
        <v>3.5799999999999998E-2</v>
      </c>
      <c r="K12" s="30">
        <f t="shared" si="0"/>
        <v>3.49E-2</v>
      </c>
    </row>
    <row r="13" spans="5:17" x14ac:dyDescent="0.25">
      <c r="E13" s="16" t="s">
        <v>16</v>
      </c>
      <c r="F13" s="17">
        <v>0.54720000000000002</v>
      </c>
      <c r="G13" s="17">
        <v>3.7400000000000003E-2</v>
      </c>
      <c r="I13" s="31" t="s">
        <v>14</v>
      </c>
      <c r="J13" s="23">
        <f t="shared" si="0"/>
        <v>3.95E-2</v>
      </c>
      <c r="K13" s="28">
        <f t="shared" si="0"/>
        <v>3.8399999999999997E-2</v>
      </c>
    </row>
    <row r="14" spans="5:17" x14ac:dyDescent="0.25">
      <c r="E14" s="21" t="s">
        <v>17</v>
      </c>
      <c r="F14" s="22">
        <v>0.59740000000000004</v>
      </c>
      <c r="G14" s="22">
        <v>3.6299999999999999E-2</v>
      </c>
      <c r="I14" s="32" t="s">
        <v>18</v>
      </c>
      <c r="J14" s="33">
        <f>AVERAGE(J11:J13,G93:G95)</f>
        <v>3.7666666666666668E-2</v>
      </c>
      <c r="K14" s="34">
        <f>AVERAGE(K11:K13,H93:H95)</f>
        <v>3.6400000000000002E-2</v>
      </c>
    </row>
    <row r="15" spans="5:17" x14ac:dyDescent="0.25">
      <c r="E15" s="11" t="s">
        <v>19</v>
      </c>
      <c r="F15" s="12">
        <v>1.2909999999999999</v>
      </c>
      <c r="G15" s="12">
        <v>3.8300000000000001E-2</v>
      </c>
      <c r="M15" s="13" t="s">
        <v>20</v>
      </c>
      <c r="N15" s="35"/>
      <c r="O15" s="27"/>
    </row>
    <row r="16" spans="5:17" x14ac:dyDescent="0.25">
      <c r="E16" s="16" t="s">
        <v>21</v>
      </c>
      <c r="F16" s="17">
        <v>1.0270999999999999</v>
      </c>
      <c r="G16" s="17">
        <v>3.6799999999999999E-2</v>
      </c>
      <c r="M16" s="18" t="s">
        <v>22</v>
      </c>
      <c r="O16" s="30"/>
    </row>
    <row r="17" spans="1:24" x14ac:dyDescent="0.25">
      <c r="E17" s="21" t="s">
        <v>23</v>
      </c>
      <c r="F17" s="22">
        <v>1.0642</v>
      </c>
      <c r="G17" s="22">
        <v>3.6499999999999998E-2</v>
      </c>
      <c r="M17" s="23" t="s">
        <v>124</v>
      </c>
      <c r="N17" s="36"/>
      <c r="O17" s="28"/>
    </row>
    <row r="18" spans="1:24" x14ac:dyDescent="0.25">
      <c r="E18" s="11" t="s">
        <v>24</v>
      </c>
      <c r="F18" s="12">
        <v>2.1677</v>
      </c>
      <c r="G18" s="12">
        <v>4.1599999999999998E-2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 s="17">
        <v>1.1813</v>
      </c>
      <c r="G19" s="17">
        <v>3.78E-2</v>
      </c>
      <c r="I19" s="38" t="s">
        <v>27</v>
      </c>
      <c r="J19" s="36"/>
      <c r="K19" s="28"/>
    </row>
    <row r="20" spans="1:24" x14ac:dyDescent="0.25">
      <c r="E20" s="21" t="s">
        <v>28</v>
      </c>
      <c r="F20" s="22">
        <v>2.0032999999999999</v>
      </c>
      <c r="G20" s="22">
        <v>3.56E-2</v>
      </c>
      <c r="U20" s="37"/>
      <c r="V20" s="37"/>
    </row>
    <row r="21" spans="1:24" x14ac:dyDescent="0.25">
      <c r="E21" s="11" t="s">
        <v>29</v>
      </c>
      <c r="F21" s="12">
        <v>3.8005</v>
      </c>
      <c r="G21" s="12">
        <v>3.4299999999999997E-2</v>
      </c>
      <c r="U21" s="37"/>
      <c r="V21" s="37"/>
    </row>
    <row r="22" spans="1:24" x14ac:dyDescent="0.25">
      <c r="E22" s="16" t="s">
        <v>30</v>
      </c>
      <c r="F22" s="17" t="s">
        <v>122</v>
      </c>
      <c r="G22" s="17">
        <v>3.4799999999999998E-2</v>
      </c>
      <c r="U22" s="37"/>
      <c r="V22" s="37"/>
    </row>
    <row r="23" spans="1:24" x14ac:dyDescent="0.25">
      <c r="E23" s="21" t="s">
        <v>31</v>
      </c>
      <c r="F23" s="22">
        <v>3.8132999999999999</v>
      </c>
      <c r="G23" s="22">
        <v>3.6700000000000003E-2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40"/>
      <c r="N25" s="77" t="s">
        <v>33</v>
      </c>
      <c r="O25" s="42" t="s">
        <v>123</v>
      </c>
      <c r="P25" s="43" t="s">
        <v>34</v>
      </c>
      <c r="Q25" s="3" t="s">
        <v>35</v>
      </c>
      <c r="R25" s="43" t="s">
        <v>36</v>
      </c>
      <c r="S25" s="44" t="s">
        <v>36</v>
      </c>
      <c r="T25" s="4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3" t="s">
        <v>48</v>
      </c>
      <c r="R26" s="41" t="s">
        <v>48</v>
      </c>
      <c r="S26" s="44" t="s">
        <v>49</v>
      </c>
      <c r="T26" s="44"/>
      <c r="U26" s="6" t="s">
        <v>48</v>
      </c>
      <c r="V26" s="37"/>
    </row>
    <row r="27" spans="1:24" ht="15" customHeight="1" x14ac:dyDescent="0.25">
      <c r="A27" s="18">
        <v>1</v>
      </c>
      <c r="B27" s="30">
        <v>10</v>
      </c>
      <c r="D27" s="78">
        <f>A27</f>
        <v>1</v>
      </c>
      <c r="E27" s="12" t="s">
        <v>50</v>
      </c>
      <c r="F27" s="12">
        <f>B27</f>
        <v>10</v>
      </c>
      <c r="G27" s="54">
        <v>0.56740000000000002</v>
      </c>
      <c r="H27" s="55">
        <v>0.44159999999999999</v>
      </c>
      <c r="I27" s="56"/>
      <c r="J27" s="57">
        <f t="shared" ref="J27:J58" si="1">G27-$J$14</f>
        <v>0.52973333333333339</v>
      </c>
      <c r="K27" s="58">
        <f t="shared" ref="K27:K58" si="2">H27-$K$14</f>
        <v>0.4052</v>
      </c>
      <c r="L27" s="56"/>
      <c r="M27" s="59">
        <f>J27-(0.25*K27)</f>
        <v>0.42843333333333339</v>
      </c>
      <c r="N27" s="56">
        <f>M27*67.674</f>
        <v>28.993797400000005</v>
      </c>
      <c r="O27" s="58">
        <f>N27*2</f>
        <v>57.987594800000011</v>
      </c>
      <c r="P27" s="56">
        <f>O27/F27</f>
        <v>5.7987594800000011</v>
      </c>
      <c r="Q27" s="57">
        <f>AVERAGE(P27:P29)</f>
        <v>3.7944811800000005</v>
      </c>
      <c r="R27" s="56">
        <f>STDEV(P27:P29)</f>
        <v>2.1318752678507753</v>
      </c>
      <c r="S27" s="58">
        <f>R27/Q27*100</f>
        <v>56.183577325076492</v>
      </c>
      <c r="T27" s="60">
        <f>D27</f>
        <v>1</v>
      </c>
      <c r="U27" s="61">
        <f>Q27</f>
        <v>3.7944811800000005</v>
      </c>
      <c r="V27" s="37"/>
    </row>
    <row r="28" spans="1:24" ht="14.45" customHeight="1" x14ac:dyDescent="0.25">
      <c r="A28" s="18">
        <v>2</v>
      </c>
      <c r="B28" s="30">
        <v>10</v>
      </c>
      <c r="D28" s="79"/>
      <c r="E28" s="17" t="s">
        <v>51</v>
      </c>
      <c r="F28" s="17">
        <f>F27</f>
        <v>10</v>
      </c>
      <c r="G28" s="57">
        <v>0.15440000000000001</v>
      </c>
      <c r="H28" s="58">
        <v>4.3900000000000002E-2</v>
      </c>
      <c r="I28" s="56"/>
      <c r="J28" s="57">
        <f t="shared" si="1"/>
        <v>0.11673333333333334</v>
      </c>
      <c r="K28" s="58">
        <f t="shared" si="2"/>
        <v>7.4999999999999997E-3</v>
      </c>
      <c r="L28" s="56"/>
      <c r="M28" s="62">
        <f t="shared" ref="M28:M91" si="3">J28-(0.25*K28)</f>
        <v>0.11485833333333334</v>
      </c>
      <c r="N28" s="56">
        <f t="shared" ref="N28:N91" si="4">M28*67.674</f>
        <v>7.7729228500000014</v>
      </c>
      <c r="O28" s="58">
        <f t="shared" ref="O28:O91" si="5">N28*2</f>
        <v>15.545845700000003</v>
      </c>
      <c r="P28" s="56">
        <f t="shared" ref="P28:P65" si="6">O28/F28</f>
        <v>1.5545845700000003</v>
      </c>
      <c r="Q28" s="57"/>
      <c r="R28" s="56"/>
      <c r="S28" s="58"/>
      <c r="T28" s="63">
        <f>D30</f>
        <v>2</v>
      </c>
      <c r="U28" s="64">
        <f>Q30</f>
        <v>3.8411762400000007</v>
      </c>
    </row>
    <row r="29" spans="1:24" ht="14.45" customHeight="1" x14ac:dyDescent="0.25">
      <c r="A29" s="18">
        <v>3</v>
      </c>
      <c r="B29" s="30">
        <v>10</v>
      </c>
      <c r="D29" s="80"/>
      <c r="E29" s="22" t="s">
        <v>52</v>
      </c>
      <c r="F29" s="22">
        <f>F27</f>
        <v>10</v>
      </c>
      <c r="G29" s="65">
        <v>0.38329999999999997</v>
      </c>
      <c r="H29" s="66">
        <v>0.22789999999999999</v>
      </c>
      <c r="I29" s="56"/>
      <c r="J29" s="57">
        <f t="shared" si="1"/>
        <v>0.34563333333333329</v>
      </c>
      <c r="K29" s="58">
        <f t="shared" si="2"/>
        <v>0.1915</v>
      </c>
      <c r="L29" s="56"/>
      <c r="M29" s="62">
        <f t="shared" si="3"/>
        <v>0.29775833333333329</v>
      </c>
      <c r="N29" s="56">
        <f t="shared" si="4"/>
        <v>20.15049745</v>
      </c>
      <c r="O29" s="58">
        <f t="shared" si="5"/>
        <v>40.300994899999999</v>
      </c>
      <c r="P29" s="56">
        <f t="shared" si="6"/>
        <v>4.0300994899999996</v>
      </c>
      <c r="Q29" s="57"/>
      <c r="R29" s="56"/>
      <c r="S29" s="58"/>
      <c r="T29" s="63">
        <f>D33</f>
        <v>3</v>
      </c>
      <c r="U29" s="64">
        <f>Q33</f>
        <v>1.7131673100000002</v>
      </c>
    </row>
    <row r="30" spans="1:24" ht="14.45" customHeight="1" x14ac:dyDescent="0.25">
      <c r="A30" s="18">
        <v>4</v>
      </c>
      <c r="B30" s="30">
        <v>10</v>
      </c>
      <c r="D30" s="78">
        <f>A28</f>
        <v>2</v>
      </c>
      <c r="E30" s="12" t="s">
        <v>53</v>
      </c>
      <c r="F30" s="12">
        <f>B28</f>
        <v>10</v>
      </c>
      <c r="G30" s="54">
        <v>0.30449999999999999</v>
      </c>
      <c r="H30" s="55">
        <v>3.9199999999999999E-2</v>
      </c>
      <c r="I30" s="56"/>
      <c r="J30" s="57">
        <f t="shared" si="1"/>
        <v>0.26683333333333331</v>
      </c>
      <c r="K30" s="58">
        <f t="shared" si="2"/>
        <v>2.7999999999999969E-3</v>
      </c>
      <c r="L30" s="56"/>
      <c r="M30" s="62">
        <f t="shared" si="3"/>
        <v>0.26613333333333333</v>
      </c>
      <c r="N30" s="56">
        <f t="shared" si="4"/>
        <v>18.010307200000003</v>
      </c>
      <c r="O30" s="58">
        <f t="shared" si="5"/>
        <v>36.020614400000007</v>
      </c>
      <c r="P30" s="56">
        <f t="shared" si="6"/>
        <v>3.6020614400000008</v>
      </c>
      <c r="Q30" s="57">
        <f>AVERAGE(P30:P32)</f>
        <v>3.8411762400000007</v>
      </c>
      <c r="R30" s="56">
        <f>STDEV(P30:P32)</f>
        <v>0.20810561937200278</v>
      </c>
      <c r="S30" s="58">
        <f>R30/Q30*100</f>
        <v>5.417757644257498</v>
      </c>
      <c r="T30" s="63">
        <f>D36</f>
        <v>4</v>
      </c>
      <c r="U30" s="64">
        <f>Q36</f>
        <v>0.88495034000000017</v>
      </c>
    </row>
    <row r="31" spans="1:24" ht="14.45" customHeight="1" x14ac:dyDescent="0.25">
      <c r="A31" s="18">
        <v>5</v>
      </c>
      <c r="B31" s="30">
        <v>10</v>
      </c>
      <c r="D31" s="79"/>
      <c r="E31" s="17" t="s">
        <v>54</v>
      </c>
      <c r="F31" s="17">
        <f t="shared" ref="F31" si="7">F30</f>
        <v>10</v>
      </c>
      <c r="G31" s="57">
        <v>0.32950000000000002</v>
      </c>
      <c r="H31" s="58">
        <v>3.9300000000000002E-2</v>
      </c>
      <c r="I31" s="56"/>
      <c r="J31" s="57">
        <f t="shared" si="1"/>
        <v>0.29183333333333333</v>
      </c>
      <c r="K31" s="58">
        <f t="shared" si="2"/>
        <v>2.8999999999999998E-3</v>
      </c>
      <c r="L31" s="56"/>
      <c r="M31" s="62">
        <f t="shared" si="3"/>
        <v>0.29110833333333336</v>
      </c>
      <c r="N31" s="56">
        <f t="shared" si="4"/>
        <v>19.700465350000005</v>
      </c>
      <c r="O31" s="58">
        <f t="shared" si="5"/>
        <v>39.400930700000011</v>
      </c>
      <c r="P31" s="56">
        <f t="shared" si="6"/>
        <v>3.940093070000001</v>
      </c>
      <c r="Q31" s="57"/>
      <c r="R31" s="56"/>
      <c r="S31" s="58"/>
      <c r="T31" s="63">
        <f>D39</f>
        <v>5</v>
      </c>
      <c r="U31" s="64">
        <f>Q39</f>
        <v>0.91190715000000011</v>
      </c>
    </row>
    <row r="32" spans="1:24" ht="14.45" customHeight="1" x14ac:dyDescent="0.25">
      <c r="A32" s="18">
        <v>6</v>
      </c>
      <c r="B32" s="30">
        <v>10</v>
      </c>
      <c r="D32" s="80"/>
      <c r="E32" s="22" t="s">
        <v>55</v>
      </c>
      <c r="F32" s="22">
        <f t="shared" ref="F32" si="8">F30</f>
        <v>10</v>
      </c>
      <c r="G32" s="65">
        <v>0.33250000000000002</v>
      </c>
      <c r="H32" s="66">
        <v>3.9100000000000003E-2</v>
      </c>
      <c r="I32" s="56"/>
      <c r="J32" s="57">
        <f t="shared" si="1"/>
        <v>0.29483333333333334</v>
      </c>
      <c r="K32" s="58">
        <f t="shared" si="2"/>
        <v>2.700000000000001E-3</v>
      </c>
      <c r="L32" s="56"/>
      <c r="M32" s="62">
        <f t="shared" si="3"/>
        <v>0.29415833333333335</v>
      </c>
      <c r="N32" s="56">
        <f t="shared" si="4"/>
        <v>19.906871050000003</v>
      </c>
      <c r="O32" s="58">
        <f t="shared" si="5"/>
        <v>39.813742100000006</v>
      </c>
      <c r="P32" s="56">
        <f t="shared" si="6"/>
        <v>3.9813742100000007</v>
      </c>
      <c r="Q32" s="57"/>
      <c r="R32" s="56"/>
      <c r="S32" s="58"/>
      <c r="T32" s="63">
        <f>D42</f>
        <v>6</v>
      </c>
      <c r="U32" s="64">
        <f>Q42</f>
        <v>0.43999379000000011</v>
      </c>
    </row>
    <row r="33" spans="1:21" ht="14.45" customHeight="1" x14ac:dyDescent="0.25">
      <c r="A33" s="18">
        <v>7</v>
      </c>
      <c r="B33" s="30">
        <v>10</v>
      </c>
      <c r="D33" s="78">
        <f>A29</f>
        <v>3</v>
      </c>
      <c r="E33" s="12" t="s">
        <v>56</v>
      </c>
      <c r="F33" s="12">
        <f>B29</f>
        <v>10</v>
      </c>
      <c r="G33" s="54">
        <v>0.1182</v>
      </c>
      <c r="H33" s="55">
        <v>9.3700000000000006E-2</v>
      </c>
      <c r="I33" s="56"/>
      <c r="J33" s="57">
        <f t="shared" si="1"/>
        <v>8.0533333333333332E-2</v>
      </c>
      <c r="K33" s="58">
        <f t="shared" si="2"/>
        <v>5.7300000000000004E-2</v>
      </c>
      <c r="L33" s="56"/>
      <c r="M33" s="62">
        <f t="shared" si="3"/>
        <v>6.6208333333333327E-2</v>
      </c>
      <c r="N33" s="56">
        <f t="shared" si="4"/>
        <v>4.4805827499999999</v>
      </c>
      <c r="O33" s="58">
        <f t="shared" si="5"/>
        <v>8.9611654999999999</v>
      </c>
      <c r="P33" s="56">
        <f t="shared" si="6"/>
        <v>0.89611655000000001</v>
      </c>
      <c r="Q33" s="57">
        <f>AVERAGE(P33:P35)</f>
        <v>1.7131673100000002</v>
      </c>
      <c r="R33" s="56">
        <f>STDEV(P33:P35)</f>
        <v>1.7852760773293164</v>
      </c>
      <c r="S33" s="58">
        <f>R33/Q33*100</f>
        <v>104.20909078222581</v>
      </c>
      <c r="T33" s="63">
        <f>D45</f>
        <v>7</v>
      </c>
      <c r="U33" s="64">
        <f>Q45</f>
        <v>0.46852966000000001</v>
      </c>
    </row>
    <row r="34" spans="1:21" ht="14.45" customHeight="1" x14ac:dyDescent="0.25">
      <c r="A34" s="18">
        <v>8</v>
      </c>
      <c r="B34" s="30">
        <v>10</v>
      </c>
      <c r="D34" s="79"/>
      <c r="E34" s="17" t="s">
        <v>57</v>
      </c>
      <c r="F34" s="17">
        <f t="shared" ref="F34" si="9">F33</f>
        <v>10</v>
      </c>
      <c r="G34" s="57">
        <v>0.31709999999999999</v>
      </c>
      <c r="H34" s="58">
        <v>4.2700000000000002E-2</v>
      </c>
      <c r="I34" s="56"/>
      <c r="J34" s="57">
        <f t="shared" si="1"/>
        <v>0.27943333333333331</v>
      </c>
      <c r="K34" s="58">
        <f t="shared" si="2"/>
        <v>6.3E-3</v>
      </c>
      <c r="L34" s="56"/>
      <c r="M34" s="62">
        <f t="shared" si="3"/>
        <v>0.27785833333333332</v>
      </c>
      <c r="N34" s="56">
        <f t="shared" si="4"/>
        <v>18.80378485</v>
      </c>
      <c r="O34" s="58">
        <f t="shared" si="5"/>
        <v>37.607569699999999</v>
      </c>
      <c r="P34" s="56">
        <f t="shared" si="6"/>
        <v>3.7607569700000001</v>
      </c>
      <c r="Q34" s="57"/>
      <c r="R34" s="56"/>
      <c r="S34" s="58"/>
      <c r="T34" s="63">
        <f>D48</f>
        <v>8</v>
      </c>
      <c r="U34" s="64">
        <f>Q48</f>
        <v>9.000641999999999E-2</v>
      </c>
    </row>
    <row r="35" spans="1:21" ht="14.45" customHeight="1" x14ac:dyDescent="0.25">
      <c r="A35" s="18">
        <v>9</v>
      </c>
      <c r="B35" s="30">
        <v>10</v>
      </c>
      <c r="D35" s="80"/>
      <c r="E35" s="22" t="s">
        <v>58</v>
      </c>
      <c r="F35" s="22">
        <f t="shared" ref="F35" si="10">F33</f>
        <v>10</v>
      </c>
      <c r="G35" s="65">
        <v>7.46E-2</v>
      </c>
      <c r="H35" s="66">
        <v>4.1500000000000002E-2</v>
      </c>
      <c r="I35" s="56"/>
      <c r="J35" s="57">
        <f t="shared" si="1"/>
        <v>3.6933333333333332E-2</v>
      </c>
      <c r="K35" s="58">
        <f t="shared" si="2"/>
        <v>5.1000000000000004E-3</v>
      </c>
      <c r="L35" s="56"/>
      <c r="M35" s="62">
        <f t="shared" si="3"/>
        <v>3.5658333333333334E-2</v>
      </c>
      <c r="N35" s="56">
        <f t="shared" si="4"/>
        <v>2.4131420500000003</v>
      </c>
      <c r="O35" s="58">
        <f t="shared" si="5"/>
        <v>4.8262841000000005</v>
      </c>
      <c r="P35" s="56">
        <f t="shared" si="6"/>
        <v>0.48262841000000006</v>
      </c>
      <c r="Q35" s="57"/>
      <c r="R35" s="56"/>
      <c r="S35" s="58"/>
      <c r="T35" s="63">
        <f>D51</f>
        <v>9</v>
      </c>
      <c r="U35" s="64">
        <f>Q51</f>
        <v>1.7412520200000001</v>
      </c>
    </row>
    <row r="36" spans="1:21" ht="14.45" customHeight="1" x14ac:dyDescent="0.25">
      <c r="A36" s="18">
        <v>10</v>
      </c>
      <c r="B36" s="30">
        <v>10</v>
      </c>
      <c r="D36" s="78">
        <f>A30</f>
        <v>4</v>
      </c>
      <c r="E36" s="12" t="s">
        <v>59</v>
      </c>
      <c r="F36" s="12">
        <f>B30</f>
        <v>10</v>
      </c>
      <c r="G36" s="54">
        <v>8.6900000000000005E-2</v>
      </c>
      <c r="H36" s="55">
        <v>3.8100000000000002E-2</v>
      </c>
      <c r="I36" s="56"/>
      <c r="J36" s="57">
        <f t="shared" si="1"/>
        <v>4.9233333333333337E-2</v>
      </c>
      <c r="K36" s="58">
        <f t="shared" si="2"/>
        <v>1.7000000000000001E-3</v>
      </c>
      <c r="L36" s="56"/>
      <c r="M36" s="62">
        <f t="shared" si="3"/>
        <v>4.8808333333333336E-2</v>
      </c>
      <c r="N36" s="56">
        <f t="shared" si="4"/>
        <v>3.3030551500000005</v>
      </c>
      <c r="O36" s="58">
        <f t="shared" si="5"/>
        <v>6.606110300000001</v>
      </c>
      <c r="P36" s="56">
        <f t="shared" si="6"/>
        <v>0.6606110300000001</v>
      </c>
      <c r="Q36" s="57">
        <f>AVERAGE(P36:P38)</f>
        <v>0.88495034000000017</v>
      </c>
      <c r="R36" s="56">
        <f>STDEV(P36:P38)</f>
        <v>0.39650539646442251</v>
      </c>
      <c r="S36" s="58">
        <f>R36/Q36*100</f>
        <v>44.80538382124611</v>
      </c>
      <c r="T36" s="63">
        <f>D54</f>
        <v>10</v>
      </c>
      <c r="U36" s="64">
        <f>Q54</f>
        <v>0.42961710999999997</v>
      </c>
    </row>
    <row r="37" spans="1:21" ht="14.45" customHeight="1" x14ac:dyDescent="0.25">
      <c r="A37" s="18">
        <v>11</v>
      </c>
      <c r="B37" s="30">
        <v>10</v>
      </c>
      <c r="D37" s="79"/>
      <c r="E37" s="17" t="s">
        <v>60</v>
      </c>
      <c r="F37" s="17">
        <f t="shared" ref="F37" si="11">F36</f>
        <v>10</v>
      </c>
      <c r="G37" s="57">
        <v>8.5999999999999993E-2</v>
      </c>
      <c r="H37" s="58">
        <v>3.7199999999999997E-2</v>
      </c>
      <c r="I37" s="56"/>
      <c r="J37" s="57">
        <f t="shared" si="1"/>
        <v>4.8333333333333325E-2</v>
      </c>
      <c r="K37" s="58">
        <f t="shared" si="2"/>
        <v>7.9999999999999516E-4</v>
      </c>
      <c r="L37" s="56"/>
      <c r="M37" s="62">
        <f t="shared" si="3"/>
        <v>4.8133333333333327E-2</v>
      </c>
      <c r="N37" s="56">
        <f t="shared" si="4"/>
        <v>3.2573751999999998</v>
      </c>
      <c r="O37" s="58">
        <f t="shared" si="5"/>
        <v>6.5147503999999996</v>
      </c>
      <c r="P37" s="56">
        <f t="shared" si="6"/>
        <v>0.65147504000000001</v>
      </c>
      <c r="Q37" s="57"/>
      <c r="R37" s="56"/>
      <c r="S37" s="58"/>
      <c r="T37" s="63">
        <f>D57</f>
        <v>11</v>
      </c>
      <c r="U37" s="64">
        <f>Q57</f>
        <v>0.44179843000000013</v>
      </c>
    </row>
    <row r="38" spans="1:21" ht="14.45" customHeight="1" x14ac:dyDescent="0.25">
      <c r="A38" s="18">
        <v>12</v>
      </c>
      <c r="B38" s="30">
        <v>10</v>
      </c>
      <c r="D38" s="80"/>
      <c r="E38" s="22" t="s">
        <v>61</v>
      </c>
      <c r="F38" s="22">
        <f t="shared" ref="F38" si="12">F36</f>
        <v>10</v>
      </c>
      <c r="G38" s="65">
        <v>0.158</v>
      </c>
      <c r="H38" s="66">
        <v>0.12089999999999999</v>
      </c>
      <c r="I38" s="56"/>
      <c r="J38" s="57">
        <f t="shared" si="1"/>
        <v>0.12033333333333333</v>
      </c>
      <c r="K38" s="58">
        <f t="shared" si="2"/>
        <v>8.4499999999999992E-2</v>
      </c>
      <c r="L38" s="56"/>
      <c r="M38" s="62">
        <f t="shared" si="3"/>
        <v>9.9208333333333343E-2</v>
      </c>
      <c r="N38" s="56">
        <f t="shared" si="4"/>
        <v>6.7138247500000015</v>
      </c>
      <c r="O38" s="58">
        <f t="shared" si="5"/>
        <v>13.427649500000003</v>
      </c>
      <c r="P38" s="56">
        <f t="shared" si="6"/>
        <v>1.3427649500000003</v>
      </c>
      <c r="Q38" s="57"/>
      <c r="R38" s="56"/>
      <c r="S38" s="58"/>
      <c r="T38" s="63">
        <f>D60</f>
        <v>12</v>
      </c>
      <c r="U38" s="64">
        <f>Q60</f>
        <v>0.28851682000000001</v>
      </c>
    </row>
    <row r="39" spans="1:21" ht="14.45" customHeight="1" x14ac:dyDescent="0.25">
      <c r="A39" s="18">
        <v>13</v>
      </c>
      <c r="B39" s="30">
        <v>10</v>
      </c>
      <c r="D39" s="78">
        <f>A31</f>
        <v>5</v>
      </c>
      <c r="E39" s="12" t="s">
        <v>62</v>
      </c>
      <c r="F39" s="12">
        <f>B31</f>
        <v>10</v>
      </c>
      <c r="G39" s="54">
        <v>0.2291</v>
      </c>
      <c r="H39" s="55">
        <v>0.18859999999999999</v>
      </c>
      <c r="I39" s="56"/>
      <c r="J39" s="57">
        <f t="shared" si="1"/>
        <v>0.19143333333333334</v>
      </c>
      <c r="K39" s="58">
        <f t="shared" si="2"/>
        <v>0.1522</v>
      </c>
      <c r="L39" s="56"/>
      <c r="M39" s="62">
        <f t="shared" si="3"/>
        <v>0.15338333333333334</v>
      </c>
      <c r="N39" s="56">
        <f t="shared" si="4"/>
        <v>10.380063700000001</v>
      </c>
      <c r="O39" s="58">
        <f t="shared" si="5"/>
        <v>20.760127400000002</v>
      </c>
      <c r="P39" s="56">
        <f t="shared" si="6"/>
        <v>2.0760127400000004</v>
      </c>
      <c r="Q39" s="57">
        <f>AVERAGE(P39:P41)</f>
        <v>0.91190715000000011</v>
      </c>
      <c r="R39" s="56">
        <f>STDEV(P39:P41)</f>
        <v>1.0081644479753096</v>
      </c>
      <c r="S39" s="58">
        <f>R39/Q39*100</f>
        <v>110.55560294436879</v>
      </c>
      <c r="T39" s="63">
        <f>D63</f>
        <v>13</v>
      </c>
      <c r="U39" s="64">
        <f>Q63</f>
        <v>0.70787004000000009</v>
      </c>
    </row>
    <row r="40" spans="1:21" ht="14.45" customHeight="1" x14ac:dyDescent="0.25">
      <c r="A40" s="18">
        <v>14</v>
      </c>
      <c r="B40" s="30">
        <v>10</v>
      </c>
      <c r="D40" s="79"/>
      <c r="E40" s="17" t="s">
        <v>63</v>
      </c>
      <c r="F40" s="17">
        <f t="shared" ref="F40" si="13">F39</f>
        <v>10</v>
      </c>
      <c r="G40" s="57">
        <v>6.3100000000000003E-2</v>
      </c>
      <c r="H40" s="58">
        <v>3.8800000000000001E-2</v>
      </c>
      <c r="I40" s="56"/>
      <c r="J40" s="57">
        <f t="shared" si="1"/>
        <v>2.5433333333333336E-2</v>
      </c>
      <c r="K40" s="58">
        <f t="shared" si="2"/>
        <v>2.3999999999999994E-3</v>
      </c>
      <c r="L40" s="56"/>
      <c r="M40" s="62">
        <f t="shared" si="3"/>
        <v>2.4833333333333336E-2</v>
      </c>
      <c r="N40" s="56">
        <f t="shared" si="4"/>
        <v>1.6805710000000003</v>
      </c>
      <c r="O40" s="58">
        <f t="shared" si="5"/>
        <v>3.3611420000000005</v>
      </c>
      <c r="P40" s="56">
        <f t="shared" si="6"/>
        <v>0.33611420000000003</v>
      </c>
      <c r="Q40" s="57"/>
      <c r="R40" s="56"/>
      <c r="S40" s="58"/>
      <c r="T40" s="63">
        <f>D69</f>
        <v>14</v>
      </c>
      <c r="U40" s="64">
        <f>Q66</f>
        <v>1.4634502499999995</v>
      </c>
    </row>
    <row r="41" spans="1:21" ht="14.45" customHeight="1" x14ac:dyDescent="0.25">
      <c r="A41" s="18">
        <v>15</v>
      </c>
      <c r="B41" s="30">
        <v>10</v>
      </c>
      <c r="D41" s="80"/>
      <c r="E41" s="22" t="s">
        <v>64</v>
      </c>
      <c r="F41" s="22">
        <f t="shared" ref="F41" si="14">F39</f>
        <v>10</v>
      </c>
      <c r="G41" s="65">
        <v>6.2100000000000002E-2</v>
      </c>
      <c r="H41" s="66">
        <v>3.85E-2</v>
      </c>
      <c r="I41" s="56"/>
      <c r="J41" s="57">
        <f t="shared" si="1"/>
        <v>2.4433333333333335E-2</v>
      </c>
      <c r="K41" s="58">
        <f t="shared" si="2"/>
        <v>2.0999999999999977E-3</v>
      </c>
      <c r="L41" s="56"/>
      <c r="M41" s="62">
        <f t="shared" si="3"/>
        <v>2.3908333333333337E-2</v>
      </c>
      <c r="N41" s="56">
        <f t="shared" si="4"/>
        <v>1.6179725500000004</v>
      </c>
      <c r="O41" s="58">
        <f t="shared" si="5"/>
        <v>3.2359451000000008</v>
      </c>
      <c r="P41" s="56">
        <f t="shared" si="6"/>
        <v>0.32359451000000006</v>
      </c>
      <c r="Q41" s="57"/>
      <c r="R41" s="56"/>
      <c r="S41" s="58"/>
      <c r="T41" s="63">
        <f>D72</f>
        <v>15</v>
      </c>
      <c r="U41" s="64">
        <f>Q69</f>
        <v>2.52581926</v>
      </c>
    </row>
    <row r="42" spans="1:21" ht="14.45" customHeight="1" x14ac:dyDescent="0.25">
      <c r="A42" s="18">
        <v>16</v>
      </c>
      <c r="B42" s="30">
        <v>10</v>
      </c>
      <c r="D42" s="78">
        <f>A32</f>
        <v>6</v>
      </c>
      <c r="E42" s="12" t="s">
        <v>65</v>
      </c>
      <c r="F42" s="12">
        <f>B32</f>
        <v>10</v>
      </c>
      <c r="G42" s="54">
        <v>0.11700000000000001</v>
      </c>
      <c r="H42" s="55">
        <v>9.4E-2</v>
      </c>
      <c r="I42" s="56"/>
      <c r="J42" s="57">
        <f t="shared" si="1"/>
        <v>7.9333333333333339E-2</v>
      </c>
      <c r="K42" s="58">
        <f t="shared" si="2"/>
        <v>5.7599999999999998E-2</v>
      </c>
      <c r="L42" s="56"/>
      <c r="M42" s="62">
        <f t="shared" si="3"/>
        <v>6.4933333333333343E-2</v>
      </c>
      <c r="N42" s="56">
        <f t="shared" si="4"/>
        <v>4.3942984000000012</v>
      </c>
      <c r="O42" s="58">
        <f t="shared" si="5"/>
        <v>8.7885968000000023</v>
      </c>
      <c r="P42" s="56">
        <f t="shared" si="6"/>
        <v>0.87885968000000025</v>
      </c>
      <c r="Q42" s="57">
        <f>AVERAGE(P42:P44)</f>
        <v>0.43999379000000011</v>
      </c>
      <c r="R42" s="56">
        <f>STDEV(P42:P44)</f>
        <v>0.38009254370713436</v>
      </c>
      <c r="S42" s="58">
        <f>R42/Q42*100</f>
        <v>86.385888243362302</v>
      </c>
      <c r="T42" s="63">
        <f>D75</f>
        <v>16</v>
      </c>
      <c r="U42" s="64">
        <f>Q72</f>
        <v>0.98488227999999989</v>
      </c>
    </row>
    <row r="43" spans="1:21" ht="14.45" customHeight="1" x14ac:dyDescent="0.25">
      <c r="A43" s="18">
        <v>17</v>
      </c>
      <c r="B43" s="30">
        <v>10</v>
      </c>
      <c r="D43" s="79"/>
      <c r="E43" s="17" t="s">
        <v>66</v>
      </c>
      <c r="F43" s="17">
        <f t="shared" ref="F43" si="15">F42</f>
        <v>10</v>
      </c>
      <c r="G43" s="57">
        <v>5.5E-2</v>
      </c>
      <c r="H43" s="58">
        <v>3.9300000000000002E-2</v>
      </c>
      <c r="I43" s="56"/>
      <c r="J43" s="57">
        <f t="shared" si="1"/>
        <v>1.7333333333333333E-2</v>
      </c>
      <c r="K43" s="58">
        <f t="shared" si="2"/>
        <v>2.8999999999999998E-3</v>
      </c>
      <c r="L43" s="56"/>
      <c r="M43" s="62">
        <f t="shared" si="3"/>
        <v>1.6608333333333333E-2</v>
      </c>
      <c r="N43" s="56">
        <f t="shared" si="4"/>
        <v>1.1239523500000002</v>
      </c>
      <c r="O43" s="58">
        <f t="shared" si="5"/>
        <v>2.2479047000000003</v>
      </c>
      <c r="P43" s="56">
        <f t="shared" si="6"/>
        <v>0.22479047000000002</v>
      </c>
      <c r="Q43" s="57"/>
      <c r="R43" s="56"/>
      <c r="S43" s="58"/>
      <c r="T43" s="63">
        <f>D78</f>
        <v>17</v>
      </c>
      <c r="U43" s="64">
        <f>Q75</f>
        <v>2.8842658800000005</v>
      </c>
    </row>
    <row r="44" spans="1:21" ht="14.45" customHeight="1" x14ac:dyDescent="0.25">
      <c r="A44" s="18">
        <v>18</v>
      </c>
      <c r="B44" s="30">
        <v>10</v>
      </c>
      <c r="D44" s="80"/>
      <c r="E44" s="22" t="s">
        <v>67</v>
      </c>
      <c r="F44" s="22">
        <f t="shared" ref="F44" si="16">F42</f>
        <v>10</v>
      </c>
      <c r="G44" s="65">
        <v>5.4300000000000001E-2</v>
      </c>
      <c r="H44" s="66">
        <v>3.9E-2</v>
      </c>
      <c r="I44" s="56"/>
      <c r="J44" s="57">
        <f t="shared" si="1"/>
        <v>1.6633333333333333E-2</v>
      </c>
      <c r="K44" s="58">
        <f t="shared" si="2"/>
        <v>2.5999999999999981E-3</v>
      </c>
      <c r="L44" s="56"/>
      <c r="M44" s="62">
        <f t="shared" si="3"/>
        <v>1.5983333333333336E-2</v>
      </c>
      <c r="N44" s="56">
        <f t="shared" si="4"/>
        <v>1.0816561000000002</v>
      </c>
      <c r="O44" s="58">
        <f t="shared" si="5"/>
        <v>2.1633122000000005</v>
      </c>
      <c r="P44" s="56">
        <f t="shared" si="6"/>
        <v>0.21633122000000005</v>
      </c>
      <c r="Q44" s="57"/>
      <c r="R44" s="56"/>
      <c r="S44" s="58"/>
      <c r="T44" s="63">
        <f>D81</f>
        <v>18</v>
      </c>
      <c r="U44" s="64">
        <f>Q78</f>
        <v>1.2426074300000003</v>
      </c>
    </row>
    <row r="45" spans="1:21" ht="14.45" customHeight="1" x14ac:dyDescent="0.25">
      <c r="A45" s="18">
        <v>19</v>
      </c>
      <c r="B45" s="30">
        <v>10</v>
      </c>
      <c r="D45" s="78">
        <f>A33</f>
        <v>7</v>
      </c>
      <c r="E45" s="12" t="s">
        <v>68</v>
      </c>
      <c r="F45" s="12">
        <f>B33</f>
        <v>10</v>
      </c>
      <c r="G45" s="54">
        <v>0.126</v>
      </c>
      <c r="H45" s="55">
        <v>0.10929999999999999</v>
      </c>
      <c r="I45" s="56"/>
      <c r="J45" s="57">
        <f t="shared" si="1"/>
        <v>8.8333333333333333E-2</v>
      </c>
      <c r="K45" s="58">
        <f t="shared" si="2"/>
        <v>7.2899999999999993E-2</v>
      </c>
      <c r="L45" s="56"/>
      <c r="M45" s="62">
        <f t="shared" si="3"/>
        <v>7.0108333333333328E-2</v>
      </c>
      <c r="N45" s="56">
        <f t="shared" si="4"/>
        <v>4.7445113499999998</v>
      </c>
      <c r="O45" s="58">
        <f t="shared" si="5"/>
        <v>9.4890226999999996</v>
      </c>
      <c r="P45" s="56">
        <f t="shared" si="6"/>
        <v>0.94890226999999994</v>
      </c>
      <c r="Q45" s="57">
        <f>AVERAGE(P45:P47)</f>
        <v>0.46852966000000001</v>
      </c>
      <c r="R45" s="56">
        <f>STDEV(P45:P47)</f>
        <v>0.41603638429384948</v>
      </c>
      <c r="S45" s="58">
        <f>R45/Q45*100</f>
        <v>88.796168057716869</v>
      </c>
      <c r="T45" s="63">
        <f>D84</f>
        <v>19</v>
      </c>
      <c r="U45" s="64">
        <f>Q81</f>
        <v>0.4352566100000001</v>
      </c>
    </row>
    <row r="46" spans="1:21" ht="14.45" customHeight="1" x14ac:dyDescent="0.25">
      <c r="A46" s="18">
        <v>20</v>
      </c>
      <c r="B46" s="30">
        <v>10</v>
      </c>
      <c r="D46" s="79"/>
      <c r="E46" s="17" t="s">
        <v>69</v>
      </c>
      <c r="F46" s="17">
        <f t="shared" ref="F46" si="17">F45</f>
        <v>10</v>
      </c>
      <c r="G46" s="57">
        <v>5.4699999999999999E-2</v>
      </c>
      <c r="H46" s="58">
        <v>3.8300000000000001E-2</v>
      </c>
      <c r="I46" s="56"/>
      <c r="J46" s="57">
        <f t="shared" si="1"/>
        <v>1.7033333333333331E-2</v>
      </c>
      <c r="K46" s="58">
        <f t="shared" si="2"/>
        <v>1.8999999999999989E-3</v>
      </c>
      <c r="L46" s="56"/>
      <c r="M46" s="62">
        <f t="shared" si="3"/>
        <v>1.6558333333333331E-2</v>
      </c>
      <c r="N46" s="56">
        <f t="shared" si="4"/>
        <v>1.1205686500000001</v>
      </c>
      <c r="O46" s="58">
        <f t="shared" si="5"/>
        <v>2.2411373000000001</v>
      </c>
      <c r="P46" s="56">
        <f t="shared" si="6"/>
        <v>0.22411373000000001</v>
      </c>
      <c r="Q46" s="57"/>
      <c r="R46" s="56"/>
      <c r="S46" s="58"/>
      <c r="T46" s="63">
        <f>D87</f>
        <v>20</v>
      </c>
      <c r="U46" s="64">
        <f>Q84</f>
        <v>0.77836379000000011</v>
      </c>
    </row>
    <row r="47" spans="1:21" ht="14.45" customHeight="1" x14ac:dyDescent="0.25">
      <c r="A47" s="18">
        <v>21</v>
      </c>
      <c r="B47" s="30">
        <v>10</v>
      </c>
      <c r="D47" s="80"/>
      <c r="E47" s="22" t="s">
        <v>70</v>
      </c>
      <c r="F47" s="22">
        <f t="shared" ref="F47" si="18">F45</f>
        <v>10</v>
      </c>
      <c r="G47" s="65">
        <v>5.5199999999999999E-2</v>
      </c>
      <c r="H47" s="66">
        <v>3.78E-2</v>
      </c>
      <c r="I47" s="56"/>
      <c r="J47" s="57">
        <f t="shared" si="1"/>
        <v>1.7533333333333331E-2</v>
      </c>
      <c r="K47" s="58">
        <f t="shared" si="2"/>
        <v>1.3999999999999985E-3</v>
      </c>
      <c r="L47" s="56"/>
      <c r="M47" s="62">
        <f t="shared" si="3"/>
        <v>1.7183333333333332E-2</v>
      </c>
      <c r="N47" s="56">
        <f t="shared" si="4"/>
        <v>1.1628649</v>
      </c>
      <c r="O47" s="58">
        <f t="shared" si="5"/>
        <v>2.3257298</v>
      </c>
      <c r="P47" s="56">
        <f t="shared" si="6"/>
        <v>0.23257297999999998</v>
      </c>
      <c r="Q47" s="57"/>
      <c r="R47" s="56"/>
      <c r="S47" s="58"/>
      <c r="T47" s="63">
        <f>D90</f>
        <v>21</v>
      </c>
      <c r="U47" s="64">
        <f>Q87</f>
        <v>0.58346267000000018</v>
      </c>
    </row>
    <row r="48" spans="1:21" ht="14.45" customHeight="1" x14ac:dyDescent="0.25">
      <c r="A48" s="18">
        <v>22</v>
      </c>
      <c r="B48" s="30">
        <v>10</v>
      </c>
      <c r="D48" s="78">
        <f>A34</f>
        <v>8</v>
      </c>
      <c r="E48" s="12" t="s">
        <v>71</v>
      </c>
      <c r="F48" s="12">
        <f>B34</f>
        <v>10</v>
      </c>
      <c r="G48" s="54">
        <v>4.2700000000000002E-2</v>
      </c>
      <c r="H48" s="55">
        <v>3.5099999999999999E-2</v>
      </c>
      <c r="I48" s="56"/>
      <c r="J48" s="57">
        <f t="shared" si="1"/>
        <v>5.0333333333333341E-3</v>
      </c>
      <c r="K48" s="58">
        <f t="shared" si="2"/>
        <v>-1.3000000000000025E-3</v>
      </c>
      <c r="L48" s="56"/>
      <c r="M48" s="62">
        <f t="shared" si="3"/>
        <v>5.3583333333333347E-3</v>
      </c>
      <c r="N48" s="56">
        <f t="shared" si="4"/>
        <v>0.36261985000000013</v>
      </c>
      <c r="O48" s="58">
        <f t="shared" si="5"/>
        <v>0.72523970000000026</v>
      </c>
      <c r="P48" s="56">
        <f t="shared" si="6"/>
        <v>7.2523970000000021E-2</v>
      </c>
      <c r="Q48" s="57">
        <f>AVERAGE(P48:P50)</f>
        <v>9.000641999999999E-2</v>
      </c>
      <c r="R48" s="56">
        <f>STDEV(P48:P50)</f>
        <v>1.5551528391933075E-2</v>
      </c>
      <c r="S48" s="58">
        <f>R48/Q48*100</f>
        <v>17.27824347633544</v>
      </c>
      <c r="T48" s="63">
        <f>D96</f>
        <v>22</v>
      </c>
      <c r="U48" s="64">
        <f>Q90</f>
        <v>3.3592245699999999</v>
      </c>
    </row>
    <row r="49" spans="1:22" ht="14.45" customHeight="1" x14ac:dyDescent="0.25">
      <c r="A49" s="18">
        <v>23</v>
      </c>
      <c r="B49" s="30">
        <v>10</v>
      </c>
      <c r="D49" s="79"/>
      <c r="E49" s="17" t="s">
        <v>72</v>
      </c>
      <c r="F49" s="17">
        <f t="shared" ref="F49" si="19">F48</f>
        <v>10</v>
      </c>
      <c r="G49" s="57">
        <v>4.5199999999999997E-2</v>
      </c>
      <c r="H49" s="58">
        <v>3.6299999999999999E-2</v>
      </c>
      <c r="I49" s="56"/>
      <c r="J49" s="57">
        <f t="shared" si="1"/>
        <v>7.5333333333333294E-3</v>
      </c>
      <c r="K49" s="58">
        <f t="shared" si="2"/>
        <v>-1.0000000000000286E-4</v>
      </c>
      <c r="L49" s="56"/>
      <c r="M49" s="62">
        <f t="shared" si="3"/>
        <v>7.5583333333333301E-3</v>
      </c>
      <c r="N49" s="56">
        <f t="shared" si="4"/>
        <v>0.51150264999999984</v>
      </c>
      <c r="O49" s="58">
        <f t="shared" si="5"/>
        <v>1.0230052999999997</v>
      </c>
      <c r="P49" s="56">
        <f t="shared" si="6"/>
        <v>0.10230052999999997</v>
      </c>
      <c r="Q49" s="57"/>
      <c r="R49" s="56"/>
      <c r="S49" s="58"/>
      <c r="T49" s="63">
        <f>D99</f>
        <v>23</v>
      </c>
      <c r="U49" s="64">
        <f>Q93</f>
        <v>1.3299068900000002</v>
      </c>
    </row>
    <row r="50" spans="1:22" ht="14.45" customHeight="1" x14ac:dyDescent="0.25">
      <c r="A50" s="23">
        <v>24</v>
      </c>
      <c r="B50" s="30">
        <v>10</v>
      </c>
      <c r="D50" s="80"/>
      <c r="E50" s="22" t="s">
        <v>73</v>
      </c>
      <c r="F50" s="22">
        <f t="shared" ref="F50" si="20">F48</f>
        <v>10</v>
      </c>
      <c r="G50" s="65">
        <v>4.48E-2</v>
      </c>
      <c r="H50" s="66">
        <v>3.6799999999999999E-2</v>
      </c>
      <c r="I50" s="56"/>
      <c r="J50" s="57">
        <f t="shared" si="1"/>
        <v>7.1333333333333318E-3</v>
      </c>
      <c r="K50" s="58">
        <f t="shared" si="2"/>
        <v>3.9999999999999758E-4</v>
      </c>
      <c r="L50" s="56"/>
      <c r="M50" s="62">
        <f t="shared" si="3"/>
        <v>7.0333333333333324E-3</v>
      </c>
      <c r="N50" s="56">
        <f t="shared" si="4"/>
        <v>0.4759738</v>
      </c>
      <c r="O50" s="58">
        <f t="shared" si="5"/>
        <v>0.9519476</v>
      </c>
      <c r="P50" s="56">
        <f t="shared" si="6"/>
        <v>9.5194760000000003E-2</v>
      </c>
      <c r="Q50" s="57"/>
      <c r="R50" s="56"/>
      <c r="S50" s="58"/>
      <c r="T50" s="67">
        <f>D102</f>
        <v>24</v>
      </c>
      <c r="U50" s="68">
        <f>Q96</f>
        <v>1.4160784499999999</v>
      </c>
    </row>
    <row r="51" spans="1:22" ht="14.45" customHeight="1" x14ac:dyDescent="0.25">
      <c r="D51" s="78">
        <f>A35</f>
        <v>9</v>
      </c>
      <c r="E51" s="12" t="s">
        <v>74</v>
      </c>
      <c r="F51" s="12">
        <f>B35</f>
        <v>10</v>
      </c>
      <c r="G51" s="54">
        <v>0.37419999999999998</v>
      </c>
      <c r="H51" s="55">
        <v>0.1176</v>
      </c>
      <c r="I51" s="56"/>
      <c r="J51" s="57">
        <f t="shared" si="1"/>
        <v>0.3365333333333333</v>
      </c>
      <c r="K51" s="58">
        <f t="shared" si="2"/>
        <v>8.1199999999999994E-2</v>
      </c>
      <c r="L51" s="56"/>
      <c r="M51" s="62">
        <f t="shared" si="3"/>
        <v>0.31623333333333331</v>
      </c>
      <c r="N51" s="56">
        <f t="shared" si="4"/>
        <v>21.400774600000002</v>
      </c>
      <c r="O51" s="58">
        <f t="shared" si="5"/>
        <v>42.801549200000004</v>
      </c>
      <c r="P51" s="56">
        <f t="shared" si="6"/>
        <v>4.2801549200000002</v>
      </c>
      <c r="Q51" s="57">
        <f>AVERAGE(P51:P53)</f>
        <v>1.7412520200000001</v>
      </c>
      <c r="R51" s="56">
        <f>STDEV(P51:P53)</f>
        <v>2.2096265019473229</v>
      </c>
      <c r="S51" s="58">
        <f>R51/Q51*100</f>
        <v>126.89871865574764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 s="57">
        <v>9.9199999999999997E-2</v>
      </c>
      <c r="H52" s="58">
        <v>7.8399999999999997E-2</v>
      </c>
      <c r="I52" s="56"/>
      <c r="J52" s="57">
        <f t="shared" si="1"/>
        <v>6.1533333333333329E-2</v>
      </c>
      <c r="K52" s="58">
        <f t="shared" si="2"/>
        <v>4.1999999999999996E-2</v>
      </c>
      <c r="L52" s="56"/>
      <c r="M52" s="62">
        <f t="shared" si="3"/>
        <v>5.1033333333333333E-2</v>
      </c>
      <c r="N52" s="56">
        <f t="shared" si="4"/>
        <v>3.4536298000000003</v>
      </c>
      <c r="O52" s="58">
        <f t="shared" si="5"/>
        <v>6.9072596000000006</v>
      </c>
      <c r="P52" s="56">
        <f t="shared" si="6"/>
        <v>0.69072596000000008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 s="65">
        <v>5.6899999999999999E-2</v>
      </c>
      <c r="H53" s="66">
        <v>3.8600000000000002E-2</v>
      </c>
      <c r="I53" s="56"/>
      <c r="J53" s="57">
        <f t="shared" si="1"/>
        <v>1.9233333333333331E-2</v>
      </c>
      <c r="K53" s="58">
        <f t="shared" si="2"/>
        <v>2.2000000000000006E-3</v>
      </c>
      <c r="L53" s="56"/>
      <c r="M53" s="62">
        <f t="shared" si="3"/>
        <v>1.868333333333333E-2</v>
      </c>
      <c r="N53" s="56">
        <f t="shared" si="4"/>
        <v>1.2643758999999999</v>
      </c>
      <c r="O53" s="58">
        <f t="shared" si="5"/>
        <v>2.5287517999999998</v>
      </c>
      <c r="P53" s="56">
        <f t="shared" si="6"/>
        <v>0.25287517999999998</v>
      </c>
      <c r="Q53" s="57"/>
      <c r="R53" s="56"/>
      <c r="S53" s="58"/>
      <c r="T53" s="56"/>
    </row>
    <row r="54" spans="1:22" ht="14.45" customHeight="1" x14ac:dyDescent="0.25">
      <c r="D54" s="78">
        <f>A36</f>
        <v>10</v>
      </c>
      <c r="E54" s="12" t="s">
        <v>77</v>
      </c>
      <c r="F54" s="12">
        <f>B36</f>
        <v>10</v>
      </c>
      <c r="G54" s="54">
        <v>9.4E-2</v>
      </c>
      <c r="H54" s="55">
        <v>5.4899999999999997E-2</v>
      </c>
      <c r="I54" s="56"/>
      <c r="J54" s="57">
        <f t="shared" si="1"/>
        <v>5.6333333333333332E-2</v>
      </c>
      <c r="K54" s="58">
        <f t="shared" si="2"/>
        <v>1.8499999999999996E-2</v>
      </c>
      <c r="L54" s="56"/>
      <c r="M54" s="62">
        <f t="shared" si="3"/>
        <v>5.1708333333333335E-2</v>
      </c>
      <c r="N54" s="56">
        <f t="shared" si="4"/>
        <v>3.4993097500000006</v>
      </c>
      <c r="O54" s="58">
        <f t="shared" si="5"/>
        <v>6.9986195000000011</v>
      </c>
      <c r="P54" s="56">
        <f t="shared" si="6"/>
        <v>0.69986195000000007</v>
      </c>
      <c r="Q54" s="57">
        <f>AVERAGE(P54:P56)</f>
        <v>0.42961710999999997</v>
      </c>
      <c r="R54" s="56">
        <f>STDEV(P54:P56)</f>
        <v>0.23451197419604755</v>
      </c>
      <c r="S54" s="58">
        <f>R54/Q54*100</f>
        <v>54.586274321348036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 s="57">
        <v>5.9299999999999999E-2</v>
      </c>
      <c r="H55" s="58">
        <v>4.0300000000000002E-2</v>
      </c>
      <c r="I55" s="56"/>
      <c r="J55" s="57">
        <f t="shared" si="1"/>
        <v>2.1633333333333331E-2</v>
      </c>
      <c r="K55" s="58">
        <f t="shared" si="2"/>
        <v>3.9000000000000007E-3</v>
      </c>
      <c r="L55" s="56"/>
      <c r="M55" s="62">
        <f t="shared" si="3"/>
        <v>2.0658333333333331E-2</v>
      </c>
      <c r="N55" s="56">
        <f t="shared" si="4"/>
        <v>1.3980320499999999</v>
      </c>
      <c r="O55" s="58">
        <f t="shared" si="5"/>
        <v>2.7960640999999997</v>
      </c>
      <c r="P55" s="56">
        <f t="shared" si="6"/>
        <v>0.27960640999999997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 s="65">
        <v>6.1899999999999997E-2</v>
      </c>
      <c r="H56" s="66">
        <v>4.19E-2</v>
      </c>
      <c r="I56" s="56"/>
      <c r="J56" s="57">
        <f t="shared" si="1"/>
        <v>2.4233333333333329E-2</v>
      </c>
      <c r="K56" s="58">
        <f t="shared" si="2"/>
        <v>5.4999999999999979E-3</v>
      </c>
      <c r="L56" s="56"/>
      <c r="M56" s="62">
        <f t="shared" si="3"/>
        <v>2.2858333333333328E-2</v>
      </c>
      <c r="N56" s="56">
        <f t="shared" si="4"/>
        <v>1.5469148499999998</v>
      </c>
      <c r="O56" s="58">
        <f t="shared" si="5"/>
        <v>3.0938296999999997</v>
      </c>
      <c r="P56" s="56">
        <f t="shared" si="6"/>
        <v>0.30938296999999998</v>
      </c>
      <c r="Q56" s="57"/>
      <c r="R56" s="56"/>
      <c r="S56" s="58"/>
      <c r="T56" s="56"/>
    </row>
    <row r="57" spans="1:22" ht="14.45" customHeight="1" x14ac:dyDescent="0.25">
      <c r="D57" s="78">
        <f>A37</f>
        <v>11</v>
      </c>
      <c r="E57" s="12" t="s">
        <v>80</v>
      </c>
      <c r="F57" s="12">
        <f>B37</f>
        <v>10</v>
      </c>
      <c r="G57" s="54">
        <v>0.1381</v>
      </c>
      <c r="H57" s="55">
        <v>0.27479999999999999</v>
      </c>
      <c r="I57" s="56"/>
      <c r="J57" s="57">
        <f t="shared" si="1"/>
        <v>0.10043333333333333</v>
      </c>
      <c r="K57" s="58">
        <f t="shared" si="2"/>
        <v>0.2384</v>
      </c>
      <c r="L57" s="56"/>
      <c r="M57" s="62">
        <f t="shared" si="3"/>
        <v>4.0833333333333333E-2</v>
      </c>
      <c r="N57" s="56">
        <f t="shared" si="4"/>
        <v>2.7633550000000002</v>
      </c>
      <c r="O57" s="58">
        <f t="shared" si="5"/>
        <v>5.5267100000000005</v>
      </c>
      <c r="P57" s="56">
        <f t="shared" si="6"/>
        <v>0.55267100000000002</v>
      </c>
      <c r="Q57" s="57">
        <f>AVERAGE(P57:P59)</f>
        <v>0.44179843000000013</v>
      </c>
      <c r="R57" s="56">
        <f>STDEV(P57:P59)</f>
        <v>9.6018611255151015E-2</v>
      </c>
      <c r="S57" s="58">
        <f>R57/Q57*100</f>
        <v>21.733579101933657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 s="57">
        <v>6.6600000000000006E-2</v>
      </c>
      <c r="H58" s="58">
        <v>3.7999999999999999E-2</v>
      </c>
      <c r="I58" s="56"/>
      <c r="J58" s="57">
        <f t="shared" si="1"/>
        <v>2.8933333333333339E-2</v>
      </c>
      <c r="K58" s="58">
        <f t="shared" si="2"/>
        <v>1.5999999999999973E-3</v>
      </c>
      <c r="L58" s="56"/>
      <c r="M58" s="62">
        <f t="shared" si="3"/>
        <v>2.8533333333333341E-2</v>
      </c>
      <c r="N58" s="56">
        <f t="shared" si="4"/>
        <v>1.9309648000000008</v>
      </c>
      <c r="O58" s="58">
        <f t="shared" si="5"/>
        <v>3.8619296000000016</v>
      </c>
      <c r="P58" s="56">
        <f t="shared" si="6"/>
        <v>0.38619296000000014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 s="65">
        <v>6.6600000000000006E-2</v>
      </c>
      <c r="H59" s="66">
        <v>3.7900000000000003E-2</v>
      </c>
      <c r="I59" s="56"/>
      <c r="J59" s="57">
        <f t="shared" ref="J59:J65" si="27">G59-$J$14</f>
        <v>2.8933333333333339E-2</v>
      </c>
      <c r="K59" s="58">
        <f t="shared" ref="K59:K65" si="28">H59-$K$14</f>
        <v>1.5000000000000013E-3</v>
      </c>
      <c r="L59" s="56"/>
      <c r="M59" s="62">
        <f t="shared" si="3"/>
        <v>2.8558333333333338E-2</v>
      </c>
      <c r="N59" s="56">
        <f t="shared" si="4"/>
        <v>1.9326566500000004</v>
      </c>
      <c r="O59" s="58">
        <f t="shared" si="5"/>
        <v>3.8653133000000008</v>
      </c>
      <c r="P59" s="56">
        <f t="shared" si="6"/>
        <v>0.38653133000000006</v>
      </c>
      <c r="Q59" s="57"/>
      <c r="R59" s="56"/>
      <c r="S59" s="58"/>
      <c r="T59" s="56"/>
    </row>
    <row r="60" spans="1:22" ht="14.45" customHeight="1" x14ac:dyDescent="0.25">
      <c r="D60" s="78">
        <f>A38</f>
        <v>12</v>
      </c>
      <c r="E60" s="12" t="s">
        <v>83</v>
      </c>
      <c r="F60" s="12">
        <f>B38</f>
        <v>10</v>
      </c>
      <c r="G60" s="54">
        <v>6.2199999999999998E-2</v>
      </c>
      <c r="H60" s="55">
        <v>4.1599999999999998E-2</v>
      </c>
      <c r="I60" s="56"/>
      <c r="J60" s="57">
        <f t="shared" si="27"/>
        <v>2.4533333333333331E-2</v>
      </c>
      <c r="K60" s="58">
        <f t="shared" si="28"/>
        <v>5.1999999999999963E-3</v>
      </c>
      <c r="L60" s="56"/>
      <c r="M60" s="62">
        <f t="shared" si="3"/>
        <v>2.3233333333333332E-2</v>
      </c>
      <c r="N60" s="56">
        <f t="shared" si="4"/>
        <v>1.5722925999999999</v>
      </c>
      <c r="O60" s="58">
        <f t="shared" si="5"/>
        <v>3.1445851999999999</v>
      </c>
      <c r="P60" s="56">
        <f t="shared" si="6"/>
        <v>0.31445851999999996</v>
      </c>
      <c r="Q60" s="57">
        <f>AVERAGE(P60:P62)</f>
        <v>0.28851682000000001</v>
      </c>
      <c r="R60" s="56">
        <f>STDEV(P60:P62)</f>
        <v>2.3563124081080581E-2</v>
      </c>
      <c r="S60" s="58">
        <f>R60/Q60*100</f>
        <v>8.1669845387456377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9">F60</f>
        <v>10</v>
      </c>
      <c r="G61" s="57">
        <v>5.7799999999999997E-2</v>
      </c>
      <c r="H61" s="58">
        <v>3.7600000000000001E-2</v>
      </c>
      <c r="I61" s="56"/>
      <c r="J61" s="57">
        <f t="shared" si="27"/>
        <v>2.0133333333333329E-2</v>
      </c>
      <c r="K61" s="58">
        <f t="shared" si="28"/>
        <v>1.1999999999999997E-3</v>
      </c>
      <c r="L61" s="56"/>
      <c r="M61" s="62">
        <f t="shared" si="3"/>
        <v>1.9833333333333328E-2</v>
      </c>
      <c r="N61" s="56">
        <f t="shared" si="4"/>
        <v>1.3422009999999998</v>
      </c>
      <c r="O61" s="58">
        <f t="shared" si="5"/>
        <v>2.6844019999999995</v>
      </c>
      <c r="P61" s="56">
        <f t="shared" si="6"/>
        <v>0.26844019999999996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30">F60</f>
        <v>10</v>
      </c>
      <c r="G62" s="65">
        <v>5.8700000000000002E-2</v>
      </c>
      <c r="H62" s="66">
        <v>3.6999999999999998E-2</v>
      </c>
      <c r="I62" s="56"/>
      <c r="J62" s="57">
        <f t="shared" si="27"/>
        <v>2.1033333333333334E-2</v>
      </c>
      <c r="K62" s="58">
        <f t="shared" si="28"/>
        <v>5.9999999999999637E-4</v>
      </c>
      <c r="L62" s="56"/>
      <c r="M62" s="62">
        <f t="shared" si="3"/>
        <v>2.0883333333333337E-2</v>
      </c>
      <c r="N62" s="56">
        <f t="shared" si="4"/>
        <v>1.4132587000000003</v>
      </c>
      <c r="O62" s="58">
        <f t="shared" si="5"/>
        <v>2.8265174000000006</v>
      </c>
      <c r="P62" s="56">
        <f t="shared" si="6"/>
        <v>0.28265174000000004</v>
      </c>
      <c r="Q62" s="57"/>
      <c r="R62" s="56"/>
      <c r="S62" s="58"/>
      <c r="T62" s="56"/>
    </row>
    <row r="63" spans="1:22" ht="14.45" customHeight="1" x14ac:dyDescent="0.25">
      <c r="D63" s="78">
        <f>A39</f>
        <v>13</v>
      </c>
      <c r="E63" s="12" t="s">
        <v>86</v>
      </c>
      <c r="F63" s="12">
        <f>B39</f>
        <v>10</v>
      </c>
      <c r="G63" s="54">
        <v>8.9399999999999993E-2</v>
      </c>
      <c r="H63" s="55">
        <v>4.0099999999999997E-2</v>
      </c>
      <c r="I63" s="56"/>
      <c r="J63" s="57">
        <f t="shared" si="27"/>
        <v>5.1733333333333326E-2</v>
      </c>
      <c r="K63" s="58">
        <f t="shared" si="28"/>
        <v>3.699999999999995E-3</v>
      </c>
      <c r="L63" s="56"/>
      <c r="M63" s="62">
        <f t="shared" si="3"/>
        <v>5.080833333333333E-2</v>
      </c>
      <c r="N63" s="56">
        <f t="shared" si="4"/>
        <v>3.4384031500000001</v>
      </c>
      <c r="O63" s="58">
        <f t="shared" si="5"/>
        <v>6.8768063000000001</v>
      </c>
      <c r="P63" s="56">
        <f t="shared" si="6"/>
        <v>0.68768063000000001</v>
      </c>
      <c r="Q63" s="57">
        <f>AVERAGE(P63:P65)</f>
        <v>0.70787004000000009</v>
      </c>
      <c r="R63" s="56">
        <f>STDEV(P63:P65)</f>
        <v>2.2007927468057981E-2</v>
      </c>
      <c r="S63" s="58">
        <f>R63/Q63*100</f>
        <v>3.1090350240077935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31">F63</f>
        <v>10</v>
      </c>
      <c r="G64" s="57">
        <v>9.2700000000000005E-2</v>
      </c>
      <c r="H64" s="58">
        <v>4.0399999999999998E-2</v>
      </c>
      <c r="I64" s="56"/>
      <c r="J64" s="57">
        <f t="shared" si="27"/>
        <v>5.5033333333333337E-2</v>
      </c>
      <c r="K64" s="58">
        <f t="shared" si="28"/>
        <v>3.9999999999999966E-3</v>
      </c>
      <c r="L64" s="56"/>
      <c r="M64" s="62">
        <f t="shared" si="3"/>
        <v>5.4033333333333336E-2</v>
      </c>
      <c r="N64" s="56">
        <f t="shared" si="4"/>
        <v>3.6566518000000006</v>
      </c>
      <c r="O64" s="58">
        <f t="shared" si="5"/>
        <v>7.3133036000000011</v>
      </c>
      <c r="P64" s="56">
        <f t="shared" si="6"/>
        <v>0.73133036000000007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2">F63</f>
        <v>10</v>
      </c>
      <c r="G65" s="65">
        <v>9.0499999999999997E-2</v>
      </c>
      <c r="H65" s="66">
        <v>3.95E-2</v>
      </c>
      <c r="I65" s="56"/>
      <c r="J65" s="57">
        <f t="shared" si="27"/>
        <v>5.2833333333333329E-2</v>
      </c>
      <c r="K65" s="58">
        <f t="shared" si="28"/>
        <v>3.0999999999999986E-3</v>
      </c>
      <c r="L65" s="56"/>
      <c r="M65" s="62">
        <f t="shared" si="3"/>
        <v>5.2058333333333331E-2</v>
      </c>
      <c r="N65" s="56">
        <f t="shared" si="4"/>
        <v>3.5229956500000004</v>
      </c>
      <c r="O65" s="58">
        <f t="shared" si="5"/>
        <v>7.0459913000000007</v>
      </c>
      <c r="P65" s="56">
        <f t="shared" si="6"/>
        <v>0.70459913000000007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 s="57">
        <v>6.2E-2</v>
      </c>
      <c r="H66" s="58">
        <v>4.07E-2</v>
      </c>
      <c r="I66" s="56"/>
      <c r="J66" s="57">
        <f>G69-$J$14</f>
        <v>0.3672333333333333</v>
      </c>
      <c r="K66" s="58">
        <f>H69-$K$14</f>
        <v>0.34810000000000002</v>
      </c>
      <c r="L66" s="56"/>
      <c r="M66" s="62">
        <f t="shared" si="3"/>
        <v>0.28020833333333328</v>
      </c>
      <c r="N66" s="56">
        <f t="shared" si="4"/>
        <v>18.962818749999997</v>
      </c>
      <c r="O66" s="58">
        <f t="shared" si="5"/>
        <v>37.925637499999993</v>
      </c>
      <c r="P66" s="56">
        <f>O66/F69</f>
        <v>3.7925637499999993</v>
      </c>
      <c r="Q66" s="57">
        <f>AVERAGE(P66:P68)</f>
        <v>1.4634502499999995</v>
      </c>
      <c r="R66" s="56">
        <f>STDEV(P66:P68)</f>
        <v>2.0171042678237194</v>
      </c>
      <c r="S66" s="58">
        <f>R66/Q66*100</f>
        <v>137.83210381246101</v>
      </c>
      <c r="T66" s="56"/>
    </row>
    <row r="67" spans="4:20" ht="14.45" customHeight="1" x14ac:dyDescent="0.25">
      <c r="D67" s="71"/>
      <c r="E67" s="17" t="s">
        <v>126</v>
      </c>
      <c r="F67" s="17"/>
      <c r="G67" s="57">
        <v>0.18029999999999999</v>
      </c>
      <c r="H67" s="58">
        <v>3.6700000000000003E-2</v>
      </c>
      <c r="I67" s="56"/>
      <c r="J67" s="57">
        <f>G70-$J$14</f>
        <v>2.1533333333333335E-2</v>
      </c>
      <c r="K67" s="58">
        <f>H70-$K$14</f>
        <v>1.1999999999999997E-3</v>
      </c>
      <c r="L67" s="56"/>
      <c r="M67" s="62">
        <f t="shared" si="3"/>
        <v>2.1233333333333333E-2</v>
      </c>
      <c r="N67" s="56">
        <f t="shared" si="4"/>
        <v>1.4369446000000001</v>
      </c>
      <c r="O67" s="58">
        <f t="shared" si="5"/>
        <v>2.8738892000000003</v>
      </c>
      <c r="P67" s="56">
        <f>O67/F70</f>
        <v>0.28738892000000005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 s="57">
        <v>0.49030000000000001</v>
      </c>
      <c r="H68" s="58">
        <v>3.6700000000000003E-2</v>
      </c>
      <c r="I68" s="56"/>
      <c r="J68" s="57">
        <f>G71-$J$14</f>
        <v>2.353333333333333E-2</v>
      </c>
      <c r="K68" s="58">
        <f>H71-$K$14</f>
        <v>2.3999999999999994E-3</v>
      </c>
      <c r="L68" s="56"/>
      <c r="M68" s="62">
        <f t="shared" si="3"/>
        <v>2.293333333333333E-2</v>
      </c>
      <c r="N68" s="56">
        <f t="shared" si="4"/>
        <v>1.5519904</v>
      </c>
      <c r="O68" s="58">
        <f t="shared" si="5"/>
        <v>3.1039808</v>
      </c>
      <c r="P68" s="56">
        <f>O68/F71</f>
        <v>0.31039808000000002</v>
      </c>
      <c r="Q68" s="57"/>
      <c r="R68" s="56"/>
      <c r="S68" s="58"/>
      <c r="T68" s="56"/>
    </row>
    <row r="69" spans="4:20" ht="14.45" customHeight="1" x14ac:dyDescent="0.25">
      <c r="D69" s="78">
        <f>A40</f>
        <v>14</v>
      </c>
      <c r="E69" s="12" t="s">
        <v>89</v>
      </c>
      <c r="F69" s="12">
        <f>B40</f>
        <v>10</v>
      </c>
      <c r="G69" s="54">
        <v>0.40489999999999998</v>
      </c>
      <c r="H69" s="55">
        <v>0.38450000000000001</v>
      </c>
      <c r="I69" s="56"/>
      <c r="J69" s="57">
        <f>G72-$J$14</f>
        <v>0.26573333333333332</v>
      </c>
      <c r="K69" s="58">
        <f>H72-$K$14</f>
        <v>8.48E-2</v>
      </c>
      <c r="L69" s="56"/>
      <c r="M69" s="62">
        <f t="shared" si="3"/>
        <v>0.24453333333333332</v>
      </c>
      <c r="N69" s="56">
        <f t="shared" si="4"/>
        <v>16.548548800000003</v>
      </c>
      <c r="O69" s="58">
        <f t="shared" si="5"/>
        <v>33.097097600000005</v>
      </c>
      <c r="P69" s="56">
        <f>O69/F72</f>
        <v>3.3097097600000005</v>
      </c>
      <c r="Q69" s="57">
        <f>AVERAGE(P69:P71)</f>
        <v>2.52581926</v>
      </c>
      <c r="R69" s="56">
        <f>STDEV(P69:P71)</f>
        <v>0.67897836603947148</v>
      </c>
      <c r="S69" s="58">
        <f>R69/Q69*100</f>
        <v>26.881510359512877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3">F69</f>
        <v>10</v>
      </c>
      <c r="G70" s="57">
        <v>5.9200000000000003E-2</v>
      </c>
      <c r="H70" s="58">
        <v>3.7600000000000001E-2</v>
      </c>
      <c r="I70" s="56"/>
      <c r="J70" s="57">
        <f>G73-$J$14</f>
        <v>0.15903333333333336</v>
      </c>
      <c r="K70" s="58">
        <f>H73-$K$14</f>
        <v>1.8999999999999989E-3</v>
      </c>
      <c r="L70" s="56"/>
      <c r="M70" s="62">
        <f t="shared" si="3"/>
        <v>0.15855833333333336</v>
      </c>
      <c r="N70" s="56">
        <f t="shared" si="4"/>
        <v>10.730276650000002</v>
      </c>
      <c r="O70" s="58">
        <f t="shared" si="5"/>
        <v>21.460553300000004</v>
      </c>
      <c r="P70" s="56">
        <f>O70/F73</f>
        <v>2.1460553300000003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4">F69</f>
        <v>10</v>
      </c>
      <c r="G71" s="65">
        <v>6.1199999999999997E-2</v>
      </c>
      <c r="H71" s="66">
        <v>3.8800000000000001E-2</v>
      </c>
      <c r="I71" s="56"/>
      <c r="J71" s="57">
        <f>G74-$J$14</f>
        <v>0.15843333333333331</v>
      </c>
      <c r="K71" s="58">
        <f>H74-$K$14</f>
        <v>6.6999999999999976E-3</v>
      </c>
      <c r="L71" s="56"/>
      <c r="M71" s="62">
        <f t="shared" si="3"/>
        <v>0.15675833333333331</v>
      </c>
      <c r="N71" s="56">
        <f t="shared" si="4"/>
        <v>10.608463449999999</v>
      </c>
      <c r="O71" s="58">
        <f t="shared" si="5"/>
        <v>21.216926899999997</v>
      </c>
      <c r="P71" s="56">
        <f>O71/F74</f>
        <v>2.1216926899999997</v>
      </c>
      <c r="Q71" s="57"/>
      <c r="R71" s="56"/>
      <c r="S71" s="58"/>
      <c r="T71" s="56"/>
    </row>
    <row r="72" spans="4:20" ht="14.45" customHeight="1" x14ac:dyDescent="0.25">
      <c r="D72" s="78">
        <f>A41</f>
        <v>15</v>
      </c>
      <c r="E72" s="12" t="s">
        <v>92</v>
      </c>
      <c r="F72" s="12">
        <f>B41</f>
        <v>10</v>
      </c>
      <c r="G72" s="54">
        <v>0.3034</v>
      </c>
      <c r="H72" s="55">
        <v>0.1212</v>
      </c>
      <c r="I72" s="56"/>
      <c r="J72" s="57">
        <f>G75-$J$14</f>
        <v>5.8633333333333329E-2</v>
      </c>
      <c r="K72" s="58">
        <f>H75-$K$14</f>
        <v>2.700000000000001E-3</v>
      </c>
      <c r="L72" s="56"/>
      <c r="M72" s="62">
        <f t="shared" si="3"/>
        <v>5.7958333333333327E-2</v>
      </c>
      <c r="N72" s="56">
        <f t="shared" si="4"/>
        <v>3.9222722499999998</v>
      </c>
      <c r="O72" s="58">
        <f t="shared" si="5"/>
        <v>7.8445444999999996</v>
      </c>
      <c r="P72" s="56">
        <f>O72/F75</f>
        <v>0.78445444999999991</v>
      </c>
      <c r="Q72" s="57">
        <f>AVERAGE(P72:P74)</f>
        <v>0.98488227999999989</v>
      </c>
      <c r="R72" s="56">
        <f>STDEV(P72:P74)</f>
        <v>0.27372320492528696</v>
      </c>
      <c r="S72" s="58">
        <f>R72/Q72*100</f>
        <v>27.792479414421688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5">F72</f>
        <v>10</v>
      </c>
      <c r="G73" s="57">
        <v>0.19670000000000001</v>
      </c>
      <c r="H73" s="58">
        <v>3.8300000000000001E-2</v>
      </c>
      <c r="I73" s="56"/>
      <c r="J73" s="57">
        <f>G76-$J$14</f>
        <v>0.10683333333333332</v>
      </c>
      <c r="K73" s="58">
        <f>H76-$K$14</f>
        <v>4.41E-2</v>
      </c>
      <c r="L73" s="56"/>
      <c r="M73" s="62">
        <f t="shared" si="3"/>
        <v>9.5808333333333329E-2</v>
      </c>
      <c r="N73" s="56">
        <f t="shared" si="4"/>
        <v>6.4837331499999999</v>
      </c>
      <c r="O73" s="58">
        <f t="shared" si="5"/>
        <v>12.9674663</v>
      </c>
      <c r="P73" s="56">
        <f>O73/F76</f>
        <v>1.2967466299999999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6">F72</f>
        <v>10</v>
      </c>
      <c r="G74" s="65">
        <v>0.1961</v>
      </c>
      <c r="H74" s="66">
        <v>4.3099999999999999E-2</v>
      </c>
      <c r="I74" s="56"/>
      <c r="J74" s="57">
        <f>G77-$J$14</f>
        <v>6.5133333333333335E-2</v>
      </c>
      <c r="K74" s="58">
        <f>H77-$K$14</f>
        <v>2.3999999999999994E-3</v>
      </c>
      <c r="L74" s="56"/>
      <c r="M74" s="62">
        <f t="shared" si="3"/>
        <v>6.4533333333333331E-2</v>
      </c>
      <c r="N74" s="56">
        <f t="shared" si="4"/>
        <v>4.3672288000000004</v>
      </c>
      <c r="O74" s="58">
        <f t="shared" si="5"/>
        <v>8.7344576000000007</v>
      </c>
      <c r="P74" s="56">
        <f>O74/F77</f>
        <v>0.87344576000000007</v>
      </c>
      <c r="Q74" s="57"/>
      <c r="R74" s="56"/>
      <c r="S74" s="58"/>
      <c r="T74" s="56"/>
    </row>
    <row r="75" spans="4:20" ht="14.45" customHeight="1" x14ac:dyDescent="0.25">
      <c r="D75" s="78">
        <f>A42</f>
        <v>16</v>
      </c>
      <c r="E75" s="12" t="s">
        <v>95</v>
      </c>
      <c r="F75" s="12">
        <f>B42</f>
        <v>10</v>
      </c>
      <c r="G75" s="54">
        <v>9.6299999999999997E-2</v>
      </c>
      <c r="H75" s="55">
        <v>3.9100000000000003E-2</v>
      </c>
      <c r="I75" s="56"/>
      <c r="J75" s="57">
        <f>G78-$J$14</f>
        <v>0.21233333333333332</v>
      </c>
      <c r="K75" s="58">
        <f>H78-$K$14</f>
        <v>5.4999999999999979E-3</v>
      </c>
      <c r="L75" s="56"/>
      <c r="M75" s="62">
        <f t="shared" si="3"/>
        <v>0.21095833333333333</v>
      </c>
      <c r="N75" s="56">
        <f t="shared" si="4"/>
        <v>14.276394250000001</v>
      </c>
      <c r="O75" s="58">
        <f t="shared" si="5"/>
        <v>28.552788500000002</v>
      </c>
      <c r="P75" s="56">
        <f>O75/F78</f>
        <v>2.8552788500000004</v>
      </c>
      <c r="Q75" s="57">
        <f>AVERAGE(P75:P77)</f>
        <v>2.8842658800000005</v>
      </c>
      <c r="R75" s="56">
        <f>STDEV(P75:P77)</f>
        <v>6.1987623170406327E-2</v>
      </c>
      <c r="S75" s="58">
        <f>R75/Q75*100</f>
        <v>2.1491646661370316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7">F75</f>
        <v>10</v>
      </c>
      <c r="G76" s="57">
        <v>0.14449999999999999</v>
      </c>
      <c r="H76" s="58">
        <v>8.0500000000000002E-2</v>
      </c>
      <c r="I76" s="56"/>
      <c r="J76" s="57">
        <f>G79-$J$14</f>
        <v>0.21933333333333332</v>
      </c>
      <c r="K76" s="58">
        <f>H79-$K$14</f>
        <v>3.9000000000000007E-3</v>
      </c>
      <c r="L76" s="56"/>
      <c r="M76" s="62">
        <f t="shared" si="3"/>
        <v>0.21835833333333332</v>
      </c>
      <c r="N76" s="56">
        <f t="shared" si="4"/>
        <v>14.77718185</v>
      </c>
      <c r="O76" s="58">
        <f t="shared" si="5"/>
        <v>29.5543637</v>
      </c>
      <c r="P76" s="56">
        <f>O76/F79</f>
        <v>2.9554363700000001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8">F75</f>
        <v>10</v>
      </c>
      <c r="G77" s="65">
        <v>0.1028</v>
      </c>
      <c r="H77" s="66">
        <v>3.8800000000000001E-2</v>
      </c>
      <c r="I77" s="56"/>
      <c r="J77" s="57">
        <f>G80-$J$14</f>
        <v>0.21063333333333334</v>
      </c>
      <c r="K77" s="58">
        <f>H80-$K$14</f>
        <v>2.5999999999999981E-3</v>
      </c>
      <c r="L77" s="56"/>
      <c r="M77" s="62">
        <f t="shared" si="3"/>
        <v>0.20998333333333333</v>
      </c>
      <c r="N77" s="56">
        <f t="shared" si="4"/>
        <v>14.210412100000001</v>
      </c>
      <c r="O77" s="58">
        <f t="shared" si="5"/>
        <v>28.420824200000002</v>
      </c>
      <c r="P77" s="56">
        <f>O77/F80</f>
        <v>2.8420824200000001</v>
      </c>
      <c r="Q77" s="57"/>
      <c r="R77" s="56"/>
      <c r="S77" s="58"/>
      <c r="T77" s="56"/>
    </row>
    <row r="78" spans="4:20" ht="14.45" customHeight="1" x14ac:dyDescent="0.25">
      <c r="D78" s="78">
        <f>A43</f>
        <v>17</v>
      </c>
      <c r="E78" s="12" t="s">
        <v>98</v>
      </c>
      <c r="F78" s="12">
        <f>B43</f>
        <v>10</v>
      </c>
      <c r="G78" s="54">
        <v>0.25</v>
      </c>
      <c r="H78" s="55">
        <v>4.19E-2</v>
      </c>
      <c r="I78" s="56"/>
      <c r="J78" s="57">
        <f>G81-$J$14</f>
        <v>0.18533333333333335</v>
      </c>
      <c r="K78" s="58">
        <f>H81-$K$14</f>
        <v>7.3800000000000004E-2</v>
      </c>
      <c r="L78" s="56"/>
      <c r="M78" s="62">
        <f t="shared" si="3"/>
        <v>0.16688333333333336</v>
      </c>
      <c r="N78" s="56">
        <f t="shared" si="4"/>
        <v>11.293662700000002</v>
      </c>
      <c r="O78" s="58">
        <f t="shared" si="5"/>
        <v>22.587325400000005</v>
      </c>
      <c r="P78" s="56">
        <f>O78/F81</f>
        <v>2.2587325400000005</v>
      </c>
      <c r="Q78" s="57">
        <f>AVERAGE(P78:P80)</f>
        <v>1.2426074300000003</v>
      </c>
      <c r="R78" s="56">
        <f>STDEV(P78:P80)</f>
        <v>0.87999095559785789</v>
      </c>
      <c r="S78" s="58">
        <f>R78/Q78*100</f>
        <v>70.818098649052644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9">F78</f>
        <v>10</v>
      </c>
      <c r="G79" s="57">
        <v>0.25700000000000001</v>
      </c>
      <c r="H79" s="58">
        <v>4.0300000000000002E-2</v>
      </c>
      <c r="I79" s="56"/>
      <c r="J79" s="57">
        <f>G82-$J$14</f>
        <v>5.5133333333333326E-2</v>
      </c>
      <c r="K79" s="58">
        <f>H82-$K$14</f>
        <v>3.0999999999999986E-3</v>
      </c>
      <c r="L79" s="56"/>
      <c r="M79" s="62">
        <f t="shared" si="3"/>
        <v>5.4358333333333328E-2</v>
      </c>
      <c r="N79" s="56">
        <f t="shared" si="4"/>
        <v>3.6786458500000001</v>
      </c>
      <c r="O79" s="58">
        <f t="shared" si="5"/>
        <v>7.3572917000000002</v>
      </c>
      <c r="P79" s="56">
        <f>O79/F82</f>
        <v>0.73572917000000004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40">F78</f>
        <v>10</v>
      </c>
      <c r="G80" s="65">
        <v>0.24829999999999999</v>
      </c>
      <c r="H80" s="66">
        <v>3.9E-2</v>
      </c>
      <c r="I80" s="56"/>
      <c r="J80" s="57">
        <f>G83-$J$14</f>
        <v>5.4733333333333328E-2</v>
      </c>
      <c r="K80" s="58">
        <f>H83-$K$14</f>
        <v>2.2000000000000006E-3</v>
      </c>
      <c r="L80" s="56"/>
      <c r="M80" s="62">
        <f t="shared" si="3"/>
        <v>5.4183333333333326E-2</v>
      </c>
      <c r="N80" s="56">
        <f t="shared" si="4"/>
        <v>3.6668029</v>
      </c>
      <c r="O80" s="58">
        <f t="shared" si="5"/>
        <v>7.3336058</v>
      </c>
      <c r="P80" s="56">
        <f>O80/F83</f>
        <v>0.73336058000000004</v>
      </c>
      <c r="Q80" s="57"/>
      <c r="R80" s="56"/>
      <c r="S80" s="58"/>
      <c r="T80" s="56"/>
    </row>
    <row r="81" spans="4:20" ht="14.45" customHeight="1" x14ac:dyDescent="0.25">
      <c r="D81" s="78">
        <f>A44</f>
        <v>18</v>
      </c>
      <c r="E81" s="12" t="s">
        <v>101</v>
      </c>
      <c r="F81" s="12">
        <f>B44</f>
        <v>10</v>
      </c>
      <c r="G81" s="54">
        <v>0.223</v>
      </c>
      <c r="H81" s="55">
        <v>0.11020000000000001</v>
      </c>
      <c r="I81" s="56"/>
      <c r="J81" s="57">
        <f>G84-$J$14</f>
        <v>2.8733333333333333E-2</v>
      </c>
      <c r="K81" s="58">
        <f>H84-$K$14</f>
        <v>5.9999999999999637E-4</v>
      </c>
      <c r="L81" s="56"/>
      <c r="M81" s="62">
        <f t="shared" si="3"/>
        <v>2.8583333333333336E-2</v>
      </c>
      <c r="N81" s="56">
        <f t="shared" si="4"/>
        <v>1.9343485000000002</v>
      </c>
      <c r="O81" s="58">
        <f t="shared" si="5"/>
        <v>3.8686970000000005</v>
      </c>
      <c r="P81" s="56">
        <f>O81/F84</f>
        <v>0.38686970000000004</v>
      </c>
      <c r="Q81" s="57">
        <f>AVERAGE(P81:P83)</f>
        <v>0.4352566100000001</v>
      </c>
      <c r="R81" s="56">
        <f>STDEV(P81:P83)</f>
        <v>4.198106831015265E-2</v>
      </c>
      <c r="S81" s="58">
        <f>R81/Q81*100</f>
        <v>9.6451305610620466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41">F81</f>
        <v>10</v>
      </c>
      <c r="G82" s="57">
        <v>9.2799999999999994E-2</v>
      </c>
      <c r="H82" s="58">
        <v>3.95E-2</v>
      </c>
      <c r="I82" s="56"/>
      <c r="J82" s="57">
        <f>G85-$J$14</f>
        <v>3.4033333333333332E-2</v>
      </c>
      <c r="K82" s="58">
        <f>H85-$K$14</f>
        <v>1.0999999999999968E-3</v>
      </c>
      <c r="L82" s="56"/>
      <c r="M82" s="62">
        <f t="shared" si="3"/>
        <v>3.3758333333333335E-2</v>
      </c>
      <c r="N82" s="56">
        <f t="shared" si="4"/>
        <v>2.2845614500000004</v>
      </c>
      <c r="O82" s="58">
        <f t="shared" si="5"/>
        <v>4.5691229000000009</v>
      </c>
      <c r="P82" s="56">
        <f>O82/F85</f>
        <v>0.45691229000000011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2">F81</f>
        <v>10</v>
      </c>
      <c r="G83" s="65">
        <v>9.2399999999999996E-2</v>
      </c>
      <c r="H83" s="66">
        <v>3.8600000000000002E-2</v>
      </c>
      <c r="I83" s="56"/>
      <c r="J83" s="57">
        <f>G86-$J$14</f>
        <v>3.4233333333333338E-2</v>
      </c>
      <c r="K83" s="58">
        <f>H86-$K$14</f>
        <v>3.9999999999999758E-4</v>
      </c>
      <c r="L83" s="56"/>
      <c r="M83" s="62">
        <f t="shared" si="3"/>
        <v>3.4133333333333335E-2</v>
      </c>
      <c r="N83" s="56">
        <f t="shared" si="4"/>
        <v>2.3099392000000005</v>
      </c>
      <c r="O83" s="58">
        <f t="shared" si="5"/>
        <v>4.6198784000000011</v>
      </c>
      <c r="P83" s="56">
        <f>O83/F86</f>
        <v>0.46198784000000009</v>
      </c>
      <c r="Q83" s="57"/>
      <c r="R83" s="56"/>
      <c r="S83" s="58"/>
      <c r="T83" s="56"/>
    </row>
    <row r="84" spans="4:20" ht="14.45" customHeight="1" x14ac:dyDescent="0.25">
      <c r="D84" s="78">
        <f>A45</f>
        <v>19</v>
      </c>
      <c r="E84" s="12" t="s">
        <v>104</v>
      </c>
      <c r="F84" s="12">
        <f>B45</f>
        <v>10</v>
      </c>
      <c r="G84" s="54">
        <v>6.6400000000000001E-2</v>
      </c>
      <c r="H84" s="55">
        <v>3.6999999999999998E-2</v>
      </c>
      <c r="I84" s="56"/>
      <c r="J84" s="57">
        <f>G87-$J$14</f>
        <v>5.3933333333333333E-2</v>
      </c>
      <c r="K84" s="58">
        <f>H87-$K$14</f>
        <v>1.5999999999999973E-3</v>
      </c>
      <c r="L84" s="56"/>
      <c r="M84" s="62">
        <f t="shared" si="3"/>
        <v>5.3533333333333336E-2</v>
      </c>
      <c r="N84" s="56">
        <f t="shared" si="4"/>
        <v>3.6228148000000004</v>
      </c>
      <c r="O84" s="58">
        <f t="shared" si="5"/>
        <v>7.2456296000000009</v>
      </c>
      <c r="P84" s="56">
        <f>O84/F87</f>
        <v>0.72456296000000009</v>
      </c>
      <c r="Q84" s="57">
        <f>AVERAGE(P84:P86)</f>
        <v>0.77836379000000011</v>
      </c>
      <c r="R84" s="56">
        <f>STDEV(P84:P86)</f>
        <v>5.0362597958263665E-2</v>
      </c>
      <c r="S84" s="58">
        <f>R84/Q84*100</f>
        <v>6.4703161433375085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3">F84</f>
        <v>10</v>
      </c>
      <c r="G85" s="57">
        <v>7.17E-2</v>
      </c>
      <c r="H85" s="58">
        <v>3.7499999999999999E-2</v>
      </c>
      <c r="I85" s="56"/>
      <c r="J85" s="57">
        <f>G88-$J$14</f>
        <v>6.1233333333333334E-2</v>
      </c>
      <c r="K85" s="58">
        <f>H88-$K$14</f>
        <v>1.2999999999999956E-3</v>
      </c>
      <c r="L85" s="56"/>
      <c r="M85" s="62">
        <f t="shared" si="3"/>
        <v>6.0908333333333335E-2</v>
      </c>
      <c r="N85" s="56">
        <f t="shared" si="4"/>
        <v>4.1219105500000008</v>
      </c>
      <c r="O85" s="58">
        <f t="shared" si="5"/>
        <v>8.2438211000000017</v>
      </c>
      <c r="P85" s="56">
        <f>O85/F88</f>
        <v>0.82438211000000017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4">F84</f>
        <v>10</v>
      </c>
      <c r="G86" s="65">
        <v>7.1900000000000006E-2</v>
      </c>
      <c r="H86" s="66">
        <v>3.6799999999999999E-2</v>
      </c>
      <c r="I86" s="56"/>
      <c r="J86" s="57">
        <f>G89-$J$14</f>
        <v>5.8233333333333331E-2</v>
      </c>
      <c r="K86" s="58">
        <f>H89-$K$14</f>
        <v>5.9999999999999637E-4</v>
      </c>
      <c r="L86" s="56"/>
      <c r="M86" s="62">
        <f t="shared" si="3"/>
        <v>5.8083333333333334E-2</v>
      </c>
      <c r="N86" s="56">
        <f t="shared" si="4"/>
        <v>3.9307315000000003</v>
      </c>
      <c r="O86" s="58">
        <f t="shared" si="5"/>
        <v>7.8614630000000005</v>
      </c>
      <c r="P86" s="56">
        <f>O86/F89</f>
        <v>0.78614630000000008</v>
      </c>
      <c r="Q86" s="57"/>
      <c r="R86" s="56"/>
      <c r="S86" s="58"/>
      <c r="T86" s="56"/>
    </row>
    <row r="87" spans="4:20" ht="14.45" customHeight="1" x14ac:dyDescent="0.25">
      <c r="D87" s="78">
        <f>A46</f>
        <v>20</v>
      </c>
      <c r="E87" s="12" t="s">
        <v>107</v>
      </c>
      <c r="F87" s="12">
        <f>B46</f>
        <v>10</v>
      </c>
      <c r="G87" s="54">
        <v>9.1600000000000001E-2</v>
      </c>
      <c r="H87" s="55">
        <v>3.7999999999999999E-2</v>
      </c>
      <c r="I87" s="56"/>
      <c r="J87" s="57">
        <f>G90-$J$14</f>
        <v>4.4433333333333339E-2</v>
      </c>
      <c r="K87" s="58">
        <f>H90-$K$14</f>
        <v>5.1000000000000004E-3</v>
      </c>
      <c r="L87" s="56"/>
      <c r="M87" s="62">
        <f t="shared" si="3"/>
        <v>4.315833333333334E-2</v>
      </c>
      <c r="N87" s="56">
        <f t="shared" si="4"/>
        <v>2.9206970500000007</v>
      </c>
      <c r="O87" s="58">
        <f t="shared" si="5"/>
        <v>5.8413941000000014</v>
      </c>
      <c r="P87" s="56">
        <f>O87/F90</f>
        <v>0.58413941000000014</v>
      </c>
      <c r="Q87" s="57">
        <f>AVERAGE(P87:P89)</f>
        <v>0.58346267000000018</v>
      </c>
      <c r="R87" s="56">
        <f>STDEV(P87:P89)</f>
        <v>6.7927303443240331E-3</v>
      </c>
      <c r="S87" s="58">
        <f>R87/Q87*100</f>
        <v>1.1642099304012081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5">F87</f>
        <v>10</v>
      </c>
      <c r="G88" s="57">
        <v>9.8900000000000002E-2</v>
      </c>
      <c r="H88" s="58">
        <v>3.7699999999999997E-2</v>
      </c>
      <c r="I88" s="56"/>
      <c r="J88" s="57">
        <f>G91-$J$14</f>
        <v>4.463333333333333E-2</v>
      </c>
      <c r="K88" s="58">
        <f>H91-$K$14</f>
        <v>4.1999999999999954E-3</v>
      </c>
      <c r="L88" s="56"/>
      <c r="M88" s="62">
        <f t="shared" si="3"/>
        <v>4.3583333333333335E-2</v>
      </c>
      <c r="N88" s="56">
        <f t="shared" si="4"/>
        <v>2.9494585000000004</v>
      </c>
      <c r="O88" s="58">
        <f t="shared" si="5"/>
        <v>5.8989170000000009</v>
      </c>
      <c r="P88" s="56">
        <f>O88/F91</f>
        <v>0.58989170000000013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6">F87</f>
        <v>10</v>
      </c>
      <c r="G89" s="65">
        <v>9.5899999999999999E-2</v>
      </c>
      <c r="H89" s="66">
        <v>3.6999999999999998E-2</v>
      </c>
      <c r="I89" s="56"/>
      <c r="J89" s="57">
        <f>G92-$J$14</f>
        <v>4.363333333333333E-2</v>
      </c>
      <c r="K89" s="58">
        <f>H92-$K$14</f>
        <v>4.1999999999999954E-3</v>
      </c>
      <c r="L89" s="56"/>
      <c r="M89" s="62">
        <f t="shared" si="3"/>
        <v>4.2583333333333334E-2</v>
      </c>
      <c r="N89" s="56">
        <f t="shared" si="4"/>
        <v>2.8817845000000002</v>
      </c>
      <c r="O89" s="58">
        <f t="shared" si="5"/>
        <v>5.7635690000000004</v>
      </c>
      <c r="P89" s="56">
        <f>O89/F92</f>
        <v>0.57635690000000006</v>
      </c>
      <c r="Q89" s="57"/>
      <c r="R89" s="56"/>
      <c r="S89" s="58"/>
      <c r="T89" s="56"/>
    </row>
    <row r="90" spans="4:20" ht="14.45" customHeight="1" x14ac:dyDescent="0.25">
      <c r="D90" s="78">
        <f>A47</f>
        <v>21</v>
      </c>
      <c r="E90" s="12" t="s">
        <v>110</v>
      </c>
      <c r="F90" s="12">
        <f>B47</f>
        <v>10</v>
      </c>
      <c r="G90" s="54">
        <v>8.2100000000000006E-2</v>
      </c>
      <c r="H90" s="55">
        <v>4.1500000000000002E-2</v>
      </c>
      <c r="I90" s="56"/>
      <c r="J90" s="57">
        <f>G96-$J$14</f>
        <v>0.24893333333333334</v>
      </c>
      <c r="K90" s="58">
        <f>H96-$K$14</f>
        <v>9.8999999999999991E-3</v>
      </c>
      <c r="L90" s="56"/>
      <c r="M90" s="62">
        <f t="shared" si="3"/>
        <v>0.24645833333333333</v>
      </c>
      <c r="N90" s="56">
        <f t="shared" si="4"/>
        <v>16.678821250000002</v>
      </c>
      <c r="O90" s="58">
        <f t="shared" si="5"/>
        <v>33.357642500000004</v>
      </c>
      <c r="P90" s="56">
        <f>O90/F96</f>
        <v>3.3357642500000004</v>
      </c>
      <c r="Q90" s="57">
        <f>AVERAGE(P90:P92)</f>
        <v>3.3592245699999999</v>
      </c>
      <c r="R90" s="56">
        <f>STDEV(P90:P92)</f>
        <v>3.6327661220916456E-2</v>
      </c>
      <c r="S90" s="58">
        <f>R90/Q90*100</f>
        <v>1.0814299688489257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7">F90</f>
        <v>10</v>
      </c>
      <c r="G91" s="57">
        <v>8.2299999999999998E-2</v>
      </c>
      <c r="H91" s="58">
        <v>4.0599999999999997E-2</v>
      </c>
      <c r="I91" s="56"/>
      <c r="J91" s="57">
        <f>G97-$J$14</f>
        <v>0.25213333333333332</v>
      </c>
      <c r="K91" s="58">
        <f>H97-$K$14</f>
        <v>3.4000000000000002E-3</v>
      </c>
      <c r="L91" s="56"/>
      <c r="M91" s="62">
        <f t="shared" si="3"/>
        <v>0.2512833333333333</v>
      </c>
      <c r="N91" s="56">
        <f t="shared" si="4"/>
        <v>17.005348299999998</v>
      </c>
      <c r="O91" s="58">
        <f t="shared" si="5"/>
        <v>34.010696599999996</v>
      </c>
      <c r="P91" s="56">
        <f>O91/F97</f>
        <v>3.4010696599999997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8">F90</f>
        <v>10</v>
      </c>
      <c r="G92" s="65">
        <v>8.1299999999999997E-2</v>
      </c>
      <c r="H92" s="66">
        <v>4.0599999999999997E-2</v>
      </c>
      <c r="I92" s="56"/>
      <c r="J92" s="57">
        <f>G98-$J$14</f>
        <v>0.2472333333333333</v>
      </c>
      <c r="K92" s="58">
        <f>H98-$K$14</f>
        <v>1.5999999999999973E-3</v>
      </c>
      <c r="L92" s="56"/>
      <c r="M92" s="62">
        <f t="shared" ref="M92:M98" si="49">J92-(0.25*K92)</f>
        <v>0.24683333333333329</v>
      </c>
      <c r="N92" s="56">
        <f t="shared" ref="N92:N98" si="50">M92*67.674</f>
        <v>16.704198999999999</v>
      </c>
      <c r="O92" s="58">
        <f t="shared" ref="O92:O98" si="51">N92*2</f>
        <v>33.408397999999998</v>
      </c>
      <c r="P92" s="56">
        <f>O92/F98</f>
        <v>3.3408397999999999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 s="57">
        <v>3.5900000000000001E-2</v>
      </c>
      <c r="H93" s="58">
        <v>3.5200000000000002E-2</v>
      </c>
      <c r="I93" s="56"/>
      <c r="J93" s="57">
        <f>G99-$J$14</f>
        <v>9.9133333333333337E-2</v>
      </c>
      <c r="K93" s="58">
        <f>H99-$K$14</f>
        <v>4.4000000000000011E-3</v>
      </c>
      <c r="L93" s="56"/>
      <c r="M93" s="62">
        <f t="shared" si="49"/>
        <v>9.8033333333333333E-2</v>
      </c>
      <c r="N93" s="56">
        <f t="shared" si="50"/>
        <v>6.6343078000000011</v>
      </c>
      <c r="O93" s="58">
        <f t="shared" si="51"/>
        <v>13.268615600000002</v>
      </c>
      <c r="P93" s="56">
        <f>O93/F99</f>
        <v>1.3268615600000002</v>
      </c>
      <c r="Q93" s="57">
        <f>AVERAGE(P93:P95)</f>
        <v>1.3299068900000002</v>
      </c>
      <c r="R93" s="56">
        <f>STDEV(P93:P95)</f>
        <v>1.2960056900812528E-2</v>
      </c>
      <c r="S93" s="58">
        <f>R93/Q93*100</f>
        <v>0.97450859141067581</v>
      </c>
      <c r="T93" s="56"/>
    </row>
    <row r="94" spans="4:20" ht="14.45" customHeight="1" x14ac:dyDescent="0.25">
      <c r="D94" s="71"/>
      <c r="E94" s="17" t="s">
        <v>129</v>
      </c>
      <c r="F94" s="17"/>
      <c r="G94" s="57">
        <v>3.7199999999999997E-2</v>
      </c>
      <c r="H94" s="58">
        <v>3.6600000000000001E-2</v>
      </c>
      <c r="I94" s="56"/>
      <c r="J94" s="57">
        <f>G100-$J$14</f>
        <v>9.9433333333333332E-2</v>
      </c>
      <c r="K94" s="58">
        <f>H100-$K$14</f>
        <v>5.0000000000000044E-4</v>
      </c>
      <c r="L94" s="56"/>
      <c r="M94" s="62">
        <f t="shared" si="49"/>
        <v>9.9308333333333332E-2</v>
      </c>
      <c r="N94" s="56">
        <f t="shared" si="50"/>
        <v>6.7205921500000008</v>
      </c>
      <c r="O94" s="58">
        <f t="shared" si="51"/>
        <v>13.441184300000002</v>
      </c>
      <c r="P94" s="56">
        <f>O94/F100</f>
        <v>1.3441184300000002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 s="57">
        <v>3.56E-2</v>
      </c>
      <c r="H95" s="58">
        <v>3.5200000000000002E-2</v>
      </c>
      <c r="I95" s="56"/>
      <c r="J95" s="57">
        <f>G101-$J$14</f>
        <v>9.7833333333333342E-2</v>
      </c>
      <c r="K95" s="58">
        <f>H101-$K$14</f>
        <v>1.5999999999999973E-3</v>
      </c>
      <c r="L95" s="56"/>
      <c r="M95" s="62">
        <f t="shared" si="49"/>
        <v>9.7433333333333344E-2</v>
      </c>
      <c r="N95" s="56">
        <f t="shared" si="50"/>
        <v>6.5937034000000017</v>
      </c>
      <c r="O95" s="58">
        <f t="shared" si="51"/>
        <v>13.187406800000003</v>
      </c>
      <c r="P95" s="56">
        <f>O95/F101</f>
        <v>1.3187406800000003</v>
      </c>
      <c r="Q95" s="57"/>
      <c r="R95" s="56"/>
      <c r="S95" s="58"/>
      <c r="T95" s="56"/>
    </row>
    <row r="96" spans="4:20" ht="14.45" customHeight="1" x14ac:dyDescent="0.25">
      <c r="D96" s="78">
        <f>A48</f>
        <v>22</v>
      </c>
      <c r="E96" s="12" t="s">
        <v>113</v>
      </c>
      <c r="F96" s="12">
        <f>B48</f>
        <v>10</v>
      </c>
      <c r="G96" s="54">
        <v>0.28660000000000002</v>
      </c>
      <c r="H96" s="55">
        <v>4.6300000000000001E-2</v>
      </c>
      <c r="I96" s="56"/>
      <c r="J96" s="57">
        <f>G102-$J$14</f>
        <v>0.10403333333333332</v>
      </c>
      <c r="K96" s="58">
        <f>H102-$K$14</f>
        <v>4.4999999999999971E-3</v>
      </c>
      <c r="L96" s="56"/>
      <c r="M96" s="62">
        <f t="shared" si="49"/>
        <v>0.10290833333333332</v>
      </c>
      <c r="N96" s="56">
        <f t="shared" si="50"/>
        <v>6.96421855</v>
      </c>
      <c r="O96" s="58">
        <f t="shared" si="51"/>
        <v>13.9284371</v>
      </c>
      <c r="P96" s="56">
        <f>O96/F102</f>
        <v>1.39284371</v>
      </c>
      <c r="Q96" s="57">
        <f>AVERAGE(P96:P98)</f>
        <v>1.4160784499999999</v>
      </c>
      <c r="R96" s="56">
        <f>STDEV(P96:P98)</f>
        <v>2.1123974150041091E-2</v>
      </c>
      <c r="S96" s="58">
        <f>R96/Q96*100</f>
        <v>1.4917234387714249</v>
      </c>
      <c r="T96" s="56"/>
    </row>
    <row r="97" spans="4:20" ht="14.45" customHeight="1" x14ac:dyDescent="0.25">
      <c r="D97" s="79"/>
      <c r="E97" s="17" t="s">
        <v>114</v>
      </c>
      <c r="F97" s="17">
        <f t="shared" si="47"/>
        <v>10</v>
      </c>
      <c r="G97" s="57">
        <v>0.2898</v>
      </c>
      <c r="H97" s="58">
        <v>3.9800000000000002E-2</v>
      </c>
      <c r="I97" s="56"/>
      <c r="J97" s="57">
        <f>G103-$J$14</f>
        <v>0.10593333333333334</v>
      </c>
      <c r="K97" s="58">
        <f>H103-$K$14</f>
        <v>3.699999999999995E-3</v>
      </c>
      <c r="L97" s="56"/>
      <c r="M97" s="62">
        <f t="shared" si="49"/>
        <v>0.10500833333333334</v>
      </c>
      <c r="N97" s="56">
        <f t="shared" si="50"/>
        <v>7.1063339500000016</v>
      </c>
      <c r="O97" s="58">
        <f t="shared" si="51"/>
        <v>14.212667900000003</v>
      </c>
      <c r="P97" s="56">
        <f>O97/F103</f>
        <v>1.4212667900000002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8"/>
        <v>10</v>
      </c>
      <c r="G98" s="65">
        <v>0.28489999999999999</v>
      </c>
      <c r="H98" s="66">
        <v>3.7999999999999999E-2</v>
      </c>
      <c r="I98" s="56"/>
      <c r="J98" s="65">
        <f>G104-$J$14</f>
        <v>0.10623333333333333</v>
      </c>
      <c r="K98" s="66">
        <f>H104-$K$14</f>
        <v>1.0999999999999968E-3</v>
      </c>
      <c r="L98" s="56"/>
      <c r="M98" s="69">
        <f t="shared" si="49"/>
        <v>0.10595833333333333</v>
      </c>
      <c r="N98" s="56">
        <f t="shared" si="50"/>
        <v>7.1706242500000004</v>
      </c>
      <c r="O98" s="66">
        <f t="shared" si="51"/>
        <v>14.341248500000001</v>
      </c>
      <c r="P98" s="70">
        <f>O98/F104</f>
        <v>1.4341248500000001</v>
      </c>
      <c r="Q98" s="65"/>
      <c r="R98" s="70"/>
      <c r="S98" s="66"/>
      <c r="T98" s="56"/>
    </row>
    <row r="99" spans="4:20" x14ac:dyDescent="0.25">
      <c r="D99" s="78">
        <f>A49</f>
        <v>23</v>
      </c>
      <c r="E99" s="12" t="s">
        <v>116</v>
      </c>
      <c r="F99" s="12">
        <f>B49</f>
        <v>10</v>
      </c>
      <c r="G99" s="54">
        <v>0.1368</v>
      </c>
      <c r="H99" s="55">
        <v>4.0800000000000003E-2</v>
      </c>
      <c r="N99" s="35"/>
    </row>
    <row r="100" spans="4:20" x14ac:dyDescent="0.25">
      <c r="D100" s="79"/>
      <c r="E100" s="17" t="s">
        <v>117</v>
      </c>
      <c r="F100" s="17">
        <f t="shared" si="47"/>
        <v>10</v>
      </c>
      <c r="G100" s="57">
        <v>0.1371</v>
      </c>
      <c r="H100" s="58">
        <v>3.6900000000000002E-2</v>
      </c>
    </row>
    <row r="101" spans="4:20" x14ac:dyDescent="0.25">
      <c r="D101" s="80"/>
      <c r="E101" s="22" t="s">
        <v>118</v>
      </c>
      <c r="F101" s="22">
        <f t="shared" si="48"/>
        <v>10</v>
      </c>
      <c r="G101" s="65">
        <v>0.13550000000000001</v>
      </c>
      <c r="H101" s="66">
        <v>3.7999999999999999E-2</v>
      </c>
    </row>
    <row r="102" spans="4:20" x14ac:dyDescent="0.25">
      <c r="D102" s="78">
        <f>A50</f>
        <v>24</v>
      </c>
      <c r="E102" s="12" t="s">
        <v>119</v>
      </c>
      <c r="F102" s="12">
        <f>B50</f>
        <v>10</v>
      </c>
      <c r="G102" s="54">
        <v>0.14169999999999999</v>
      </c>
      <c r="H102" s="55">
        <v>4.0899999999999999E-2</v>
      </c>
    </row>
    <row r="103" spans="4:20" x14ac:dyDescent="0.25">
      <c r="D103" s="79"/>
      <c r="E103" s="17" t="s">
        <v>120</v>
      </c>
      <c r="F103" s="17">
        <f t="shared" si="47"/>
        <v>10</v>
      </c>
      <c r="G103" s="57">
        <v>0.14360000000000001</v>
      </c>
      <c r="H103" s="58">
        <v>4.0099999999999997E-2</v>
      </c>
    </row>
    <row r="104" spans="4:20" x14ac:dyDescent="0.25">
      <c r="D104" s="80"/>
      <c r="E104" s="22" t="s">
        <v>121</v>
      </c>
      <c r="F104" s="22">
        <f t="shared" si="48"/>
        <v>10</v>
      </c>
      <c r="G104" s="65">
        <v>0.1439</v>
      </c>
      <c r="H104" s="66">
        <v>3.7499999999999999E-2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78:D80"/>
    <mergeCell ref="D42:D44"/>
    <mergeCell ref="D45:D47"/>
    <mergeCell ref="D48:D50"/>
    <mergeCell ref="D51:D53"/>
    <mergeCell ref="D54:D56"/>
    <mergeCell ref="D57:D59"/>
    <mergeCell ref="D60:D62"/>
    <mergeCell ref="D63:D65"/>
    <mergeCell ref="D69:D71"/>
    <mergeCell ref="D72:D74"/>
    <mergeCell ref="D75:D77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175D5-2788-4F4C-A38F-2D9196F20F9B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3.4700000000000002E-2</v>
      </c>
      <c r="G6">
        <v>3.4000000000000002E-2</v>
      </c>
      <c r="I6" s="13">
        <v>12.5</v>
      </c>
      <c r="J6" s="14">
        <f>AVERAGE(F9:F11,G66)</f>
        <v>0.25430000000000003</v>
      </c>
      <c r="K6" s="15">
        <f>AVERAGE(G9:G11,H66)</f>
        <v>3.7074999999999997E-2</v>
      </c>
      <c r="M6" s="14">
        <f>J6-$J$14</f>
        <v>0.21831666666666669</v>
      </c>
      <c r="N6" s="15">
        <f>K6-$K$14</f>
        <v>2.024999999999999E-3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3.6700000000000003E-2</v>
      </c>
      <c r="G7">
        <v>3.5400000000000001E-2</v>
      </c>
      <c r="I7" s="18">
        <v>25</v>
      </c>
      <c r="J7" s="19">
        <f>AVERAGE(F12:F14)</f>
        <v>0.50660000000000005</v>
      </c>
      <c r="K7" s="20">
        <f>AVERAGE(G12:G14)</f>
        <v>3.9266666666666665E-2</v>
      </c>
      <c r="M7" s="19">
        <f>J7-$J$14</f>
        <v>0.47061666666666674</v>
      </c>
      <c r="N7" s="20">
        <f>K7-$K$14</f>
        <v>4.2166666666666672E-3</v>
      </c>
      <c r="P7" s="17">
        <f>M6</f>
        <v>0.21831666666666669</v>
      </c>
      <c r="Q7" s="12">
        <v>12.5</v>
      </c>
    </row>
    <row r="8" spans="5:17" x14ac:dyDescent="0.25">
      <c r="E8" s="21" t="s">
        <v>10</v>
      </c>
      <c r="F8">
        <v>3.5499999999999997E-2</v>
      </c>
      <c r="G8">
        <v>3.49E-2</v>
      </c>
      <c r="I8" s="18">
        <v>50</v>
      </c>
      <c r="J8" s="19">
        <f>AVERAGE(F15:F17,G67)</f>
        <v>1.000875</v>
      </c>
      <c r="K8" s="20">
        <f>AVERAGE(G15:G17,H67)</f>
        <v>3.705E-2</v>
      </c>
      <c r="M8" s="19">
        <f>J8-$J$14</f>
        <v>0.96489166666666659</v>
      </c>
      <c r="N8" s="20">
        <f>K8-$K$14</f>
        <v>2.0000000000000018E-3</v>
      </c>
      <c r="P8" s="17">
        <f>M7</f>
        <v>0.47061666666666674</v>
      </c>
      <c r="Q8" s="17">
        <v>25</v>
      </c>
    </row>
    <row r="9" spans="5:17" x14ac:dyDescent="0.25">
      <c r="E9" s="11" t="s">
        <v>11</v>
      </c>
      <c r="F9">
        <v>0.23580000000000001</v>
      </c>
      <c r="G9">
        <v>3.8300000000000001E-2</v>
      </c>
      <c r="I9" s="18">
        <v>100</v>
      </c>
      <c r="J9" s="19">
        <f>AVERAGE(F18:F20,G68)</f>
        <v>1.9771000000000001</v>
      </c>
      <c r="K9" s="20">
        <f>AVERAGE(G18:G20,H68)</f>
        <v>3.5125000000000003E-2</v>
      </c>
      <c r="M9" s="19">
        <f>J9-$J$14</f>
        <v>1.9411166666666668</v>
      </c>
      <c r="N9" s="20">
        <f>K9-$K$14</f>
        <v>7.5000000000005618E-5</v>
      </c>
      <c r="P9" s="17">
        <f>M8</f>
        <v>0.96489166666666659</v>
      </c>
      <c r="Q9" s="17">
        <v>50</v>
      </c>
    </row>
    <row r="10" spans="5:17" x14ac:dyDescent="0.25">
      <c r="E10" s="16" t="s">
        <v>12</v>
      </c>
      <c r="F10">
        <v>0.30170000000000002</v>
      </c>
      <c r="G10">
        <v>3.7400000000000003E-2</v>
      </c>
      <c r="I10" s="23">
        <v>250</v>
      </c>
      <c r="J10" s="24">
        <f>AVERAGE(F21:F23)</f>
        <v>3.5772333333333335</v>
      </c>
      <c r="K10" s="25">
        <f>AVERAGE(G21:G23)</f>
        <v>3.5700000000000003E-2</v>
      </c>
      <c r="M10" s="19">
        <f>J10-$J$14</f>
        <v>3.5412500000000002</v>
      </c>
      <c r="N10" s="20">
        <f>K10-$K$14</f>
        <v>6.5000000000000474E-4</v>
      </c>
      <c r="P10" s="17">
        <f>M9</f>
        <v>1.9411166666666668</v>
      </c>
      <c r="Q10" s="17">
        <v>100</v>
      </c>
    </row>
    <row r="11" spans="5:17" x14ac:dyDescent="0.25">
      <c r="E11" s="21" t="s">
        <v>13</v>
      </c>
      <c r="F11">
        <v>0.19089999999999999</v>
      </c>
      <c r="G11">
        <v>3.6499999999999998E-2</v>
      </c>
      <c r="I11" s="26" t="s">
        <v>14</v>
      </c>
      <c r="J11" s="13">
        <f t="shared" ref="J11:K13" si="0">F6</f>
        <v>3.4700000000000002E-2</v>
      </c>
      <c r="K11" s="27">
        <f t="shared" si="0"/>
        <v>3.4000000000000002E-2</v>
      </c>
      <c r="M11" s="23"/>
      <c r="N11" s="28"/>
      <c r="P11" s="22">
        <f>M10</f>
        <v>3.5412500000000002</v>
      </c>
      <c r="Q11" s="22">
        <v>250</v>
      </c>
    </row>
    <row r="12" spans="5:17" x14ac:dyDescent="0.25">
      <c r="E12" s="11" t="s">
        <v>15</v>
      </c>
      <c r="F12">
        <v>0.52869999999999995</v>
      </c>
      <c r="G12">
        <v>3.9E-2</v>
      </c>
      <c r="I12" s="29" t="s">
        <v>14</v>
      </c>
      <c r="J12" s="18">
        <f t="shared" si="0"/>
        <v>3.6700000000000003E-2</v>
      </c>
      <c r="K12" s="30">
        <f t="shared" si="0"/>
        <v>3.5400000000000001E-2</v>
      </c>
    </row>
    <row r="13" spans="5:17" x14ac:dyDescent="0.25">
      <c r="E13" s="16" t="s">
        <v>16</v>
      </c>
      <c r="F13">
        <v>0.48399999999999999</v>
      </c>
      <c r="G13">
        <v>3.7600000000000001E-2</v>
      </c>
      <c r="I13" s="31" t="s">
        <v>14</v>
      </c>
      <c r="J13" s="23">
        <f t="shared" si="0"/>
        <v>3.5499999999999997E-2</v>
      </c>
      <c r="K13" s="28">
        <f t="shared" si="0"/>
        <v>3.49E-2</v>
      </c>
    </row>
    <row r="14" spans="5:17" x14ac:dyDescent="0.25">
      <c r="E14" s="21" t="s">
        <v>17</v>
      </c>
      <c r="F14">
        <v>0.5071</v>
      </c>
      <c r="G14">
        <v>4.1200000000000001E-2</v>
      </c>
      <c r="I14" s="32" t="s">
        <v>18</v>
      </c>
      <c r="J14" s="33">
        <f>AVERAGE(J11:J13,G93:G95)</f>
        <v>3.5983333333333332E-2</v>
      </c>
      <c r="K14" s="34">
        <f>AVERAGE(K11:K13,H93:H95)</f>
        <v>3.5049999999999998E-2</v>
      </c>
    </row>
    <row r="15" spans="5:17" x14ac:dyDescent="0.25">
      <c r="E15" s="11" t="s">
        <v>19</v>
      </c>
      <c r="F15">
        <v>0.99629999999999996</v>
      </c>
      <c r="G15">
        <v>3.7100000000000001E-2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</v>
      </c>
      <c r="G16">
        <v>3.6600000000000001E-2</v>
      </c>
      <c r="M16" s="18" t="s">
        <v>22</v>
      </c>
      <c r="O16" s="30"/>
    </row>
    <row r="17" spans="1:24" x14ac:dyDescent="0.25">
      <c r="E17" s="21" t="s">
        <v>23</v>
      </c>
      <c r="F17">
        <v>1.0187999999999999</v>
      </c>
      <c r="G17">
        <v>3.5799999999999998E-2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2.0310999999999999</v>
      </c>
      <c r="G18">
        <v>3.5299999999999998E-2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1.9562999999999999</v>
      </c>
      <c r="G19">
        <v>3.4700000000000002E-2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1.9715</v>
      </c>
      <c r="G20">
        <v>3.4799999999999998E-2</v>
      </c>
      <c r="U20" s="37"/>
      <c r="V20" s="37"/>
    </row>
    <row r="21" spans="1:24" x14ac:dyDescent="0.25">
      <c r="E21" s="11" t="s">
        <v>29</v>
      </c>
      <c r="F21">
        <v>3.5577000000000001</v>
      </c>
      <c r="G21">
        <v>3.5900000000000001E-2</v>
      </c>
      <c r="U21" s="37"/>
      <c r="V21" s="37"/>
    </row>
    <row r="22" spans="1:24" x14ac:dyDescent="0.25">
      <c r="E22" s="16" t="s">
        <v>30</v>
      </c>
      <c r="F22">
        <v>3.5903999999999998</v>
      </c>
      <c r="G22">
        <v>3.5400000000000001E-2</v>
      </c>
      <c r="U22" s="37"/>
      <c r="V22" s="37"/>
    </row>
    <row r="23" spans="1:24" x14ac:dyDescent="0.25">
      <c r="E23" s="21" t="s">
        <v>31</v>
      </c>
      <c r="F23">
        <v>3.5836000000000001</v>
      </c>
      <c r="G23">
        <v>3.5799999999999998E-2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25</v>
      </c>
      <c r="B27" s="30">
        <v>10</v>
      </c>
      <c r="D27" s="78">
        <f>A27</f>
        <v>25</v>
      </c>
      <c r="E27" s="12" t="s">
        <v>50</v>
      </c>
      <c r="F27" s="12">
        <f>B27</f>
        <v>10</v>
      </c>
      <c r="G27">
        <v>7.5800000000000006E-2</v>
      </c>
      <c r="H27">
        <v>4.2299999999999997E-2</v>
      </c>
      <c r="I27" s="56"/>
      <c r="J27" s="57">
        <f t="shared" ref="J27:J65" si="1">G27-$J$14</f>
        <v>3.9816666666666674E-2</v>
      </c>
      <c r="K27" s="58">
        <f t="shared" ref="K27:K65" si="2">H27-$K$14</f>
        <v>7.2499999999999995E-3</v>
      </c>
      <c r="L27" s="56"/>
      <c r="M27" s="59">
        <f>J27-(0.25*K27)</f>
        <v>3.8004166666666672E-2</v>
      </c>
      <c r="N27" s="56">
        <f>M27*70.697</f>
        <v>2.6867805708333337</v>
      </c>
      <c r="O27" s="58">
        <f>N27*2</f>
        <v>5.3735611416666673</v>
      </c>
      <c r="P27" s="56">
        <f>O27/F27</f>
        <v>0.53735611416666673</v>
      </c>
      <c r="Q27" s="57">
        <f>AVERAGE(P27:P29)</f>
        <v>0.61830417916666669</v>
      </c>
      <c r="R27" s="56">
        <f>STDEV(P27:P29)</f>
        <v>0.14420411801776059</v>
      </c>
      <c r="S27" s="58">
        <f>R27/Q27*100</f>
        <v>23.32252035108592</v>
      </c>
      <c r="T27" s="60">
        <f>D27</f>
        <v>25</v>
      </c>
      <c r="U27" s="61">
        <f>Q27</f>
        <v>0.61830417916666669</v>
      </c>
      <c r="V27" s="37"/>
    </row>
    <row r="28" spans="1:24" ht="14.45" customHeight="1" x14ac:dyDescent="0.25">
      <c r="A28" s="18">
        <v>26</v>
      </c>
      <c r="B28" s="30">
        <v>10</v>
      </c>
      <c r="D28" s="79"/>
      <c r="E28" s="17" t="s">
        <v>51</v>
      </c>
      <c r="F28" s="17">
        <f>F27</f>
        <v>10</v>
      </c>
      <c r="G28">
        <v>9.5200000000000007E-2</v>
      </c>
      <c r="H28">
        <v>4.99E-2</v>
      </c>
      <c r="I28" s="56"/>
      <c r="J28" s="57">
        <f t="shared" si="1"/>
        <v>5.9216666666666674E-2</v>
      </c>
      <c r="K28" s="58">
        <f t="shared" si="2"/>
        <v>1.4850000000000002E-2</v>
      </c>
      <c r="L28" s="56"/>
      <c r="M28" s="62">
        <f t="shared" ref="M28:M91" si="3">J28-(0.25*K28)</f>
        <v>5.5504166666666674E-2</v>
      </c>
      <c r="N28" s="56">
        <f t="shared" ref="N28:N91" si="4">M28*70.697</f>
        <v>3.9239780708333338</v>
      </c>
      <c r="O28" s="58">
        <f t="shared" ref="O28:O91" si="5">N28*2</f>
        <v>7.8479561416666677</v>
      </c>
      <c r="P28" s="56">
        <f t="shared" ref="P28:P65" si="6">O28/F28</f>
        <v>0.78479561416666677</v>
      </c>
      <c r="Q28" s="57"/>
      <c r="R28" s="56"/>
      <c r="S28" s="58"/>
      <c r="T28" s="63">
        <f>D30</f>
        <v>26</v>
      </c>
      <c r="U28" s="64">
        <f>Q30</f>
        <v>0.74661923416666676</v>
      </c>
    </row>
    <row r="29" spans="1:24" ht="14.45" customHeight="1" x14ac:dyDescent="0.25">
      <c r="A29" s="18">
        <v>27</v>
      </c>
      <c r="B29" s="30">
        <v>10</v>
      </c>
      <c r="D29" s="80"/>
      <c r="E29" s="22" t="s">
        <v>52</v>
      </c>
      <c r="F29" s="22">
        <f>F27</f>
        <v>10</v>
      </c>
      <c r="G29">
        <v>7.4999999999999997E-2</v>
      </c>
      <c r="H29">
        <v>4.0399999999999998E-2</v>
      </c>
      <c r="I29" s="56"/>
      <c r="J29" s="57">
        <f t="shared" si="1"/>
        <v>3.9016666666666665E-2</v>
      </c>
      <c r="K29" s="58">
        <f t="shared" si="2"/>
        <v>5.3500000000000006E-3</v>
      </c>
      <c r="L29" s="56"/>
      <c r="M29" s="62">
        <f t="shared" si="3"/>
        <v>3.7679166666666666E-2</v>
      </c>
      <c r="N29" s="56">
        <f t="shared" si="4"/>
        <v>2.6638040458333334</v>
      </c>
      <c r="O29" s="58">
        <f t="shared" si="5"/>
        <v>5.3276080916666668</v>
      </c>
      <c r="P29" s="56">
        <f t="shared" si="6"/>
        <v>0.53276080916666668</v>
      </c>
      <c r="Q29" s="57"/>
      <c r="R29" s="56"/>
      <c r="S29" s="58"/>
      <c r="T29" s="63">
        <f>D33</f>
        <v>27</v>
      </c>
      <c r="U29" s="64">
        <f>Q33</f>
        <v>1.3339934758333332</v>
      </c>
    </row>
    <row r="30" spans="1:24" ht="14.45" customHeight="1" x14ac:dyDescent="0.25">
      <c r="A30" s="18">
        <v>28</v>
      </c>
      <c r="B30" s="30">
        <v>10</v>
      </c>
      <c r="D30" s="78">
        <f>A28</f>
        <v>26</v>
      </c>
      <c r="E30" s="12" t="s">
        <v>53</v>
      </c>
      <c r="F30" s="12">
        <f>B28</f>
        <v>10</v>
      </c>
      <c r="G30">
        <v>0.106</v>
      </c>
      <c r="H30">
        <v>4.2999999999999997E-2</v>
      </c>
      <c r="I30" s="56"/>
      <c r="J30" s="57">
        <f t="shared" si="1"/>
        <v>7.0016666666666671E-2</v>
      </c>
      <c r="K30" s="58">
        <f t="shared" si="2"/>
        <v>7.9499999999999987E-3</v>
      </c>
      <c r="L30" s="56"/>
      <c r="M30" s="62">
        <f t="shared" si="3"/>
        <v>6.8029166666666668E-2</v>
      </c>
      <c r="N30" s="56">
        <f t="shared" si="4"/>
        <v>4.8094579958333332</v>
      </c>
      <c r="O30" s="58">
        <f t="shared" si="5"/>
        <v>9.6189159916666664</v>
      </c>
      <c r="P30" s="56">
        <f t="shared" si="6"/>
        <v>0.96189159916666667</v>
      </c>
      <c r="Q30" s="57">
        <f>AVERAGE(P30:P32)</f>
        <v>0.74661923416666676</v>
      </c>
      <c r="R30" s="56">
        <f>STDEV(P30:P32)</f>
        <v>0.18646157844312447</v>
      </c>
      <c r="S30" s="58">
        <f>R30/Q30*100</f>
        <v>24.97411932485802</v>
      </c>
      <c r="T30" s="63">
        <f>D36</f>
        <v>28</v>
      </c>
      <c r="U30" s="64">
        <f>Q36</f>
        <v>0.20307713250000003</v>
      </c>
    </row>
    <row r="31" spans="1:24" ht="14.45" customHeight="1" x14ac:dyDescent="0.25">
      <c r="A31" s="18">
        <v>29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8.2900000000000001E-2</v>
      </c>
      <c r="H31">
        <v>4.1000000000000002E-2</v>
      </c>
      <c r="I31" s="56"/>
      <c r="J31" s="57">
        <f t="shared" si="1"/>
        <v>4.6916666666666669E-2</v>
      </c>
      <c r="K31" s="58">
        <f t="shared" si="2"/>
        <v>5.9500000000000039E-3</v>
      </c>
      <c r="L31" s="56"/>
      <c r="M31" s="62">
        <f t="shared" si="3"/>
        <v>4.5429166666666666E-2</v>
      </c>
      <c r="N31" s="56">
        <f t="shared" si="4"/>
        <v>3.2117057958333333</v>
      </c>
      <c r="O31" s="58">
        <f t="shared" si="5"/>
        <v>6.4234115916666665</v>
      </c>
      <c r="P31" s="56">
        <f t="shared" si="6"/>
        <v>0.64234115916666668</v>
      </c>
      <c r="Q31" s="57"/>
      <c r="R31" s="56"/>
      <c r="S31" s="58"/>
      <c r="T31" s="63">
        <f>D39</f>
        <v>29</v>
      </c>
      <c r="U31" s="64">
        <f>Q39</f>
        <v>1.3728768258333333</v>
      </c>
    </row>
    <row r="32" spans="1:24" ht="14.45" customHeight="1" x14ac:dyDescent="0.25">
      <c r="A32" s="18">
        <v>30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8.2500000000000004E-2</v>
      </c>
      <c r="H32">
        <v>4.1300000000000003E-2</v>
      </c>
      <c r="I32" s="56"/>
      <c r="J32" s="57">
        <f t="shared" si="1"/>
        <v>4.6516666666666671E-2</v>
      </c>
      <c r="K32" s="58">
        <f t="shared" si="2"/>
        <v>6.2500000000000056E-3</v>
      </c>
      <c r="L32" s="56"/>
      <c r="M32" s="62">
        <f t="shared" si="3"/>
        <v>4.495416666666667E-2</v>
      </c>
      <c r="N32" s="56">
        <f t="shared" si="4"/>
        <v>3.1781247208333339</v>
      </c>
      <c r="O32" s="58">
        <f t="shared" si="5"/>
        <v>6.3562494416666677</v>
      </c>
      <c r="P32" s="56">
        <f t="shared" si="6"/>
        <v>0.63562494416666682</v>
      </c>
      <c r="Q32" s="57"/>
      <c r="R32" s="56"/>
      <c r="S32" s="58"/>
      <c r="T32" s="63">
        <f>D42</f>
        <v>30</v>
      </c>
      <c r="U32" s="64">
        <f>Q42</f>
        <v>2.4706834075000006</v>
      </c>
    </row>
    <row r="33" spans="1:21" ht="14.45" customHeight="1" x14ac:dyDescent="0.25">
      <c r="A33" s="18">
        <v>31</v>
      </c>
      <c r="B33" s="30">
        <v>10</v>
      </c>
      <c r="D33" s="78">
        <f>A29</f>
        <v>27</v>
      </c>
      <c r="E33" s="12" t="s">
        <v>56</v>
      </c>
      <c r="F33" s="12">
        <f>B29</f>
        <v>10</v>
      </c>
      <c r="G33">
        <v>0.1857</v>
      </c>
      <c r="H33">
        <v>0.1002</v>
      </c>
      <c r="I33" s="56"/>
      <c r="J33" s="57">
        <f t="shared" si="1"/>
        <v>0.14971666666666666</v>
      </c>
      <c r="K33" s="58">
        <f t="shared" si="2"/>
        <v>6.515E-2</v>
      </c>
      <c r="L33" s="56"/>
      <c r="M33" s="62">
        <f t="shared" si="3"/>
        <v>0.13342916666666665</v>
      </c>
      <c r="N33" s="56">
        <f t="shared" si="4"/>
        <v>9.4330417958333328</v>
      </c>
      <c r="O33" s="58">
        <f t="shared" si="5"/>
        <v>18.866083591666666</v>
      </c>
      <c r="P33" s="56">
        <f t="shared" si="6"/>
        <v>1.8866083591666665</v>
      </c>
      <c r="Q33" s="57">
        <f>AVERAGE(P33:P35)</f>
        <v>1.3339934758333332</v>
      </c>
      <c r="R33" s="56">
        <f>STDEV(P33:P35)</f>
        <v>0.48036222794118677</v>
      </c>
      <c r="S33" s="58">
        <f>R33/Q33*100</f>
        <v>36.00933862447183</v>
      </c>
      <c r="T33" s="63">
        <f>D45</f>
        <v>31</v>
      </c>
      <c r="U33" s="64">
        <f>Q45</f>
        <v>0.98757817583333329</v>
      </c>
    </row>
    <row r="34" spans="1:21" ht="14.45" customHeight="1" x14ac:dyDescent="0.25">
      <c r="A34" s="18">
        <v>32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0.1089</v>
      </c>
      <c r="H34">
        <v>3.9199999999999999E-2</v>
      </c>
      <c r="I34" s="56"/>
      <c r="J34" s="57">
        <f t="shared" si="1"/>
        <v>7.2916666666666657E-2</v>
      </c>
      <c r="K34" s="58">
        <f t="shared" si="2"/>
        <v>4.1500000000000009E-3</v>
      </c>
      <c r="L34" s="56"/>
      <c r="M34" s="62">
        <f t="shared" si="3"/>
        <v>7.1879166666666661E-2</v>
      </c>
      <c r="N34" s="56">
        <f t="shared" si="4"/>
        <v>5.0816414458333332</v>
      </c>
      <c r="O34" s="58">
        <f t="shared" si="5"/>
        <v>10.163282891666666</v>
      </c>
      <c r="P34" s="56">
        <f t="shared" si="6"/>
        <v>1.0163282891666667</v>
      </c>
      <c r="Q34" s="57"/>
      <c r="R34" s="56"/>
      <c r="S34" s="58"/>
      <c r="T34" s="63">
        <f>D48</f>
        <v>32</v>
      </c>
      <c r="U34" s="64">
        <f>Q48</f>
        <v>0.5765929491666667</v>
      </c>
    </row>
    <row r="35" spans="1:21" ht="14.45" customHeight="1" x14ac:dyDescent="0.25">
      <c r="A35" s="18">
        <v>33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0.1153</v>
      </c>
      <c r="H35">
        <v>4.1399999999999999E-2</v>
      </c>
      <c r="I35" s="56"/>
      <c r="J35" s="57">
        <f t="shared" si="1"/>
        <v>7.9316666666666674E-2</v>
      </c>
      <c r="K35" s="58">
        <f t="shared" si="2"/>
        <v>6.3500000000000015E-3</v>
      </c>
      <c r="L35" s="56"/>
      <c r="M35" s="62">
        <f t="shared" si="3"/>
        <v>7.7729166666666669E-2</v>
      </c>
      <c r="N35" s="56">
        <f t="shared" si="4"/>
        <v>5.4952188958333341</v>
      </c>
      <c r="O35" s="58">
        <f t="shared" si="5"/>
        <v>10.990437791666668</v>
      </c>
      <c r="P35" s="56">
        <f t="shared" si="6"/>
        <v>1.0990437791666667</v>
      </c>
      <c r="Q35" s="57"/>
      <c r="R35" s="56"/>
      <c r="S35" s="58"/>
      <c r="T35" s="63">
        <f>D51</f>
        <v>33</v>
      </c>
      <c r="U35" s="64">
        <f>Q51</f>
        <v>0.78479561416666666</v>
      </c>
    </row>
    <row r="36" spans="1:21" ht="14.45" customHeight="1" x14ac:dyDescent="0.25">
      <c r="A36" s="18">
        <v>34</v>
      </c>
      <c r="B36" s="30">
        <v>10</v>
      </c>
      <c r="D36" s="78">
        <f>A30</f>
        <v>28</v>
      </c>
      <c r="E36" s="12" t="s">
        <v>59</v>
      </c>
      <c r="F36" s="12">
        <f>B30</f>
        <v>10</v>
      </c>
      <c r="G36">
        <v>5.3900000000000003E-2</v>
      </c>
      <c r="H36">
        <v>6.4299999999999996E-2</v>
      </c>
      <c r="I36" s="56"/>
      <c r="J36" s="57">
        <f t="shared" si="1"/>
        <v>1.7916666666666671E-2</v>
      </c>
      <c r="K36" s="58">
        <f t="shared" si="2"/>
        <v>2.9249999999999998E-2</v>
      </c>
      <c r="L36" s="56"/>
      <c r="M36" s="62">
        <f t="shared" si="3"/>
        <v>1.0604166666666671E-2</v>
      </c>
      <c r="N36" s="56">
        <f t="shared" si="4"/>
        <v>0.74968277083333368</v>
      </c>
      <c r="O36" s="58">
        <f t="shared" si="5"/>
        <v>1.4993655416666674</v>
      </c>
      <c r="P36" s="56">
        <f t="shared" si="6"/>
        <v>0.14993655416666674</v>
      </c>
      <c r="Q36" s="57">
        <f>AVERAGE(P36:P38)</f>
        <v>0.20307713250000003</v>
      </c>
      <c r="R36" s="56">
        <f>STDEV(P36:P38)</f>
        <v>4.7110856212075419E-2</v>
      </c>
      <c r="S36" s="58">
        <f>R36/Q36*100</f>
        <v>23.19850375673165</v>
      </c>
      <c r="T36" s="63">
        <f>D54</f>
        <v>34</v>
      </c>
      <c r="U36" s="64">
        <f>Q54</f>
        <v>0.83522614083333346</v>
      </c>
    </row>
    <row r="37" spans="1:21" ht="14.45" customHeight="1" x14ac:dyDescent="0.25">
      <c r="A37" s="18">
        <v>35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5.1999999999999998E-2</v>
      </c>
      <c r="H37">
        <v>3.6999999999999998E-2</v>
      </c>
      <c r="I37" s="56"/>
      <c r="J37" s="57">
        <f t="shared" si="1"/>
        <v>1.6016666666666665E-2</v>
      </c>
      <c r="K37" s="58">
        <f t="shared" si="2"/>
        <v>1.9500000000000003E-3</v>
      </c>
      <c r="L37" s="56"/>
      <c r="M37" s="62">
        <f t="shared" si="3"/>
        <v>1.5529166666666665E-2</v>
      </c>
      <c r="N37" s="56">
        <f t="shared" si="4"/>
        <v>1.0978654958333334</v>
      </c>
      <c r="O37" s="58">
        <f t="shared" si="5"/>
        <v>2.1957309916666667</v>
      </c>
      <c r="P37" s="56">
        <f t="shared" si="6"/>
        <v>0.21957309916666667</v>
      </c>
      <c r="Q37" s="57"/>
      <c r="R37" s="56"/>
      <c r="S37" s="58"/>
      <c r="T37" s="63">
        <f>D57</f>
        <v>35</v>
      </c>
      <c r="U37" s="64">
        <f>Q57</f>
        <v>1.2439726291666666</v>
      </c>
    </row>
    <row r="38" spans="1:21" ht="14.45" customHeight="1" x14ac:dyDescent="0.25">
      <c r="A38" s="18">
        <v>36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5.3699999999999998E-2</v>
      </c>
      <c r="H38">
        <v>3.8100000000000002E-2</v>
      </c>
      <c r="I38" s="56"/>
      <c r="J38" s="57">
        <f t="shared" si="1"/>
        <v>1.7716666666666665E-2</v>
      </c>
      <c r="K38" s="58">
        <f t="shared" si="2"/>
        <v>3.0500000000000041E-3</v>
      </c>
      <c r="L38" s="56"/>
      <c r="M38" s="62">
        <f t="shared" si="3"/>
        <v>1.6954166666666666E-2</v>
      </c>
      <c r="N38" s="56">
        <f t="shared" si="4"/>
        <v>1.1986087208333334</v>
      </c>
      <c r="O38" s="58">
        <f t="shared" si="5"/>
        <v>2.3972174416666667</v>
      </c>
      <c r="P38" s="56">
        <f t="shared" si="6"/>
        <v>0.23972174416666667</v>
      </c>
      <c r="Q38" s="57"/>
      <c r="R38" s="56"/>
      <c r="S38" s="58"/>
      <c r="T38" s="63">
        <f>D60</f>
        <v>36</v>
      </c>
      <c r="U38" s="64">
        <f>Q60</f>
        <v>0.67981056916666682</v>
      </c>
    </row>
    <row r="39" spans="1:21" ht="14.45" customHeight="1" x14ac:dyDescent="0.25">
      <c r="A39" s="18">
        <v>37</v>
      </c>
      <c r="B39" s="30">
        <v>10</v>
      </c>
      <c r="D39" s="78">
        <f>A31</f>
        <v>29</v>
      </c>
      <c r="E39" s="12" t="s">
        <v>62</v>
      </c>
      <c r="F39" s="12">
        <f>B31</f>
        <v>10</v>
      </c>
      <c r="G39">
        <v>0.17680000000000001</v>
      </c>
      <c r="H39">
        <v>9.7600000000000006E-2</v>
      </c>
      <c r="I39" s="56"/>
      <c r="J39" s="57">
        <f t="shared" si="1"/>
        <v>0.14081666666666667</v>
      </c>
      <c r="K39" s="58">
        <f t="shared" si="2"/>
        <v>6.2550000000000008E-2</v>
      </c>
      <c r="L39" s="56"/>
      <c r="M39" s="62">
        <f t="shared" si="3"/>
        <v>0.12517916666666667</v>
      </c>
      <c r="N39" s="56">
        <f t="shared" si="4"/>
        <v>8.8497915458333338</v>
      </c>
      <c r="O39" s="58">
        <f t="shared" si="5"/>
        <v>17.699583091666668</v>
      </c>
      <c r="P39" s="56">
        <f t="shared" si="6"/>
        <v>1.7699583091666669</v>
      </c>
      <c r="Q39" s="57">
        <f>AVERAGE(P39:P41)</f>
        <v>1.3728768258333333</v>
      </c>
      <c r="R39" s="56">
        <f>STDEV(P39:P41)</f>
        <v>0.34389155403305016</v>
      </c>
      <c r="S39" s="58">
        <f>R39/Q39*100</f>
        <v>25.048973626917238</v>
      </c>
      <c r="T39" s="63">
        <f>D63</f>
        <v>37</v>
      </c>
      <c r="U39" s="64">
        <f>Q63</f>
        <v>7.7140442408333341</v>
      </c>
    </row>
    <row r="40" spans="1:21" ht="14.45" customHeight="1" x14ac:dyDescent="0.25">
      <c r="A40" s="18">
        <v>38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0.1207</v>
      </c>
      <c r="H40">
        <v>4.1000000000000002E-2</v>
      </c>
      <c r="I40" s="56"/>
      <c r="J40" s="57">
        <f t="shared" si="1"/>
        <v>8.4716666666666662E-2</v>
      </c>
      <c r="K40" s="58">
        <f t="shared" si="2"/>
        <v>5.9500000000000039E-3</v>
      </c>
      <c r="L40" s="56"/>
      <c r="M40" s="62">
        <f t="shared" si="3"/>
        <v>8.322916666666666E-2</v>
      </c>
      <c r="N40" s="56">
        <f t="shared" si="4"/>
        <v>5.8840523958333328</v>
      </c>
      <c r="O40" s="58">
        <f t="shared" si="5"/>
        <v>11.768104791666666</v>
      </c>
      <c r="P40" s="56">
        <f t="shared" si="6"/>
        <v>1.1768104791666665</v>
      </c>
      <c r="Q40" s="57"/>
      <c r="R40" s="56"/>
      <c r="S40" s="58"/>
      <c r="T40" s="63">
        <f>D69</f>
        <v>38</v>
      </c>
      <c r="U40" s="64">
        <f>Q66</f>
        <v>0.29062358416666667</v>
      </c>
    </row>
    <row r="41" spans="1:21" ht="14.45" customHeight="1" x14ac:dyDescent="0.25">
      <c r="A41" s="18">
        <v>39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0.1202</v>
      </c>
      <c r="H41">
        <v>4.0399999999999998E-2</v>
      </c>
      <c r="I41" s="56"/>
      <c r="J41" s="57">
        <f t="shared" si="1"/>
        <v>8.4216666666666662E-2</v>
      </c>
      <c r="K41" s="58">
        <f t="shared" si="2"/>
        <v>5.3500000000000006E-3</v>
      </c>
      <c r="L41" s="56"/>
      <c r="M41" s="62">
        <f t="shared" si="3"/>
        <v>8.2879166666666657E-2</v>
      </c>
      <c r="N41" s="56">
        <f t="shared" si="4"/>
        <v>5.8593084458333324</v>
      </c>
      <c r="O41" s="58">
        <f t="shared" si="5"/>
        <v>11.718616891666665</v>
      </c>
      <c r="P41" s="56">
        <f t="shared" si="6"/>
        <v>1.1718616891666664</v>
      </c>
      <c r="Q41" s="57"/>
      <c r="R41" s="56"/>
      <c r="S41" s="58"/>
      <c r="T41" s="63">
        <f>D72</f>
        <v>39</v>
      </c>
      <c r="U41" s="64">
        <f>Q69</f>
        <v>0.83286957416666674</v>
      </c>
    </row>
    <row r="42" spans="1:21" ht="14.45" customHeight="1" x14ac:dyDescent="0.25">
      <c r="A42" s="18">
        <v>40</v>
      </c>
      <c r="B42" s="30">
        <v>10</v>
      </c>
      <c r="D42" s="78">
        <f>A32</f>
        <v>30</v>
      </c>
      <c r="E42" s="12" t="s">
        <v>65</v>
      </c>
      <c r="F42" s="12">
        <f>B32</f>
        <v>10</v>
      </c>
      <c r="G42">
        <v>0.21390000000000001</v>
      </c>
      <c r="H42">
        <v>4.6600000000000003E-2</v>
      </c>
      <c r="I42" s="56"/>
      <c r="J42" s="57">
        <f t="shared" si="1"/>
        <v>0.17791666666666667</v>
      </c>
      <c r="K42" s="58">
        <f t="shared" si="2"/>
        <v>1.1550000000000005E-2</v>
      </c>
      <c r="L42" s="56"/>
      <c r="M42" s="62">
        <f t="shared" si="3"/>
        <v>0.17502916666666668</v>
      </c>
      <c r="N42" s="56">
        <f t="shared" si="4"/>
        <v>12.374036995833334</v>
      </c>
      <c r="O42" s="58">
        <f t="shared" si="5"/>
        <v>24.748073991666669</v>
      </c>
      <c r="P42" s="56">
        <f t="shared" si="6"/>
        <v>2.474807399166667</v>
      </c>
      <c r="Q42" s="57">
        <f>AVERAGE(P42:P44)</f>
        <v>2.4706834075000006</v>
      </c>
      <c r="R42" s="56">
        <f>STDEV(P42:P44)</f>
        <v>1.3387393689626661E-2</v>
      </c>
      <c r="S42" s="58">
        <f>R42/Q42*100</f>
        <v>0.5418498237770133</v>
      </c>
      <c r="T42" s="63">
        <f>D75</f>
        <v>40</v>
      </c>
      <c r="U42" s="64">
        <f>Q72</f>
        <v>0.40963020083333329</v>
      </c>
    </row>
    <row r="43" spans="1:21" ht="14.45" customHeight="1" x14ac:dyDescent="0.25">
      <c r="A43" s="18">
        <v>41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0.21060000000000001</v>
      </c>
      <c r="H43">
        <v>3.8800000000000001E-2</v>
      </c>
      <c r="I43" s="56"/>
      <c r="J43" s="57">
        <f t="shared" si="1"/>
        <v>0.17461666666666667</v>
      </c>
      <c r="K43" s="58">
        <f t="shared" si="2"/>
        <v>3.7500000000000033E-3</v>
      </c>
      <c r="L43" s="56"/>
      <c r="M43" s="62">
        <f t="shared" si="3"/>
        <v>0.17367916666666666</v>
      </c>
      <c r="N43" s="56">
        <f t="shared" si="4"/>
        <v>12.278596045833334</v>
      </c>
      <c r="O43" s="58">
        <f t="shared" si="5"/>
        <v>24.557192091666668</v>
      </c>
      <c r="P43" s="56">
        <f t="shared" si="6"/>
        <v>2.4557192091666669</v>
      </c>
      <c r="Q43" s="57"/>
      <c r="R43" s="56"/>
      <c r="S43" s="58"/>
      <c r="T43" s="63">
        <f>D78</f>
        <v>41</v>
      </c>
      <c r="U43" s="64">
        <f>Q75</f>
        <v>1.6524834608333336</v>
      </c>
    </row>
    <row r="44" spans="1:21" ht="14.45" customHeight="1" x14ac:dyDescent="0.25">
      <c r="A44" s="18">
        <v>42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0.2122</v>
      </c>
      <c r="H44">
        <v>3.7900000000000003E-2</v>
      </c>
      <c r="I44" s="56"/>
      <c r="J44" s="57">
        <f t="shared" si="1"/>
        <v>0.17621666666666666</v>
      </c>
      <c r="K44" s="58">
        <f t="shared" si="2"/>
        <v>2.8500000000000053E-3</v>
      </c>
      <c r="L44" s="56"/>
      <c r="M44" s="62">
        <f t="shared" si="3"/>
        <v>0.17550416666666666</v>
      </c>
      <c r="N44" s="56">
        <f t="shared" si="4"/>
        <v>12.407618070833333</v>
      </c>
      <c r="O44" s="58">
        <f t="shared" si="5"/>
        <v>24.815236141666666</v>
      </c>
      <c r="P44" s="56">
        <f t="shared" si="6"/>
        <v>2.4815236141666666</v>
      </c>
      <c r="Q44" s="57"/>
      <c r="R44" s="56"/>
      <c r="S44" s="58"/>
      <c r="T44" s="63">
        <f>D81</f>
        <v>42</v>
      </c>
      <c r="U44" s="64">
        <f>Q78</f>
        <v>0.59497416916666668</v>
      </c>
    </row>
    <row r="45" spans="1:21" ht="14.45" customHeight="1" x14ac:dyDescent="0.25">
      <c r="A45" s="18">
        <v>43</v>
      </c>
      <c r="B45" s="30">
        <v>10</v>
      </c>
      <c r="D45" s="78">
        <f>A33</f>
        <v>31</v>
      </c>
      <c r="E45" s="12" t="s">
        <v>68</v>
      </c>
      <c r="F45" s="12">
        <f>B33</f>
        <v>10</v>
      </c>
      <c r="G45">
        <v>0.1071</v>
      </c>
      <c r="H45">
        <v>4.3200000000000002E-2</v>
      </c>
      <c r="I45" s="56"/>
      <c r="J45" s="57">
        <f t="shared" si="1"/>
        <v>7.1116666666666661E-2</v>
      </c>
      <c r="K45" s="58">
        <f t="shared" si="2"/>
        <v>8.1500000000000045E-3</v>
      </c>
      <c r="L45" s="56"/>
      <c r="M45" s="62">
        <f t="shared" si="3"/>
        <v>6.9079166666666664E-2</v>
      </c>
      <c r="N45" s="56">
        <f t="shared" si="4"/>
        <v>4.8836898458333335</v>
      </c>
      <c r="O45" s="58">
        <f t="shared" si="5"/>
        <v>9.7673796916666671</v>
      </c>
      <c r="P45" s="56">
        <f t="shared" si="6"/>
        <v>0.97673796916666666</v>
      </c>
      <c r="Q45" s="57">
        <f>AVERAGE(P45:P47)</f>
        <v>0.98757817583333329</v>
      </c>
      <c r="R45" s="56">
        <f>STDEV(P45:P47)</f>
        <v>1.6678849265439527E-2</v>
      </c>
      <c r="S45" s="58">
        <f>R45/Q45*100</f>
        <v>1.6888636943972222</v>
      </c>
      <c r="T45" s="63">
        <f>D84</f>
        <v>43</v>
      </c>
      <c r="U45" s="64">
        <f>Q81</f>
        <v>1.3071286158333333</v>
      </c>
    </row>
    <row r="46" spans="1:21" ht="14.45" customHeight="1" x14ac:dyDescent="0.25">
      <c r="A46" s="18">
        <v>44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0.1062</v>
      </c>
      <c r="H46">
        <v>3.8899999999999997E-2</v>
      </c>
      <c r="I46" s="56"/>
      <c r="J46" s="57">
        <f t="shared" si="1"/>
        <v>7.0216666666666677E-2</v>
      </c>
      <c r="K46" s="58">
        <f t="shared" si="2"/>
        <v>3.8499999999999993E-3</v>
      </c>
      <c r="L46" s="56"/>
      <c r="M46" s="62">
        <f t="shared" si="3"/>
        <v>6.9254166666666672E-2</v>
      </c>
      <c r="N46" s="56">
        <f t="shared" si="4"/>
        <v>4.8960618208333342</v>
      </c>
      <c r="O46" s="58">
        <f t="shared" si="5"/>
        <v>9.7921236416666684</v>
      </c>
      <c r="P46" s="56">
        <f t="shared" si="6"/>
        <v>0.97921236416666679</v>
      </c>
      <c r="Q46" s="57"/>
      <c r="R46" s="56"/>
      <c r="S46" s="58"/>
      <c r="T46" s="63">
        <f>D87</f>
        <v>44</v>
      </c>
      <c r="U46" s="64">
        <f>Q84</f>
        <v>1.0935058475000001</v>
      </c>
    </row>
    <row r="47" spans="1:21" ht="14.45" customHeight="1" x14ac:dyDescent="0.25">
      <c r="A47" s="18">
        <v>45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0.1084</v>
      </c>
      <c r="H47">
        <v>3.9899999999999998E-2</v>
      </c>
      <c r="I47" s="56"/>
      <c r="J47" s="57">
        <f t="shared" si="1"/>
        <v>7.2416666666666657E-2</v>
      </c>
      <c r="K47" s="58">
        <f t="shared" si="2"/>
        <v>4.8500000000000001E-3</v>
      </c>
      <c r="L47" s="56"/>
      <c r="M47" s="62">
        <f t="shared" si="3"/>
        <v>7.1204166666666652E-2</v>
      </c>
      <c r="N47" s="56">
        <f t="shared" si="4"/>
        <v>5.0339209708333321</v>
      </c>
      <c r="O47" s="58">
        <f t="shared" si="5"/>
        <v>10.067841941666664</v>
      </c>
      <c r="P47" s="56">
        <f t="shared" si="6"/>
        <v>1.0067841941666664</v>
      </c>
      <c r="Q47" s="57"/>
      <c r="R47" s="56"/>
      <c r="S47" s="58"/>
      <c r="T47" s="63">
        <f>D90</f>
        <v>45</v>
      </c>
      <c r="U47" s="64">
        <f>Q87</f>
        <v>0.58012779916666668</v>
      </c>
    </row>
    <row r="48" spans="1:21" ht="14.45" customHeight="1" x14ac:dyDescent="0.25">
      <c r="A48" s="18">
        <v>46</v>
      </c>
      <c r="B48" s="30">
        <v>10</v>
      </c>
      <c r="D48" s="78">
        <f>A34</f>
        <v>32</v>
      </c>
      <c r="E48" s="12" t="s">
        <v>71</v>
      </c>
      <c r="F48" s="12">
        <f>B34</f>
        <v>10</v>
      </c>
      <c r="G48">
        <v>8.7800000000000003E-2</v>
      </c>
      <c r="H48">
        <v>3.8300000000000001E-2</v>
      </c>
      <c r="I48" s="56"/>
      <c r="J48" s="57">
        <f t="shared" si="1"/>
        <v>5.1816666666666671E-2</v>
      </c>
      <c r="K48" s="58">
        <f t="shared" si="2"/>
        <v>3.2500000000000029E-3</v>
      </c>
      <c r="L48" s="56"/>
      <c r="M48" s="62">
        <f t="shared" si="3"/>
        <v>5.100416666666667E-2</v>
      </c>
      <c r="N48" s="56">
        <f t="shared" si="4"/>
        <v>3.6058415708333338</v>
      </c>
      <c r="O48" s="58">
        <f t="shared" si="5"/>
        <v>7.2116831416666676</v>
      </c>
      <c r="P48" s="56">
        <f t="shared" si="6"/>
        <v>0.72116831416666671</v>
      </c>
      <c r="Q48" s="57">
        <f>AVERAGE(P48:P50)</f>
        <v>0.5765929491666667</v>
      </c>
      <c r="R48" s="56">
        <f>STDEV(P48:P50)</f>
        <v>0.12521604287980945</v>
      </c>
      <c r="S48" s="58">
        <f>R48/Q48*100</f>
        <v>21.716540769494426</v>
      </c>
      <c r="T48" s="63">
        <f>D96</f>
        <v>46</v>
      </c>
      <c r="U48" s="64">
        <f>Q90</f>
        <v>1.5437279091666667</v>
      </c>
    </row>
    <row r="49" spans="1:22" ht="14.45" customHeight="1" x14ac:dyDescent="0.25">
      <c r="A49" s="18">
        <v>47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7.2700000000000001E-2</v>
      </c>
      <c r="H49">
        <v>3.9699999999999999E-2</v>
      </c>
      <c r="I49" s="56"/>
      <c r="J49" s="57">
        <f t="shared" si="1"/>
        <v>3.6716666666666668E-2</v>
      </c>
      <c r="K49" s="58">
        <f t="shared" si="2"/>
        <v>4.6500000000000014E-3</v>
      </c>
      <c r="L49" s="56"/>
      <c r="M49" s="62">
        <f t="shared" si="3"/>
        <v>3.5554166666666664E-2</v>
      </c>
      <c r="N49" s="56">
        <f t="shared" si="4"/>
        <v>2.5135729208333331</v>
      </c>
      <c r="O49" s="58">
        <f t="shared" si="5"/>
        <v>5.0271458416666661</v>
      </c>
      <c r="P49" s="56">
        <f t="shared" si="6"/>
        <v>0.50271458416666659</v>
      </c>
      <c r="Q49" s="57"/>
      <c r="R49" s="56"/>
      <c r="S49" s="58"/>
      <c r="T49" s="63">
        <f>D99</f>
        <v>47</v>
      </c>
      <c r="U49" s="64">
        <f>Q93</f>
        <v>6.4499818808333345</v>
      </c>
    </row>
    <row r="50" spans="1:22" ht="14.45" customHeight="1" x14ac:dyDescent="0.25">
      <c r="A50" s="18">
        <v>48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7.2700000000000001E-2</v>
      </c>
      <c r="H50">
        <v>3.8800000000000001E-2</v>
      </c>
      <c r="I50" s="56"/>
      <c r="J50" s="57">
        <f t="shared" si="1"/>
        <v>3.6716666666666668E-2</v>
      </c>
      <c r="K50" s="58">
        <f t="shared" si="2"/>
        <v>3.7500000000000033E-3</v>
      </c>
      <c r="L50" s="56"/>
      <c r="M50" s="62">
        <f t="shared" si="3"/>
        <v>3.5779166666666667E-2</v>
      </c>
      <c r="N50" s="56">
        <f t="shared" si="4"/>
        <v>2.5294797458333336</v>
      </c>
      <c r="O50" s="58">
        <f t="shared" si="5"/>
        <v>5.0589594916666671</v>
      </c>
      <c r="P50" s="56">
        <f t="shared" si="6"/>
        <v>0.50589594916666669</v>
      </c>
      <c r="Q50" s="57"/>
      <c r="R50" s="56"/>
      <c r="S50" s="58"/>
      <c r="T50" s="67">
        <f>D102</f>
        <v>48</v>
      </c>
      <c r="U50" s="68">
        <f>Q96</f>
        <v>0.41599293083333339</v>
      </c>
    </row>
    <row r="51" spans="1:22" ht="14.45" customHeight="1" x14ac:dyDescent="0.25">
      <c r="D51" s="78">
        <f>A35</f>
        <v>33</v>
      </c>
      <c r="E51" s="12" t="s">
        <v>74</v>
      </c>
      <c r="F51" s="12">
        <f>B35</f>
        <v>10</v>
      </c>
      <c r="G51">
        <v>9.0499999999999997E-2</v>
      </c>
      <c r="H51">
        <v>4.4699999999999997E-2</v>
      </c>
      <c r="I51" s="56"/>
      <c r="J51" s="57">
        <f t="shared" si="1"/>
        <v>5.4516666666666665E-2</v>
      </c>
      <c r="K51" s="58">
        <f t="shared" si="2"/>
        <v>9.6499999999999989E-3</v>
      </c>
      <c r="L51" s="56"/>
      <c r="M51" s="62">
        <f t="shared" si="3"/>
        <v>5.2104166666666667E-2</v>
      </c>
      <c r="N51" s="56">
        <f t="shared" si="4"/>
        <v>3.6836082708333335</v>
      </c>
      <c r="O51" s="58">
        <f t="shared" si="5"/>
        <v>7.3672165416666671</v>
      </c>
      <c r="P51" s="56">
        <f t="shared" si="6"/>
        <v>0.73672165416666668</v>
      </c>
      <c r="Q51" s="57">
        <f>AVERAGE(P51:P53)</f>
        <v>0.78479561416666666</v>
      </c>
      <c r="R51" s="56">
        <f>STDEV(P51:P53)</f>
        <v>6.8532345944942633E-2</v>
      </c>
      <c r="S51" s="58">
        <f>R51/Q51*100</f>
        <v>8.7325087841773357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9.8599999999999993E-2</v>
      </c>
      <c r="H52">
        <v>4.1300000000000003E-2</v>
      </c>
      <c r="I52" s="56"/>
      <c r="J52" s="57">
        <f t="shared" si="1"/>
        <v>6.2616666666666654E-2</v>
      </c>
      <c r="K52" s="58">
        <f t="shared" si="2"/>
        <v>6.2500000000000056E-3</v>
      </c>
      <c r="L52" s="56"/>
      <c r="M52" s="62">
        <f t="shared" si="3"/>
        <v>6.1054166666666652E-2</v>
      </c>
      <c r="N52" s="56">
        <f t="shared" si="4"/>
        <v>4.3163464208333329</v>
      </c>
      <c r="O52" s="58">
        <f t="shared" si="5"/>
        <v>8.6326928416666657</v>
      </c>
      <c r="P52" s="56">
        <f t="shared" si="6"/>
        <v>0.8632692841666666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9.0399999999999994E-2</v>
      </c>
      <c r="H53">
        <v>3.9300000000000002E-2</v>
      </c>
      <c r="I53" s="56"/>
      <c r="J53" s="57">
        <f t="shared" si="1"/>
        <v>5.4416666666666662E-2</v>
      </c>
      <c r="K53" s="58">
        <f t="shared" si="2"/>
        <v>4.2500000000000038E-3</v>
      </c>
      <c r="L53" s="56"/>
      <c r="M53" s="62">
        <f t="shared" si="3"/>
        <v>5.3354166666666661E-2</v>
      </c>
      <c r="N53" s="56">
        <f t="shared" si="4"/>
        <v>3.7719795208333329</v>
      </c>
      <c r="O53" s="58">
        <f t="shared" si="5"/>
        <v>7.5439590416666658</v>
      </c>
      <c r="P53" s="56">
        <f t="shared" si="6"/>
        <v>0.75439590416666658</v>
      </c>
      <c r="Q53" s="57"/>
      <c r="R53" s="56"/>
      <c r="S53" s="58"/>
      <c r="T53" s="56"/>
    </row>
    <row r="54" spans="1:22" ht="14.45" customHeight="1" x14ac:dyDescent="0.25">
      <c r="D54" s="78">
        <f>A36</f>
        <v>34</v>
      </c>
      <c r="E54" s="12" t="s">
        <v>77</v>
      </c>
      <c r="F54" s="12">
        <f>B36</f>
        <v>10</v>
      </c>
      <c r="G54">
        <v>0.12130000000000001</v>
      </c>
      <c r="H54">
        <v>8.3199999999999996E-2</v>
      </c>
      <c r="I54" s="56"/>
      <c r="J54" s="57">
        <f t="shared" si="1"/>
        <v>8.531666666666668E-2</v>
      </c>
      <c r="K54" s="58">
        <f t="shared" si="2"/>
        <v>4.8149999999999998E-2</v>
      </c>
      <c r="L54" s="56"/>
      <c r="M54" s="62">
        <f t="shared" si="3"/>
        <v>7.3279166666666673E-2</v>
      </c>
      <c r="N54" s="56">
        <f t="shared" si="4"/>
        <v>5.1806172458333339</v>
      </c>
      <c r="O54" s="58">
        <f t="shared" si="5"/>
        <v>10.361234491666668</v>
      </c>
      <c r="P54" s="56">
        <f t="shared" si="6"/>
        <v>1.0361234491666669</v>
      </c>
      <c r="Q54" s="57">
        <f>AVERAGE(P54:P56)</f>
        <v>0.83522614083333346</v>
      </c>
      <c r="R54" s="56">
        <f>STDEV(P54:P56)</f>
        <v>0.17443413279108727</v>
      </c>
      <c r="S54" s="58">
        <f>R54/Q54*100</f>
        <v>20.884659167521793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9.01E-2</v>
      </c>
      <c r="H55">
        <v>4.0099999999999997E-2</v>
      </c>
      <c r="I55" s="56"/>
      <c r="J55" s="57">
        <f t="shared" si="1"/>
        <v>5.4116666666666667E-2</v>
      </c>
      <c r="K55" s="58">
        <f t="shared" si="2"/>
        <v>5.0499999999999989E-3</v>
      </c>
      <c r="L55" s="56"/>
      <c r="M55" s="62">
        <f t="shared" si="3"/>
        <v>5.2854166666666667E-2</v>
      </c>
      <c r="N55" s="56">
        <f t="shared" si="4"/>
        <v>3.7366310208333333</v>
      </c>
      <c r="O55" s="58">
        <f t="shared" si="5"/>
        <v>7.4732620416666666</v>
      </c>
      <c r="P55" s="56">
        <f t="shared" si="6"/>
        <v>0.74732620416666662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8.8200000000000001E-2</v>
      </c>
      <c r="H56">
        <v>3.9600000000000003E-2</v>
      </c>
      <c r="I56" s="56"/>
      <c r="J56" s="57">
        <f t="shared" si="1"/>
        <v>5.2216666666666668E-2</v>
      </c>
      <c r="K56" s="58">
        <f t="shared" si="2"/>
        <v>4.5500000000000054E-3</v>
      </c>
      <c r="L56" s="56"/>
      <c r="M56" s="62">
        <f t="shared" si="3"/>
        <v>5.1079166666666669E-2</v>
      </c>
      <c r="N56" s="56">
        <f t="shared" si="4"/>
        <v>3.6111438458333338</v>
      </c>
      <c r="O56" s="58">
        <f t="shared" si="5"/>
        <v>7.2222876916666676</v>
      </c>
      <c r="P56" s="56">
        <f t="shared" si="6"/>
        <v>0.72222876916666678</v>
      </c>
      <c r="Q56" s="57"/>
      <c r="R56" s="56"/>
      <c r="S56" s="58"/>
      <c r="T56" s="56"/>
    </row>
    <row r="57" spans="1:22" ht="14.45" customHeight="1" x14ac:dyDescent="0.25">
      <c r="D57" s="78">
        <f>A37</f>
        <v>35</v>
      </c>
      <c r="E57" s="12" t="s">
        <v>80</v>
      </c>
      <c r="F57" s="12">
        <f>B37</f>
        <v>10</v>
      </c>
      <c r="G57">
        <v>0.13109999999999999</v>
      </c>
      <c r="H57">
        <v>4.99E-2</v>
      </c>
      <c r="I57" s="56"/>
      <c r="J57" s="57">
        <f t="shared" si="1"/>
        <v>9.5116666666666655E-2</v>
      </c>
      <c r="K57" s="58">
        <f t="shared" si="2"/>
        <v>1.4850000000000002E-2</v>
      </c>
      <c r="L57" s="56"/>
      <c r="M57" s="62">
        <f t="shared" si="3"/>
        <v>9.1404166666666647E-2</v>
      </c>
      <c r="N57" s="56">
        <f t="shared" si="4"/>
        <v>6.4620003708333318</v>
      </c>
      <c r="O57" s="58">
        <f t="shared" si="5"/>
        <v>12.924000741666664</v>
      </c>
      <c r="P57" s="56">
        <f t="shared" si="6"/>
        <v>1.2924000741666664</v>
      </c>
      <c r="Q57" s="57">
        <f>AVERAGE(P57:P59)</f>
        <v>1.2439726291666666</v>
      </c>
      <c r="R57" s="56">
        <f>STDEV(P57:P59)</f>
        <v>4.4917638133010244E-2</v>
      </c>
      <c r="S57" s="58">
        <f>R57/Q57*100</f>
        <v>3.6108220615031077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0.12239999999999999</v>
      </c>
      <c r="H58">
        <v>4.02E-2</v>
      </c>
      <c r="I58" s="56"/>
      <c r="J58" s="57">
        <f t="shared" si="1"/>
        <v>8.6416666666666669E-2</v>
      </c>
      <c r="K58" s="58">
        <f t="shared" si="2"/>
        <v>5.1500000000000018E-3</v>
      </c>
      <c r="L58" s="56"/>
      <c r="M58" s="62">
        <f t="shared" si="3"/>
        <v>8.5129166666666672E-2</v>
      </c>
      <c r="N58" s="56">
        <f t="shared" si="4"/>
        <v>6.018376695833334</v>
      </c>
      <c r="O58" s="58">
        <f t="shared" si="5"/>
        <v>12.036753391666668</v>
      </c>
      <c r="P58" s="56">
        <f t="shared" si="6"/>
        <v>1.2036753391666668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0.125</v>
      </c>
      <c r="H59">
        <v>4.1500000000000002E-2</v>
      </c>
      <c r="I59" s="56"/>
      <c r="J59" s="57">
        <f t="shared" si="1"/>
        <v>8.9016666666666661E-2</v>
      </c>
      <c r="K59" s="58">
        <f t="shared" si="2"/>
        <v>6.4500000000000043E-3</v>
      </c>
      <c r="L59" s="56"/>
      <c r="M59" s="62">
        <f t="shared" si="3"/>
        <v>8.7404166666666658E-2</v>
      </c>
      <c r="N59" s="56">
        <f t="shared" si="4"/>
        <v>6.1792123708333326</v>
      </c>
      <c r="O59" s="58">
        <f t="shared" si="5"/>
        <v>12.358424741666665</v>
      </c>
      <c r="P59" s="56">
        <f t="shared" si="6"/>
        <v>1.2358424741666665</v>
      </c>
      <c r="Q59" s="57"/>
      <c r="R59" s="56"/>
      <c r="S59" s="58"/>
      <c r="T59" s="56"/>
    </row>
    <row r="60" spans="1:22" ht="14.45" customHeight="1" x14ac:dyDescent="0.25">
      <c r="D60" s="78">
        <f>A38</f>
        <v>36</v>
      </c>
      <c r="E60" s="12" t="s">
        <v>83</v>
      </c>
      <c r="F60" s="12">
        <f>B38</f>
        <v>10</v>
      </c>
      <c r="G60">
        <v>8.1199999999999994E-2</v>
      </c>
      <c r="H60">
        <v>3.7499999999999999E-2</v>
      </c>
      <c r="I60" s="56"/>
      <c r="J60" s="57">
        <f t="shared" si="1"/>
        <v>4.5216666666666662E-2</v>
      </c>
      <c r="K60" s="58">
        <f t="shared" si="2"/>
        <v>2.4500000000000008E-3</v>
      </c>
      <c r="L60" s="56"/>
      <c r="M60" s="62">
        <f t="shared" si="3"/>
        <v>4.460416666666666E-2</v>
      </c>
      <c r="N60" s="56">
        <f t="shared" si="4"/>
        <v>3.153380770833333</v>
      </c>
      <c r="O60" s="58">
        <f t="shared" si="5"/>
        <v>6.306761541666666</v>
      </c>
      <c r="P60" s="56">
        <f t="shared" si="6"/>
        <v>0.63067615416666656</v>
      </c>
      <c r="Q60" s="57">
        <f>AVERAGE(P60:P62)</f>
        <v>0.67981056916666682</v>
      </c>
      <c r="R60" s="56">
        <f>STDEV(P60:P62)</f>
        <v>4.6709535185802675E-2</v>
      </c>
      <c r="S60" s="58">
        <f>R60/Q60*100</f>
        <v>6.8709633689662546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8.4900000000000003E-2</v>
      </c>
      <c r="H61">
        <v>3.6900000000000002E-2</v>
      </c>
      <c r="I61" s="56"/>
      <c r="J61" s="57">
        <f t="shared" si="1"/>
        <v>4.8916666666666671E-2</v>
      </c>
      <c r="K61" s="58">
        <f t="shared" si="2"/>
        <v>1.8500000000000044E-3</v>
      </c>
      <c r="L61" s="56"/>
      <c r="M61" s="62">
        <f t="shared" si="3"/>
        <v>4.8454166666666673E-2</v>
      </c>
      <c r="N61" s="56">
        <f t="shared" si="4"/>
        <v>3.4255642208333339</v>
      </c>
      <c r="O61" s="58">
        <f t="shared" si="5"/>
        <v>6.8511284416666678</v>
      </c>
      <c r="P61" s="56">
        <f t="shared" si="6"/>
        <v>0.68511284416666673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8.7800000000000003E-2</v>
      </c>
      <c r="H62">
        <v>3.7600000000000001E-2</v>
      </c>
      <c r="I62" s="56"/>
      <c r="J62" s="57">
        <f t="shared" si="1"/>
        <v>5.1816666666666671E-2</v>
      </c>
      <c r="K62" s="58">
        <f t="shared" si="2"/>
        <v>2.5500000000000037E-3</v>
      </c>
      <c r="L62" s="56"/>
      <c r="M62" s="62">
        <f t="shared" si="3"/>
        <v>5.1179166666666671E-2</v>
      </c>
      <c r="N62" s="56">
        <f t="shared" si="4"/>
        <v>3.618213545833334</v>
      </c>
      <c r="O62" s="58">
        <f t="shared" si="5"/>
        <v>7.236427091666668</v>
      </c>
      <c r="P62" s="56">
        <f t="shared" si="6"/>
        <v>0.72364270916666684</v>
      </c>
      <c r="Q62" s="57"/>
      <c r="R62" s="56"/>
      <c r="S62" s="58"/>
      <c r="T62" s="56"/>
    </row>
    <row r="63" spans="1:22" ht="14.45" customHeight="1" x14ac:dyDescent="0.25">
      <c r="D63" s="78">
        <f>A39</f>
        <v>37</v>
      </c>
      <c r="E63" s="12" t="s">
        <v>86</v>
      </c>
      <c r="F63" s="12">
        <f>B39</f>
        <v>10</v>
      </c>
      <c r="G63">
        <v>0.55900000000000005</v>
      </c>
      <c r="H63">
        <v>0.04</v>
      </c>
      <c r="I63" s="56"/>
      <c r="J63" s="57">
        <f t="shared" si="1"/>
        <v>0.52301666666666669</v>
      </c>
      <c r="K63" s="58">
        <f t="shared" si="2"/>
        <v>4.950000000000003E-3</v>
      </c>
      <c r="L63" s="56"/>
      <c r="M63" s="62">
        <f t="shared" si="3"/>
        <v>0.52177916666666668</v>
      </c>
      <c r="N63" s="56">
        <f t="shared" si="4"/>
        <v>36.888221745833334</v>
      </c>
      <c r="O63" s="58">
        <f t="shared" si="5"/>
        <v>73.776443491666669</v>
      </c>
      <c r="P63" s="56">
        <f t="shared" si="6"/>
        <v>7.3776443491666672</v>
      </c>
      <c r="Q63" s="57">
        <f>AVERAGE(P63:P65)</f>
        <v>7.7140442408333341</v>
      </c>
      <c r="R63" s="56">
        <f>STDEV(P63:P65)</f>
        <v>0.29300566181956639</v>
      </c>
      <c r="S63" s="58">
        <f>R63/Q63*100</f>
        <v>3.798340438191647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0.59850000000000003</v>
      </c>
      <c r="H64">
        <v>4.6399999999999997E-2</v>
      </c>
      <c r="I64" s="56"/>
      <c r="J64" s="57">
        <f t="shared" si="1"/>
        <v>0.56251666666666666</v>
      </c>
      <c r="K64" s="58">
        <f t="shared" si="2"/>
        <v>1.1349999999999999E-2</v>
      </c>
      <c r="L64" s="56"/>
      <c r="M64" s="62">
        <f t="shared" si="3"/>
        <v>0.55967916666666662</v>
      </c>
      <c r="N64" s="56">
        <f t="shared" si="4"/>
        <v>39.567638045833334</v>
      </c>
      <c r="O64" s="58">
        <f t="shared" si="5"/>
        <v>79.135276091666668</v>
      </c>
      <c r="P64" s="56">
        <f t="shared" si="6"/>
        <v>7.9135276091666666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0.59250000000000003</v>
      </c>
      <c r="H65">
        <v>4.0099999999999997E-2</v>
      </c>
      <c r="I65" s="56"/>
      <c r="J65" s="57">
        <f t="shared" si="1"/>
        <v>0.55651666666666666</v>
      </c>
      <c r="K65" s="58">
        <f t="shared" si="2"/>
        <v>5.0499999999999989E-3</v>
      </c>
      <c r="L65" s="56"/>
      <c r="M65" s="62">
        <f t="shared" si="3"/>
        <v>0.5552541666666666</v>
      </c>
      <c r="N65" s="56">
        <f t="shared" si="4"/>
        <v>39.254803820833331</v>
      </c>
      <c r="O65" s="58">
        <f t="shared" si="5"/>
        <v>78.509607641666662</v>
      </c>
      <c r="P65" s="56">
        <f t="shared" si="6"/>
        <v>7.8509607641666666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0.2888</v>
      </c>
      <c r="H66">
        <v>3.61E-2</v>
      </c>
      <c r="I66" s="56"/>
      <c r="J66" s="57">
        <f>G69-$J$14</f>
        <v>1.9216666666666667E-2</v>
      </c>
      <c r="K66" s="58">
        <f>H69-$K$14</f>
        <v>1.9500000000000003E-3</v>
      </c>
      <c r="L66" s="56"/>
      <c r="M66" s="62">
        <f t="shared" si="3"/>
        <v>1.8729166666666665E-2</v>
      </c>
      <c r="N66" s="56">
        <f t="shared" si="4"/>
        <v>1.3240958958333333</v>
      </c>
      <c r="O66" s="58">
        <f t="shared" si="5"/>
        <v>2.6481917916666666</v>
      </c>
      <c r="P66" s="56">
        <f>O66/F69</f>
        <v>0.26481917916666664</v>
      </c>
      <c r="Q66" s="57">
        <f>AVERAGE(P66:P68)</f>
        <v>0.29062358416666667</v>
      </c>
      <c r="R66" s="56">
        <f>STDEV(P66:P68)</f>
        <v>2.2364736435640749E-2</v>
      </c>
      <c r="S66" s="58">
        <f>R66/Q66*100</f>
        <v>7.6954306718669567</v>
      </c>
      <c r="T66" s="56"/>
    </row>
    <row r="67" spans="4:20" ht="14.45" customHeight="1" x14ac:dyDescent="0.25">
      <c r="D67" s="71"/>
      <c r="E67" s="17" t="s">
        <v>126</v>
      </c>
      <c r="F67" s="17"/>
      <c r="G67">
        <v>0.98839999999999995</v>
      </c>
      <c r="H67">
        <v>3.8699999999999998E-2</v>
      </c>
      <c r="I67" s="56"/>
      <c r="J67" s="57">
        <f>G70-$J$14</f>
        <v>2.2216666666666669E-2</v>
      </c>
      <c r="K67" s="58">
        <f>H70-$K$14</f>
        <v>2.7500000000000024E-3</v>
      </c>
      <c r="L67" s="56"/>
      <c r="M67" s="62">
        <f t="shared" si="3"/>
        <v>2.1529166666666669E-2</v>
      </c>
      <c r="N67" s="56">
        <f t="shared" si="4"/>
        <v>1.5220474958333334</v>
      </c>
      <c r="O67" s="58">
        <f t="shared" si="5"/>
        <v>3.0440949916666669</v>
      </c>
      <c r="P67" s="56">
        <f>O67/F70</f>
        <v>0.30440949916666671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1.9495</v>
      </c>
      <c r="H68">
        <v>3.5700000000000003E-2</v>
      </c>
      <c r="I68" s="56"/>
      <c r="J68" s="57">
        <f>G71-$J$14</f>
        <v>2.1716666666666669E-2</v>
      </c>
      <c r="K68" s="58">
        <f>H71-$K$14</f>
        <v>1.2500000000000011E-3</v>
      </c>
      <c r="L68" s="56"/>
      <c r="M68" s="62">
        <f t="shared" si="3"/>
        <v>2.1404166666666669E-2</v>
      </c>
      <c r="N68" s="56">
        <f t="shared" si="4"/>
        <v>1.5132103708333335</v>
      </c>
      <c r="O68" s="58">
        <f t="shared" si="5"/>
        <v>3.0264207416666671</v>
      </c>
      <c r="P68" s="56">
        <f>O68/F71</f>
        <v>0.30264207416666672</v>
      </c>
      <c r="Q68" s="57"/>
      <c r="R68" s="56"/>
      <c r="S68" s="58"/>
      <c r="T68" s="56"/>
    </row>
    <row r="69" spans="4:20" ht="14.45" customHeight="1" x14ac:dyDescent="0.25">
      <c r="D69" s="78">
        <f>A40</f>
        <v>38</v>
      </c>
      <c r="E69" s="12" t="s">
        <v>89</v>
      </c>
      <c r="F69" s="12">
        <f>B40</f>
        <v>10</v>
      </c>
      <c r="G69">
        <v>5.5199999999999999E-2</v>
      </c>
      <c r="H69">
        <v>3.6999999999999998E-2</v>
      </c>
      <c r="I69" s="56"/>
      <c r="J69" s="57">
        <f>G72-$J$14</f>
        <v>5.6416666666666664E-2</v>
      </c>
      <c r="K69" s="58">
        <f>H72-$K$14</f>
        <v>3.5500000000000045E-3</v>
      </c>
      <c r="L69" s="56"/>
      <c r="M69" s="62">
        <f t="shared" si="3"/>
        <v>5.5529166666666664E-2</v>
      </c>
      <c r="N69" s="56">
        <f t="shared" si="4"/>
        <v>3.9257454958333331</v>
      </c>
      <c r="O69" s="58">
        <f t="shared" si="5"/>
        <v>7.8514909916666662</v>
      </c>
      <c r="P69" s="56">
        <f>O69/F72</f>
        <v>0.78514909916666664</v>
      </c>
      <c r="Q69" s="57">
        <f>AVERAGE(P69:P71)</f>
        <v>0.83286957416666674</v>
      </c>
      <c r="R69" s="56">
        <f>STDEV(P69:P71)</f>
        <v>4.9195410521338516E-2</v>
      </c>
      <c r="S69" s="58">
        <f>R69/Q69*100</f>
        <v>5.9067364263559892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5.8200000000000002E-2</v>
      </c>
      <c r="H70">
        <v>3.78E-2</v>
      </c>
      <c r="I70" s="56"/>
      <c r="J70" s="57">
        <f>G73-$J$14</f>
        <v>6.4816666666666661E-2</v>
      </c>
      <c r="K70" s="58">
        <f>H73-$K$14</f>
        <v>2.445E-2</v>
      </c>
      <c r="L70" s="56"/>
      <c r="M70" s="62">
        <f t="shared" si="3"/>
        <v>5.8704166666666661E-2</v>
      </c>
      <c r="N70" s="56">
        <f t="shared" si="4"/>
        <v>4.1502084708333333</v>
      </c>
      <c r="O70" s="58">
        <f t="shared" si="5"/>
        <v>8.3004169416666667</v>
      </c>
      <c r="P70" s="56">
        <f>O70/F73</f>
        <v>0.83004169416666662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5.7700000000000001E-2</v>
      </c>
      <c r="H71">
        <v>3.6299999999999999E-2</v>
      </c>
      <c r="I71" s="56"/>
      <c r="J71" s="57">
        <f>G74-$J$14</f>
        <v>6.3216666666666671E-2</v>
      </c>
      <c r="K71" s="58">
        <f>H74-$K$14</f>
        <v>2.9500000000000012E-3</v>
      </c>
      <c r="L71" s="56"/>
      <c r="M71" s="62">
        <f t="shared" si="3"/>
        <v>6.2479166666666669E-2</v>
      </c>
      <c r="N71" s="56">
        <f t="shared" si="4"/>
        <v>4.4170896458333333</v>
      </c>
      <c r="O71" s="58">
        <f t="shared" si="5"/>
        <v>8.8341792916666666</v>
      </c>
      <c r="P71" s="56">
        <f>O71/F74</f>
        <v>0.88341792916666662</v>
      </c>
      <c r="Q71" s="57"/>
      <c r="R71" s="56"/>
      <c r="S71" s="58"/>
      <c r="T71" s="56"/>
    </row>
    <row r="72" spans="4:20" ht="14.45" customHeight="1" x14ac:dyDescent="0.25">
      <c r="D72" s="78">
        <f>A41</f>
        <v>39</v>
      </c>
      <c r="E72" s="12" t="s">
        <v>92</v>
      </c>
      <c r="F72" s="12">
        <f>B41</f>
        <v>10</v>
      </c>
      <c r="G72">
        <v>9.2399999999999996E-2</v>
      </c>
      <c r="H72">
        <v>3.8600000000000002E-2</v>
      </c>
      <c r="I72" s="56"/>
      <c r="J72" s="57">
        <f>G75-$J$14</f>
        <v>2.6516666666666668E-2</v>
      </c>
      <c r="K72" s="58">
        <f>H75-$K$14</f>
        <v>3.6500000000000005E-3</v>
      </c>
      <c r="L72" s="56"/>
      <c r="M72" s="62">
        <f t="shared" si="3"/>
        <v>2.5604166666666667E-2</v>
      </c>
      <c r="N72" s="56">
        <f t="shared" si="4"/>
        <v>1.8101377708333335</v>
      </c>
      <c r="O72" s="58">
        <f t="shared" si="5"/>
        <v>3.620275541666667</v>
      </c>
      <c r="P72" s="56">
        <f>O72/F75</f>
        <v>0.36202755416666671</v>
      </c>
      <c r="Q72" s="57">
        <f>AVERAGE(P72:P74)</f>
        <v>0.40963020083333329</v>
      </c>
      <c r="R72" s="56">
        <f>STDEV(P72:P74)</f>
        <v>4.1713227042588383E-2</v>
      </c>
      <c r="S72" s="58">
        <f>R72/Q72*100</f>
        <v>10.183142492357465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0.1008</v>
      </c>
      <c r="H73">
        <v>5.9499999999999997E-2</v>
      </c>
      <c r="I73" s="56"/>
      <c r="J73" s="57">
        <f>G76-$J$14</f>
        <v>3.1316666666666666E-2</v>
      </c>
      <c r="K73" s="58">
        <f>H76-$K$14</f>
        <v>4.4500000000000026E-3</v>
      </c>
      <c r="L73" s="56"/>
      <c r="M73" s="62">
        <f t="shared" si="3"/>
        <v>3.0204166666666664E-2</v>
      </c>
      <c r="N73" s="56">
        <f t="shared" si="4"/>
        <v>2.135343970833333</v>
      </c>
      <c r="O73" s="58">
        <f t="shared" si="5"/>
        <v>4.2706879416666661</v>
      </c>
      <c r="P73" s="56">
        <f>O73/F76</f>
        <v>0.4270687941666666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9.9199999999999997E-2</v>
      </c>
      <c r="H74">
        <v>3.7999999999999999E-2</v>
      </c>
      <c r="I74" s="56"/>
      <c r="J74" s="57">
        <f>G77-$J$14</f>
        <v>3.2116666666666661E-2</v>
      </c>
      <c r="K74" s="58">
        <f>H77-$K$14</f>
        <v>4.050000000000005E-3</v>
      </c>
      <c r="L74" s="56"/>
      <c r="M74" s="62">
        <f t="shared" si="3"/>
        <v>3.1104166666666662E-2</v>
      </c>
      <c r="N74" s="56">
        <f t="shared" si="4"/>
        <v>2.1989712708333329</v>
      </c>
      <c r="O74" s="58">
        <f t="shared" si="5"/>
        <v>4.3979425416666658</v>
      </c>
      <c r="P74" s="56">
        <f>O74/F77</f>
        <v>0.43979425416666657</v>
      </c>
      <c r="Q74" s="57"/>
      <c r="R74" s="56"/>
      <c r="S74" s="58"/>
      <c r="T74" s="56"/>
    </row>
    <row r="75" spans="4:20" ht="14.45" customHeight="1" x14ac:dyDescent="0.25">
      <c r="D75" s="78">
        <f>A42</f>
        <v>40</v>
      </c>
      <c r="E75" s="12" t="s">
        <v>95</v>
      </c>
      <c r="F75" s="12">
        <f>B42</f>
        <v>10</v>
      </c>
      <c r="G75">
        <v>6.25E-2</v>
      </c>
      <c r="H75">
        <v>3.8699999999999998E-2</v>
      </c>
      <c r="I75" s="56"/>
      <c r="J75" s="57">
        <f>G78-$J$14</f>
        <v>0.32411666666666666</v>
      </c>
      <c r="K75" s="58">
        <f>H78-$K$14</f>
        <v>0.29354999999999998</v>
      </c>
      <c r="L75" s="56"/>
      <c r="M75" s="62">
        <f t="shared" si="3"/>
        <v>0.25072916666666667</v>
      </c>
      <c r="N75" s="56">
        <f t="shared" si="4"/>
        <v>17.725799895833333</v>
      </c>
      <c r="O75" s="58">
        <f t="shared" si="5"/>
        <v>35.451599791666666</v>
      </c>
      <c r="P75" s="56">
        <f>O75/F78</f>
        <v>3.5451599791666668</v>
      </c>
      <c r="Q75" s="57">
        <f>AVERAGE(P75:P77)</f>
        <v>1.6524834608333336</v>
      </c>
      <c r="R75" s="56">
        <f>STDEV(P75:P77)</f>
        <v>1.6391919425245258</v>
      </c>
      <c r="S75" s="58">
        <f>R75/Q75*100</f>
        <v>99.195664064189486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6.7299999999999999E-2</v>
      </c>
      <c r="H76">
        <v>3.95E-2</v>
      </c>
      <c r="I76" s="56"/>
      <c r="J76" s="57">
        <f>G79-$J$14</f>
        <v>4.9516666666666674E-2</v>
      </c>
      <c r="K76" s="58">
        <f>H79-$K$14</f>
        <v>3.0500000000000041E-3</v>
      </c>
      <c r="L76" s="56"/>
      <c r="M76" s="62">
        <f t="shared" si="3"/>
        <v>4.8754166666666675E-2</v>
      </c>
      <c r="N76" s="56">
        <f t="shared" si="4"/>
        <v>3.446773320833334</v>
      </c>
      <c r="O76" s="58">
        <f t="shared" si="5"/>
        <v>6.893546641666668</v>
      </c>
      <c r="P76" s="56">
        <f>O76/F79</f>
        <v>0.6893546641666668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6.8099999999999994E-2</v>
      </c>
      <c r="H77">
        <v>3.9100000000000003E-2</v>
      </c>
      <c r="I77" s="56"/>
      <c r="J77" s="57">
        <f>G80-$J$14</f>
        <v>5.2316666666666671E-2</v>
      </c>
      <c r="K77" s="58">
        <f>H80-$K$14</f>
        <v>4.7500000000000042E-3</v>
      </c>
      <c r="L77" s="56"/>
      <c r="M77" s="62">
        <f t="shared" si="3"/>
        <v>5.112916666666667E-2</v>
      </c>
      <c r="N77" s="56">
        <f t="shared" si="4"/>
        <v>3.6146786958333337</v>
      </c>
      <c r="O77" s="58">
        <f t="shared" si="5"/>
        <v>7.2293573916666674</v>
      </c>
      <c r="P77" s="56">
        <f>O77/F80</f>
        <v>0.72293573916666676</v>
      </c>
      <c r="Q77" s="57"/>
      <c r="R77" s="56"/>
      <c r="S77" s="58"/>
      <c r="T77" s="56"/>
    </row>
    <row r="78" spans="4:20" ht="14.45" customHeight="1" x14ac:dyDescent="0.25">
      <c r="D78" s="78">
        <f>A43</f>
        <v>41</v>
      </c>
      <c r="E78" s="12" t="s">
        <v>98</v>
      </c>
      <c r="F78" s="12">
        <f>B43</f>
        <v>10</v>
      </c>
      <c r="G78">
        <v>0.36009999999999998</v>
      </c>
      <c r="H78">
        <v>0.3286</v>
      </c>
      <c r="I78" s="56"/>
      <c r="J78" s="57">
        <f>G81-$J$14</f>
        <v>5.0116666666666664E-2</v>
      </c>
      <c r="K78" s="58">
        <f>H81-$K$14</f>
        <v>1.2750000000000004E-2</v>
      </c>
      <c r="L78" s="56"/>
      <c r="M78" s="62">
        <f t="shared" si="3"/>
        <v>4.6929166666666661E-2</v>
      </c>
      <c r="N78" s="56">
        <f t="shared" si="4"/>
        <v>3.3177512958333328</v>
      </c>
      <c r="O78" s="58">
        <f t="shared" si="5"/>
        <v>6.6355025916666657</v>
      </c>
      <c r="P78" s="56">
        <f>O78/F81</f>
        <v>0.66355025916666655</v>
      </c>
      <c r="Q78" s="57">
        <f>AVERAGE(P78:P80)</f>
        <v>0.59497416916666668</v>
      </c>
      <c r="R78" s="56">
        <f>STDEV(P78:P80)</f>
        <v>6.5328771565865973E-2</v>
      </c>
      <c r="S78" s="58">
        <f>R78/Q78*100</f>
        <v>10.980102154244246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8.5500000000000007E-2</v>
      </c>
      <c r="H79">
        <v>3.8100000000000002E-2</v>
      </c>
      <c r="I79" s="56"/>
      <c r="J79" s="57">
        <f>G82-$J$14</f>
        <v>4.2216666666666673E-2</v>
      </c>
      <c r="K79" s="58">
        <f>H82-$K$14</f>
        <v>2.5500000000000037E-3</v>
      </c>
      <c r="L79" s="56"/>
      <c r="M79" s="62">
        <f t="shared" si="3"/>
        <v>4.1579166666666674E-2</v>
      </c>
      <c r="N79" s="56">
        <f t="shared" si="4"/>
        <v>2.9395223458333342</v>
      </c>
      <c r="O79" s="58">
        <f t="shared" si="5"/>
        <v>5.8790446916666683</v>
      </c>
      <c r="P79" s="56">
        <f>O79/F82</f>
        <v>0.58790446916666683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8.8300000000000003E-2</v>
      </c>
      <c r="H80">
        <v>3.9800000000000002E-2</v>
      </c>
      <c r="I80" s="56"/>
      <c r="J80" s="57">
        <f>G83-$J$14</f>
        <v>3.8416666666666661E-2</v>
      </c>
      <c r="K80" s="58">
        <f>H83-$K$14</f>
        <v>2.7500000000000024E-3</v>
      </c>
      <c r="L80" s="56"/>
      <c r="M80" s="62">
        <f t="shared" si="3"/>
        <v>3.7729166666666661E-2</v>
      </c>
      <c r="N80" s="56">
        <f t="shared" si="4"/>
        <v>2.6673388958333328</v>
      </c>
      <c r="O80" s="58">
        <f t="shared" si="5"/>
        <v>5.3346777916666657</v>
      </c>
      <c r="P80" s="56">
        <f>O80/F83</f>
        <v>0.53346777916666654</v>
      </c>
      <c r="Q80" s="57"/>
      <c r="R80" s="56"/>
      <c r="S80" s="58"/>
      <c r="T80" s="56"/>
    </row>
    <row r="81" spans="4:20" ht="14.45" customHeight="1" x14ac:dyDescent="0.25">
      <c r="D81" s="78">
        <f>A44</f>
        <v>42</v>
      </c>
      <c r="E81" s="12" t="s">
        <v>101</v>
      </c>
      <c r="F81" s="12">
        <f>B44</f>
        <v>10</v>
      </c>
      <c r="G81">
        <v>8.6099999999999996E-2</v>
      </c>
      <c r="H81">
        <v>4.7800000000000002E-2</v>
      </c>
      <c r="I81" s="56"/>
      <c r="J81" s="57">
        <f>G84-$J$14</f>
        <v>9.2916666666666647E-2</v>
      </c>
      <c r="K81" s="58">
        <f>H84-$K$14</f>
        <v>4.3499999999999997E-3</v>
      </c>
      <c r="L81" s="56"/>
      <c r="M81" s="62">
        <f t="shared" si="3"/>
        <v>9.1829166666666642E-2</v>
      </c>
      <c r="N81" s="56">
        <f t="shared" si="4"/>
        <v>6.4920465958333322</v>
      </c>
      <c r="O81" s="58">
        <f t="shared" si="5"/>
        <v>12.984093191666664</v>
      </c>
      <c r="P81" s="56">
        <f>O81/F84</f>
        <v>1.2984093191666664</v>
      </c>
      <c r="Q81" s="57">
        <f>AVERAGE(P81:P83)</f>
        <v>1.3071286158333333</v>
      </c>
      <c r="R81" s="56">
        <f>STDEV(P81:P83)</f>
        <v>2.7565786859105455E-2</v>
      </c>
      <c r="S81" s="58">
        <f>R81/Q81*100</f>
        <v>2.1088809873182561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7.8200000000000006E-2</v>
      </c>
      <c r="H82">
        <v>3.7600000000000001E-2</v>
      </c>
      <c r="I82" s="56"/>
      <c r="J82" s="57">
        <f>G85-$J$14</f>
        <v>9.5316666666666661E-2</v>
      </c>
      <c r="K82" s="58">
        <f>H85-$K$14</f>
        <v>2.7500000000000024E-3</v>
      </c>
      <c r="L82" s="56"/>
      <c r="M82" s="62">
        <f t="shared" si="3"/>
        <v>9.4629166666666653E-2</v>
      </c>
      <c r="N82" s="56">
        <f t="shared" si="4"/>
        <v>6.6899981958333328</v>
      </c>
      <c r="O82" s="58">
        <f t="shared" si="5"/>
        <v>13.379996391666666</v>
      </c>
      <c r="P82" s="56">
        <f>O82/F85</f>
        <v>1.3379996391666666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7.4399999999999994E-2</v>
      </c>
      <c r="H83">
        <v>3.78E-2</v>
      </c>
      <c r="I83" s="56"/>
      <c r="J83" s="57">
        <f>G86-$J$14</f>
        <v>9.1416666666666674E-2</v>
      </c>
      <c r="K83" s="58">
        <f>H86-$K$14</f>
        <v>2.1499999999999991E-3</v>
      </c>
      <c r="L83" s="56"/>
      <c r="M83" s="62">
        <f t="shared" si="3"/>
        <v>9.0879166666666678E-2</v>
      </c>
      <c r="N83" s="56">
        <f t="shared" si="4"/>
        <v>6.4248844458333343</v>
      </c>
      <c r="O83" s="58">
        <f t="shared" si="5"/>
        <v>12.849768891666669</v>
      </c>
      <c r="P83" s="56">
        <f>O83/F86</f>
        <v>1.2849768891666669</v>
      </c>
      <c r="Q83" s="57"/>
      <c r="R83" s="56"/>
      <c r="S83" s="58"/>
      <c r="T83" s="56"/>
    </row>
    <row r="84" spans="4:20" ht="14.45" customHeight="1" x14ac:dyDescent="0.25">
      <c r="D84" s="78">
        <f>A45</f>
        <v>43</v>
      </c>
      <c r="E84" s="12" t="s">
        <v>104</v>
      </c>
      <c r="F84" s="12">
        <f>B45</f>
        <v>10</v>
      </c>
      <c r="G84">
        <v>0.12889999999999999</v>
      </c>
      <c r="H84">
        <v>3.9399999999999998E-2</v>
      </c>
      <c r="I84" s="56"/>
      <c r="J84" s="57">
        <f>G87-$J$14</f>
        <v>7.9316666666666674E-2</v>
      </c>
      <c r="K84" s="58">
        <f>H87-$K$14</f>
        <v>6.5500000000000003E-3</v>
      </c>
      <c r="L84" s="56"/>
      <c r="M84" s="62">
        <f t="shared" si="3"/>
        <v>7.7679166666666674E-2</v>
      </c>
      <c r="N84" s="56">
        <f t="shared" si="4"/>
        <v>5.4916840458333338</v>
      </c>
      <c r="O84" s="58">
        <f t="shared" si="5"/>
        <v>10.983368091666668</v>
      </c>
      <c r="P84" s="56">
        <f>O84/F87</f>
        <v>1.0983368091666668</v>
      </c>
      <c r="Q84" s="57">
        <f>AVERAGE(P84:P86)</f>
        <v>1.0935058475000001</v>
      </c>
      <c r="R84" s="56">
        <f>STDEV(P84:P86)</f>
        <v>4.6133968219370398E-3</v>
      </c>
      <c r="S84" s="58">
        <f>R84/Q84*100</f>
        <v>0.42189045742044279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0.1313</v>
      </c>
      <c r="H85">
        <v>3.78E-2</v>
      </c>
      <c r="I85" s="56"/>
      <c r="J85" s="57">
        <f>G88-$J$14</f>
        <v>7.7816666666666673E-2</v>
      </c>
      <c r="K85" s="58">
        <f>H88-$K$14</f>
        <v>2.0500000000000032E-3</v>
      </c>
      <c r="L85" s="56"/>
      <c r="M85" s="62">
        <f t="shared" si="3"/>
        <v>7.7304166666666674E-2</v>
      </c>
      <c r="N85" s="56">
        <f t="shared" si="4"/>
        <v>5.4651726708333337</v>
      </c>
      <c r="O85" s="58">
        <f t="shared" si="5"/>
        <v>10.930345341666667</v>
      </c>
      <c r="P85" s="56">
        <f>O85/F88</f>
        <v>1.0930345341666667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0.12740000000000001</v>
      </c>
      <c r="H86">
        <v>3.7199999999999997E-2</v>
      </c>
      <c r="I86" s="56"/>
      <c r="J86" s="57">
        <f>G89-$J$14</f>
        <v>7.7616666666666667E-2</v>
      </c>
      <c r="K86" s="58">
        <f>H89-$K$14</f>
        <v>2.3500000000000049E-3</v>
      </c>
      <c r="L86" s="56"/>
      <c r="M86" s="62">
        <f t="shared" si="3"/>
        <v>7.7029166666666662E-2</v>
      </c>
      <c r="N86" s="56">
        <f t="shared" si="4"/>
        <v>5.4457309958333333</v>
      </c>
      <c r="O86" s="58">
        <f t="shared" si="5"/>
        <v>10.891461991666667</v>
      </c>
      <c r="P86" s="56">
        <f>O86/F89</f>
        <v>1.0891461991666667</v>
      </c>
      <c r="Q86" s="57"/>
      <c r="R86" s="56"/>
      <c r="S86" s="58"/>
      <c r="T86" s="56"/>
    </row>
    <row r="87" spans="4:20" ht="14.45" customHeight="1" x14ac:dyDescent="0.25">
      <c r="D87" s="78">
        <f>A46</f>
        <v>44</v>
      </c>
      <c r="E87" s="12" t="s">
        <v>107</v>
      </c>
      <c r="F87" s="12">
        <f>B46</f>
        <v>10</v>
      </c>
      <c r="G87">
        <v>0.1153</v>
      </c>
      <c r="H87">
        <v>4.1599999999999998E-2</v>
      </c>
      <c r="I87" s="56"/>
      <c r="J87" s="57">
        <f>G90-$J$14</f>
        <v>3.8516666666666664E-2</v>
      </c>
      <c r="K87" s="58">
        <f>H90-$K$14</f>
        <v>3.0500000000000041E-3</v>
      </c>
      <c r="L87" s="56"/>
      <c r="M87" s="62">
        <f t="shared" si="3"/>
        <v>3.7754166666666665E-2</v>
      </c>
      <c r="N87" s="56">
        <f t="shared" si="4"/>
        <v>2.6691063208333334</v>
      </c>
      <c r="O87" s="58">
        <f t="shared" si="5"/>
        <v>5.3382126416666669</v>
      </c>
      <c r="P87" s="56">
        <f>O87/F90</f>
        <v>0.53382126416666664</v>
      </c>
      <c r="Q87" s="57">
        <f>AVERAGE(P87:P89)</f>
        <v>0.58012779916666668</v>
      </c>
      <c r="R87" s="56">
        <f>STDEV(P87:P89)</f>
        <v>4.1436222765072715E-2</v>
      </c>
      <c r="S87" s="58">
        <f>R87/Q87*100</f>
        <v>7.1426025135486366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0.1138</v>
      </c>
      <c r="H88">
        <v>3.7100000000000001E-2</v>
      </c>
      <c r="I88" s="56"/>
      <c r="J88" s="57">
        <f>G91-$J$14</f>
        <v>4.4416666666666667E-2</v>
      </c>
      <c r="K88" s="58">
        <f>H91-$K$14</f>
        <v>4.050000000000005E-3</v>
      </c>
      <c r="L88" s="56"/>
      <c r="M88" s="62">
        <f t="shared" si="3"/>
        <v>4.3404166666666667E-2</v>
      </c>
      <c r="N88" s="56">
        <f t="shared" si="4"/>
        <v>3.0685443708333335</v>
      </c>
      <c r="O88" s="58">
        <f t="shared" si="5"/>
        <v>6.1370887416666671</v>
      </c>
      <c r="P88" s="56">
        <f>O88/F91</f>
        <v>0.61370887416666675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0.11360000000000001</v>
      </c>
      <c r="H89">
        <v>3.7400000000000003E-2</v>
      </c>
      <c r="I89" s="56"/>
      <c r="J89" s="57">
        <f>G92-$J$14</f>
        <v>4.3016666666666668E-2</v>
      </c>
      <c r="K89" s="58">
        <f>H92-$K$14</f>
        <v>4.3499999999999997E-3</v>
      </c>
      <c r="L89" s="56"/>
      <c r="M89" s="62">
        <f t="shared" si="3"/>
        <v>4.192916666666667E-2</v>
      </c>
      <c r="N89" s="56">
        <f t="shared" si="4"/>
        <v>2.9642662958333337</v>
      </c>
      <c r="O89" s="58">
        <f t="shared" si="5"/>
        <v>5.9285325916666674</v>
      </c>
      <c r="P89" s="56">
        <f>O89/F92</f>
        <v>0.59285325916666676</v>
      </c>
      <c r="Q89" s="57"/>
      <c r="R89" s="56"/>
      <c r="S89" s="58"/>
      <c r="T89" s="56"/>
    </row>
    <row r="90" spans="4:20" ht="14.45" customHeight="1" x14ac:dyDescent="0.25">
      <c r="D90" s="78">
        <f>A47</f>
        <v>45</v>
      </c>
      <c r="E90" s="12" t="s">
        <v>110</v>
      </c>
      <c r="F90" s="12">
        <f>B47</f>
        <v>10</v>
      </c>
      <c r="G90">
        <v>7.4499999999999997E-2</v>
      </c>
      <c r="H90">
        <v>3.8100000000000002E-2</v>
      </c>
      <c r="I90" s="56"/>
      <c r="J90" s="57">
        <f>G96-$J$14</f>
        <v>0.37891666666666668</v>
      </c>
      <c r="K90" s="58">
        <f>H96-$K$14</f>
        <v>0.39175000000000004</v>
      </c>
      <c r="L90" s="56"/>
      <c r="M90" s="62">
        <f t="shared" si="3"/>
        <v>0.28097916666666667</v>
      </c>
      <c r="N90" s="56">
        <f t="shared" si="4"/>
        <v>19.864384145833334</v>
      </c>
      <c r="O90" s="58">
        <f t="shared" si="5"/>
        <v>39.728768291666668</v>
      </c>
      <c r="P90" s="56">
        <f>O90/F96</f>
        <v>3.9728768291666667</v>
      </c>
      <c r="Q90" s="57">
        <f>AVERAGE(P90:P92)</f>
        <v>1.5437279091666667</v>
      </c>
      <c r="R90" s="56">
        <f>STDEV(P90:P92)</f>
        <v>2.103706574966711</v>
      </c>
      <c r="S90" s="58">
        <f>R90/Q90*100</f>
        <v>136.27444075312022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8.0399999999999999E-2</v>
      </c>
      <c r="H91">
        <v>3.9100000000000003E-2</v>
      </c>
      <c r="I91" s="56"/>
      <c r="J91" s="57">
        <f>G97-$J$14</f>
        <v>2.4316666666666667E-2</v>
      </c>
      <c r="K91" s="58">
        <f>H97-$K$14</f>
        <v>3.3499999999999988E-3</v>
      </c>
      <c r="L91" s="56"/>
      <c r="M91" s="62">
        <f t="shared" si="3"/>
        <v>2.3479166666666669E-2</v>
      </c>
      <c r="N91" s="56">
        <f t="shared" si="4"/>
        <v>1.6599066458333336</v>
      </c>
      <c r="O91" s="58">
        <f t="shared" si="5"/>
        <v>3.3198132916666672</v>
      </c>
      <c r="P91" s="56">
        <f>O91/F97</f>
        <v>0.33198132916666673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7.9000000000000001E-2</v>
      </c>
      <c r="H92">
        <v>3.9399999999999998E-2</v>
      </c>
      <c r="I92" s="56"/>
      <c r="J92" s="57">
        <f>G98-$J$14</f>
        <v>2.4116666666666668E-2</v>
      </c>
      <c r="K92" s="58">
        <f>H98-$K$14</f>
        <v>4.1500000000000009E-3</v>
      </c>
      <c r="L92" s="56"/>
      <c r="M92" s="62">
        <f t="shared" ref="M92:M98" si="47">J92-(0.25*K92)</f>
        <v>2.3079166666666668E-2</v>
      </c>
      <c r="N92" s="56">
        <f t="shared" ref="N92:N98" si="48">M92*70.697</f>
        <v>1.6316278458333335</v>
      </c>
      <c r="O92" s="58">
        <f t="shared" ref="O92:O98" si="49">N92*2</f>
        <v>3.2632556916666671</v>
      </c>
      <c r="P92" s="56">
        <f>O92/F98</f>
        <v>0.32632556916666672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3.5900000000000001E-2</v>
      </c>
      <c r="H93">
        <v>3.49E-2</v>
      </c>
      <c r="I93" s="56"/>
      <c r="J93" s="57">
        <f>G99-$J$14</f>
        <v>0.61501666666666666</v>
      </c>
      <c r="K93" s="58">
        <f>H99-$K$14</f>
        <v>0.20115</v>
      </c>
      <c r="L93" s="56"/>
      <c r="M93" s="62">
        <f t="shared" si="47"/>
        <v>0.56472916666666662</v>
      </c>
      <c r="N93" s="56">
        <f t="shared" si="48"/>
        <v>39.924657895833334</v>
      </c>
      <c r="O93" s="58">
        <f t="shared" si="49"/>
        <v>79.849315791666669</v>
      </c>
      <c r="P93" s="56">
        <f>O93/F99</f>
        <v>7.9849315791666671</v>
      </c>
      <c r="Q93" s="57">
        <f>AVERAGE(P93:P95)</f>
        <v>6.4499818808333345</v>
      </c>
      <c r="R93" s="56">
        <f>STDEV(P93:P95)</f>
        <v>1.3295456804331638</v>
      </c>
      <c r="S93" s="58">
        <f>R93/Q93*100</f>
        <v>20.61316923050623</v>
      </c>
      <c r="T93" s="56"/>
    </row>
    <row r="94" spans="4:20" ht="14.45" customHeight="1" x14ac:dyDescent="0.25">
      <c r="D94" s="71"/>
      <c r="E94" s="17" t="s">
        <v>129</v>
      </c>
      <c r="F94" s="17"/>
      <c r="G94">
        <v>3.5900000000000001E-2</v>
      </c>
      <c r="H94">
        <v>3.5099999999999999E-2</v>
      </c>
      <c r="I94" s="56"/>
      <c r="J94" s="57">
        <f>G100-$J$14</f>
        <v>0.40081666666666671</v>
      </c>
      <c r="K94" s="58">
        <f>H100-$K$14</f>
        <v>2.8500000000000053E-3</v>
      </c>
      <c r="L94" s="56"/>
      <c r="M94" s="62">
        <f t="shared" si="47"/>
        <v>0.40010416666666671</v>
      </c>
      <c r="N94" s="56">
        <f t="shared" si="48"/>
        <v>28.286164270833336</v>
      </c>
      <c r="O94" s="58">
        <f t="shared" si="49"/>
        <v>56.572328541666671</v>
      </c>
      <c r="P94" s="56">
        <f>O94/F100</f>
        <v>5.6572328541666668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3.7199999999999997E-2</v>
      </c>
      <c r="H95">
        <v>3.5999999999999997E-2</v>
      </c>
      <c r="I95" s="56"/>
      <c r="J95" s="57">
        <f>G101-$J$14</f>
        <v>0.40461666666666668</v>
      </c>
      <c r="K95" s="58">
        <f>H101-$K$14</f>
        <v>3.7500000000000033E-3</v>
      </c>
      <c r="L95" s="56"/>
      <c r="M95" s="62">
        <f t="shared" si="47"/>
        <v>0.4036791666666667</v>
      </c>
      <c r="N95" s="56">
        <f t="shared" si="48"/>
        <v>28.538906045833336</v>
      </c>
      <c r="O95" s="58">
        <f t="shared" si="49"/>
        <v>57.077812091666672</v>
      </c>
      <c r="P95" s="56">
        <f>O95/F101</f>
        <v>5.7077812091666669</v>
      </c>
      <c r="Q95" s="57"/>
      <c r="R95" s="56"/>
      <c r="S95" s="58"/>
      <c r="T95" s="56"/>
    </row>
    <row r="96" spans="4:20" ht="14.45" customHeight="1" x14ac:dyDescent="0.25">
      <c r="D96" s="78">
        <f>A48</f>
        <v>46</v>
      </c>
      <c r="E96" s="12" t="s">
        <v>113</v>
      </c>
      <c r="F96" s="12">
        <f>B48</f>
        <v>10</v>
      </c>
      <c r="G96">
        <v>0.41489999999999999</v>
      </c>
      <c r="H96">
        <v>0.42680000000000001</v>
      </c>
      <c r="I96" s="56"/>
      <c r="J96" s="57">
        <f>G102-$J$14</f>
        <v>3.1616666666666661E-2</v>
      </c>
      <c r="K96" s="58">
        <f>H102-$K$14</f>
        <v>5.6500000000000022E-3</v>
      </c>
      <c r="L96" s="56"/>
      <c r="M96" s="62">
        <f t="shared" si="47"/>
        <v>3.020416666666666E-2</v>
      </c>
      <c r="N96" s="56">
        <f t="shared" si="48"/>
        <v>2.135343970833333</v>
      </c>
      <c r="O96" s="58">
        <f t="shared" si="49"/>
        <v>4.2706879416666661</v>
      </c>
      <c r="P96" s="56">
        <f>O96/F102</f>
        <v>0.4270687941666666</v>
      </c>
      <c r="Q96" s="57">
        <f>AVERAGE(P96:P98)</f>
        <v>0.41599293083333339</v>
      </c>
      <c r="R96" s="56">
        <f>STDEV(P96:P98)</f>
        <v>1.4038888669272673E-2</v>
      </c>
      <c r="S96" s="58">
        <f>R96/Q96*100</f>
        <v>3.3747902016386235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6.0299999999999999E-2</v>
      </c>
      <c r="H97">
        <v>3.8399999999999997E-2</v>
      </c>
      <c r="I97" s="56"/>
      <c r="J97" s="57">
        <f>G103-$J$14</f>
        <v>3.0916666666666669E-2</v>
      </c>
      <c r="K97" s="58">
        <f>H103-$K$14</f>
        <v>4.6500000000000014E-3</v>
      </c>
      <c r="L97" s="56"/>
      <c r="M97" s="62">
        <f t="shared" si="47"/>
        <v>2.9754166666666668E-2</v>
      </c>
      <c r="N97" s="56">
        <f t="shared" si="48"/>
        <v>2.1035303208333334</v>
      </c>
      <c r="O97" s="58">
        <f t="shared" si="49"/>
        <v>4.2070606416666667</v>
      </c>
      <c r="P97" s="56">
        <f>O97/F103</f>
        <v>0.42070606416666667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6.0100000000000001E-2</v>
      </c>
      <c r="H98">
        <v>3.9199999999999999E-2</v>
      </c>
      <c r="I98" s="56"/>
      <c r="J98" s="65">
        <f>G104-$J$14</f>
        <v>2.8916666666666667E-2</v>
      </c>
      <c r="K98" s="66">
        <f>H104-$K$14</f>
        <v>2.4500000000000008E-3</v>
      </c>
      <c r="L98" s="56"/>
      <c r="M98" s="69">
        <f t="shared" si="47"/>
        <v>2.8304166666666665E-2</v>
      </c>
      <c r="N98" s="56">
        <f t="shared" si="48"/>
        <v>2.0010196708333332</v>
      </c>
      <c r="O98" s="66">
        <f t="shared" si="49"/>
        <v>4.0020393416666664</v>
      </c>
      <c r="P98" s="70">
        <f>O98/F104</f>
        <v>0.40020393416666666</v>
      </c>
      <c r="Q98" s="65"/>
      <c r="R98" s="70"/>
      <c r="S98" s="66"/>
      <c r="T98" s="56"/>
    </row>
    <row r="99" spans="4:20" x14ac:dyDescent="0.25">
      <c r="D99" s="78">
        <f>A49</f>
        <v>47</v>
      </c>
      <c r="E99" s="12" t="s">
        <v>116</v>
      </c>
      <c r="F99" s="12">
        <f>B49</f>
        <v>10</v>
      </c>
      <c r="G99">
        <v>0.65100000000000002</v>
      </c>
      <c r="H99">
        <v>0.23619999999999999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0.43680000000000002</v>
      </c>
      <c r="H100">
        <v>3.7900000000000003E-2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0.44059999999999999</v>
      </c>
      <c r="H101">
        <v>3.8800000000000001E-2</v>
      </c>
    </row>
    <row r="102" spans="4:20" x14ac:dyDescent="0.25">
      <c r="D102" s="78">
        <f>A50</f>
        <v>48</v>
      </c>
      <c r="E102" s="12" t="s">
        <v>119</v>
      </c>
      <c r="F102" s="12">
        <f>B50</f>
        <v>10</v>
      </c>
      <c r="G102">
        <v>6.7599999999999993E-2</v>
      </c>
      <c r="H102">
        <v>4.07E-2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6.6900000000000001E-2</v>
      </c>
      <c r="H103">
        <v>3.9699999999999999E-2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6.4899999999999999E-2</v>
      </c>
      <c r="H104">
        <v>3.7499999999999999E-2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BCC8-5F57-4472-9EE8-F1D21D196A70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3.6600000000000001E-2</v>
      </c>
      <c r="G6">
        <v>3.5700000000000003E-2</v>
      </c>
      <c r="I6" s="13">
        <v>12.5</v>
      </c>
      <c r="J6" s="14">
        <f>AVERAGE(F9:F11,G66)</f>
        <v>0.34442499999999998</v>
      </c>
      <c r="K6" s="15">
        <f>AVERAGE(G9:G11,H66)</f>
        <v>3.9274999999999997E-2</v>
      </c>
      <c r="M6" s="14">
        <f>J6-$J$14</f>
        <v>0.30577499999999996</v>
      </c>
      <c r="N6" s="15">
        <f>K6-$K$14</f>
        <v>1.7749999999999988E-3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3.9699999999999999E-2</v>
      </c>
      <c r="G7">
        <v>3.85E-2</v>
      </c>
      <c r="I7" s="18">
        <v>25</v>
      </c>
      <c r="J7" s="19">
        <f>AVERAGE(F12:F14)</f>
        <v>0.55829999999999991</v>
      </c>
      <c r="K7" s="20">
        <f>AVERAGE(G12:G14)</f>
        <v>3.8233333333333334E-2</v>
      </c>
      <c r="M7" s="19">
        <f>J7-$J$14</f>
        <v>0.51964999999999995</v>
      </c>
      <c r="N7" s="20">
        <f>K7-$K$14</f>
        <v>7.3333333333333584E-4</v>
      </c>
      <c r="P7" s="17">
        <f>M6</f>
        <v>0.30577499999999996</v>
      </c>
      <c r="Q7" s="12">
        <v>12.5</v>
      </c>
    </row>
    <row r="8" spans="5:17" x14ac:dyDescent="0.25">
      <c r="E8" s="21" t="s">
        <v>10</v>
      </c>
      <c r="F8">
        <v>4.3200000000000002E-2</v>
      </c>
      <c r="G8">
        <v>4.1200000000000001E-2</v>
      </c>
      <c r="I8" s="18">
        <v>50</v>
      </c>
      <c r="J8" s="19">
        <f>AVERAGE(F15:F17,G67)</f>
        <v>1.0661500000000002</v>
      </c>
      <c r="K8" s="20">
        <f>AVERAGE(G15:G17,H67)</f>
        <v>3.7825000000000004E-2</v>
      </c>
      <c r="M8" s="19">
        <f>J8-$J$14</f>
        <v>1.0275000000000001</v>
      </c>
      <c r="N8" s="20">
        <f>K8-$K$14</f>
        <v>3.2500000000000584E-4</v>
      </c>
      <c r="P8" s="17">
        <f>M7</f>
        <v>0.51964999999999995</v>
      </c>
      <c r="Q8" s="17">
        <v>25</v>
      </c>
    </row>
    <row r="9" spans="5:17" x14ac:dyDescent="0.25">
      <c r="E9" s="11" t="s">
        <v>11</v>
      </c>
      <c r="F9">
        <v>0.50249999999999995</v>
      </c>
      <c r="G9">
        <v>3.8399999999999997E-2</v>
      </c>
      <c r="I9" s="18">
        <v>100</v>
      </c>
      <c r="J9" s="19">
        <f>AVERAGE(F18:F20,G68)</f>
        <v>2.0086499999999998</v>
      </c>
      <c r="K9" s="20">
        <f>AVERAGE(G18:G20,H68)</f>
        <v>3.8650000000000004E-2</v>
      </c>
      <c r="M9" s="19">
        <f>J9-$J$14</f>
        <v>1.9699999999999998</v>
      </c>
      <c r="N9" s="20">
        <f>K9-$K$14</f>
        <v>1.1500000000000052E-3</v>
      </c>
      <c r="P9" s="17">
        <f>M8</f>
        <v>1.0275000000000001</v>
      </c>
      <c r="Q9" s="17">
        <v>50</v>
      </c>
    </row>
    <row r="10" spans="5:17" x14ac:dyDescent="0.25">
      <c r="E10" s="16" t="s">
        <v>12</v>
      </c>
      <c r="F10">
        <v>0.2697</v>
      </c>
      <c r="G10">
        <v>3.9600000000000003E-2</v>
      </c>
      <c r="I10" s="23">
        <v>250</v>
      </c>
      <c r="J10" s="24">
        <f>AVERAGE(F21:F23)</f>
        <v>3.8210000000000002</v>
      </c>
      <c r="K10" s="25">
        <f>AVERAGE(G21:G23)</f>
        <v>3.896666666666667E-2</v>
      </c>
      <c r="M10" s="19">
        <f>J10-$J$14</f>
        <v>3.7823500000000001</v>
      </c>
      <c r="N10" s="20">
        <f>K10-$K$14</f>
        <v>1.4666666666666717E-3</v>
      </c>
      <c r="P10" s="17">
        <f>M9</f>
        <v>1.9699999999999998</v>
      </c>
      <c r="Q10" s="17">
        <v>100</v>
      </c>
    </row>
    <row r="11" spans="5:17" x14ac:dyDescent="0.25">
      <c r="E11" s="21" t="s">
        <v>13</v>
      </c>
      <c r="F11">
        <v>0.29859999999999998</v>
      </c>
      <c r="G11">
        <v>4.0500000000000001E-2</v>
      </c>
      <c r="I11" s="26" t="s">
        <v>14</v>
      </c>
      <c r="J11" s="13">
        <f t="shared" ref="J11:K13" si="0">F6</f>
        <v>3.6600000000000001E-2</v>
      </c>
      <c r="K11" s="27">
        <f t="shared" si="0"/>
        <v>3.5700000000000003E-2</v>
      </c>
      <c r="M11" s="23"/>
      <c r="N11" s="28"/>
      <c r="P11" s="22">
        <f>M10</f>
        <v>3.7823500000000001</v>
      </c>
      <c r="Q11" s="22">
        <v>250</v>
      </c>
    </row>
    <row r="12" spans="5:17" x14ac:dyDescent="0.25">
      <c r="E12" s="11" t="s">
        <v>15</v>
      </c>
      <c r="F12">
        <v>0.56969999999999998</v>
      </c>
      <c r="G12">
        <v>3.73E-2</v>
      </c>
      <c r="I12" s="29" t="s">
        <v>14</v>
      </c>
      <c r="J12" s="18">
        <f t="shared" si="0"/>
        <v>3.9699999999999999E-2</v>
      </c>
      <c r="K12" s="30">
        <f t="shared" si="0"/>
        <v>3.85E-2</v>
      </c>
    </row>
    <row r="13" spans="5:17" x14ac:dyDescent="0.25">
      <c r="E13" s="16" t="s">
        <v>16</v>
      </c>
      <c r="F13">
        <v>0.55459999999999998</v>
      </c>
      <c r="G13">
        <v>3.8800000000000001E-2</v>
      </c>
      <c r="I13" s="31" t="s">
        <v>14</v>
      </c>
      <c r="J13" s="23">
        <f t="shared" si="0"/>
        <v>4.3200000000000002E-2</v>
      </c>
      <c r="K13" s="28">
        <f t="shared" si="0"/>
        <v>4.1200000000000001E-2</v>
      </c>
    </row>
    <row r="14" spans="5:17" x14ac:dyDescent="0.25">
      <c r="E14" s="21" t="s">
        <v>17</v>
      </c>
      <c r="F14">
        <v>0.55059999999999998</v>
      </c>
      <c r="G14">
        <v>3.8600000000000002E-2</v>
      </c>
      <c r="I14" s="32" t="s">
        <v>18</v>
      </c>
      <c r="J14" s="33">
        <f>AVERAGE(J11:J13,G93:G95)</f>
        <v>3.8649999999999997E-2</v>
      </c>
      <c r="K14" s="34">
        <f>AVERAGE(K11:K13,H93:H95)</f>
        <v>3.7499999999999999E-2</v>
      </c>
    </row>
    <row r="15" spans="5:17" x14ac:dyDescent="0.25">
      <c r="E15" s="11" t="s">
        <v>19</v>
      </c>
      <c r="F15">
        <v>1.0765</v>
      </c>
      <c r="G15">
        <v>3.7900000000000003E-2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1.0716000000000001</v>
      </c>
      <c r="G16">
        <v>3.8100000000000002E-2</v>
      </c>
      <c r="M16" s="18" t="s">
        <v>22</v>
      </c>
      <c r="O16" s="30"/>
    </row>
    <row r="17" spans="1:24" x14ac:dyDescent="0.25">
      <c r="E17" s="21" t="s">
        <v>23</v>
      </c>
      <c r="F17">
        <v>1.0476000000000001</v>
      </c>
      <c r="G17">
        <v>3.6299999999999999E-2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2.0537999999999998</v>
      </c>
      <c r="G18">
        <v>3.78E-2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1.9894000000000001</v>
      </c>
      <c r="G19">
        <v>3.8800000000000001E-2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2.0291999999999999</v>
      </c>
      <c r="G20">
        <v>3.7999999999999999E-2</v>
      </c>
      <c r="U20" s="37"/>
      <c r="V20" s="37"/>
    </row>
    <row r="21" spans="1:24" x14ac:dyDescent="0.25">
      <c r="E21" s="11" t="s">
        <v>29</v>
      </c>
      <c r="F21" s="39" t="s">
        <v>122</v>
      </c>
      <c r="G21">
        <v>3.8600000000000002E-2</v>
      </c>
      <c r="U21" s="37"/>
      <c r="V21" s="37"/>
    </row>
    <row r="22" spans="1:24" x14ac:dyDescent="0.25">
      <c r="E22" s="16" t="s">
        <v>30</v>
      </c>
      <c r="F22">
        <v>3.8210000000000002</v>
      </c>
      <c r="G22">
        <v>3.7499999999999999E-2</v>
      </c>
      <c r="U22" s="37"/>
      <c r="V22" s="37"/>
    </row>
    <row r="23" spans="1:24" x14ac:dyDescent="0.25">
      <c r="E23" s="21" t="s">
        <v>31</v>
      </c>
      <c r="F23" s="39" t="s">
        <v>122</v>
      </c>
      <c r="G23">
        <v>4.0800000000000003E-2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49</v>
      </c>
      <c r="B27" s="30">
        <v>10</v>
      </c>
      <c r="D27" s="78">
        <f>A27</f>
        <v>49</v>
      </c>
      <c r="E27" s="12" t="s">
        <v>50</v>
      </c>
      <c r="F27" s="12">
        <f>B27</f>
        <v>10</v>
      </c>
      <c r="G27">
        <v>6.7400000000000002E-2</v>
      </c>
      <c r="H27">
        <v>4.2999999999999997E-2</v>
      </c>
      <c r="I27" s="56"/>
      <c r="J27" s="57">
        <f t="shared" ref="J27:J65" si="1">G27-$J$14</f>
        <v>2.8750000000000005E-2</v>
      </c>
      <c r="K27" s="58">
        <f t="shared" ref="K27:K65" si="2">H27-$K$14</f>
        <v>5.4999999999999979E-3</v>
      </c>
      <c r="L27" s="56"/>
      <c r="M27" s="59">
        <f>J27-(0.25*K27)</f>
        <v>2.7375000000000003E-2</v>
      </c>
      <c r="N27" s="56">
        <f>M27*67.839</f>
        <v>1.8570926250000002</v>
      </c>
      <c r="O27" s="58">
        <f>N27*2</f>
        <v>3.7141852500000003</v>
      </c>
      <c r="P27" s="56">
        <f>O27/F27</f>
        <v>0.37141852500000005</v>
      </c>
      <c r="Q27" s="57">
        <f>AVERAGE(P27:P29)</f>
        <v>0.37661951500000007</v>
      </c>
      <c r="R27" s="56">
        <f>STDEV(P27:P29)</f>
        <v>5.0916924385021461E-3</v>
      </c>
      <c r="S27" s="58">
        <f>R27/Q27*100</f>
        <v>1.3519459920981909</v>
      </c>
      <c r="T27" s="60">
        <f>D27</f>
        <v>49</v>
      </c>
      <c r="U27" s="61">
        <f>Q27</f>
        <v>0.37661951500000007</v>
      </c>
      <c r="V27" s="37"/>
    </row>
    <row r="28" spans="1:24" ht="14.45" customHeight="1" x14ac:dyDescent="0.25">
      <c r="A28" s="18">
        <v>50</v>
      </c>
      <c r="B28" s="30">
        <v>10</v>
      </c>
      <c r="D28" s="79"/>
      <c r="E28" s="17" t="s">
        <v>51</v>
      </c>
      <c r="F28" s="17">
        <f>F27</f>
        <v>10</v>
      </c>
      <c r="G28">
        <v>6.7400000000000002E-2</v>
      </c>
      <c r="H28">
        <v>4.1399999999999999E-2</v>
      </c>
      <c r="I28" s="56"/>
      <c r="J28" s="57">
        <f t="shared" si="1"/>
        <v>2.8750000000000005E-2</v>
      </c>
      <c r="K28" s="58">
        <f t="shared" si="2"/>
        <v>3.9000000000000007E-3</v>
      </c>
      <c r="L28" s="56"/>
      <c r="M28" s="62">
        <f t="shared" ref="M28:M91" si="3">J28-(0.25*K28)</f>
        <v>2.7775000000000005E-2</v>
      </c>
      <c r="N28" s="56">
        <f t="shared" ref="N28:N91" si="4">M28*67.839</f>
        <v>1.8842282250000002</v>
      </c>
      <c r="O28" s="58">
        <f t="shared" ref="O28:O91" si="5">N28*2</f>
        <v>3.7684564500000004</v>
      </c>
      <c r="P28" s="56">
        <f t="shared" ref="P28:P65" si="6">O28/F28</f>
        <v>0.37684564500000006</v>
      </c>
      <c r="Q28" s="57"/>
      <c r="R28" s="56"/>
      <c r="S28" s="58"/>
      <c r="T28" s="63">
        <f>D30</f>
        <v>50</v>
      </c>
      <c r="U28" s="64">
        <f>Q30</f>
        <v>0.4075993249999999</v>
      </c>
    </row>
    <row r="29" spans="1:24" ht="14.45" customHeight="1" x14ac:dyDescent="0.25">
      <c r="A29" s="18">
        <v>51</v>
      </c>
      <c r="B29" s="30">
        <v>10</v>
      </c>
      <c r="D29" s="80"/>
      <c r="E29" s="22" t="s">
        <v>52</v>
      </c>
      <c r="F29" s="22">
        <f>F27</f>
        <v>10</v>
      </c>
      <c r="G29">
        <v>6.7900000000000002E-2</v>
      </c>
      <c r="H29">
        <v>4.2000000000000003E-2</v>
      </c>
      <c r="I29" s="56"/>
      <c r="J29" s="57">
        <f t="shared" si="1"/>
        <v>2.9250000000000005E-2</v>
      </c>
      <c r="K29" s="58">
        <f t="shared" si="2"/>
        <v>4.500000000000004E-3</v>
      </c>
      <c r="L29" s="56"/>
      <c r="M29" s="62">
        <f t="shared" si="3"/>
        <v>2.8125000000000004E-2</v>
      </c>
      <c r="N29" s="56">
        <f t="shared" si="4"/>
        <v>1.9079718750000003</v>
      </c>
      <c r="O29" s="58">
        <f t="shared" si="5"/>
        <v>3.8159437500000006</v>
      </c>
      <c r="P29" s="56">
        <f t="shared" si="6"/>
        <v>0.38159437500000004</v>
      </c>
      <c r="Q29" s="57"/>
      <c r="R29" s="56"/>
      <c r="S29" s="58"/>
      <c r="T29" s="63">
        <f>D33</f>
        <v>51</v>
      </c>
      <c r="U29" s="64">
        <f>Q33</f>
        <v>0.560915465</v>
      </c>
    </row>
    <row r="30" spans="1:24" ht="14.45" customHeight="1" x14ac:dyDescent="0.25">
      <c r="A30" s="18">
        <v>52</v>
      </c>
      <c r="B30" s="30">
        <v>10</v>
      </c>
      <c r="D30" s="78">
        <f>A28</f>
        <v>50</v>
      </c>
      <c r="E30" s="12" t="s">
        <v>53</v>
      </c>
      <c r="F30" s="12">
        <f>B28</f>
        <v>10</v>
      </c>
      <c r="G30">
        <v>6.7199999999999996E-2</v>
      </c>
      <c r="H30">
        <v>4.1799999999999997E-2</v>
      </c>
      <c r="I30" s="56"/>
      <c r="J30" s="57">
        <f t="shared" si="1"/>
        <v>2.8549999999999999E-2</v>
      </c>
      <c r="K30" s="58">
        <f t="shared" si="2"/>
        <v>4.2999999999999983E-3</v>
      </c>
      <c r="L30" s="56"/>
      <c r="M30" s="62">
        <f t="shared" si="3"/>
        <v>2.7474999999999999E-2</v>
      </c>
      <c r="N30" s="56">
        <f t="shared" si="4"/>
        <v>1.863876525</v>
      </c>
      <c r="O30" s="58">
        <f t="shared" si="5"/>
        <v>3.72775305</v>
      </c>
      <c r="P30" s="56">
        <f t="shared" si="6"/>
        <v>0.372775305</v>
      </c>
      <c r="Q30" s="57">
        <f>AVERAGE(P30:P32)</f>
        <v>0.4075993249999999</v>
      </c>
      <c r="R30" s="56">
        <f>STDEV(P30:P32)</f>
        <v>3.6194400576543898E-2</v>
      </c>
      <c r="S30" s="58">
        <f>R30/Q30*100</f>
        <v>8.8798970843594773</v>
      </c>
      <c r="T30" s="63">
        <f>D36</f>
        <v>52</v>
      </c>
      <c r="U30" s="64">
        <f>Q36</f>
        <v>1.4320812900000002</v>
      </c>
    </row>
    <row r="31" spans="1:24" ht="14.45" customHeight="1" x14ac:dyDescent="0.25">
      <c r="A31" s="18">
        <v>53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7.0499999999999993E-2</v>
      </c>
      <c r="H31">
        <v>4.5499999999999999E-2</v>
      </c>
      <c r="I31" s="56"/>
      <c r="J31" s="57">
        <f t="shared" si="1"/>
        <v>3.1849999999999996E-2</v>
      </c>
      <c r="K31" s="58">
        <f t="shared" si="2"/>
        <v>8.0000000000000002E-3</v>
      </c>
      <c r="L31" s="56"/>
      <c r="M31" s="62">
        <f t="shared" si="3"/>
        <v>2.9849999999999995E-2</v>
      </c>
      <c r="N31" s="56">
        <f t="shared" si="4"/>
        <v>2.0249941499999995</v>
      </c>
      <c r="O31" s="58">
        <f t="shared" si="5"/>
        <v>4.049988299999999</v>
      </c>
      <c r="P31" s="56">
        <f t="shared" si="6"/>
        <v>0.40499882999999992</v>
      </c>
      <c r="Q31" s="57"/>
      <c r="R31" s="56"/>
      <c r="S31" s="58"/>
      <c r="T31" s="63">
        <f>D39</f>
        <v>53</v>
      </c>
      <c r="U31" s="64">
        <f>Q39</f>
        <v>0.2789313550000001</v>
      </c>
    </row>
    <row r="32" spans="1:24" ht="14.45" customHeight="1" x14ac:dyDescent="0.25">
      <c r="A32" s="18">
        <v>54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7.2499999999999995E-2</v>
      </c>
      <c r="H32">
        <v>4.1700000000000001E-2</v>
      </c>
      <c r="I32" s="56"/>
      <c r="J32" s="57">
        <f t="shared" si="1"/>
        <v>3.3849999999999998E-2</v>
      </c>
      <c r="K32" s="58">
        <f t="shared" si="2"/>
        <v>4.2000000000000023E-3</v>
      </c>
      <c r="L32" s="56"/>
      <c r="M32" s="62">
        <f t="shared" si="3"/>
        <v>3.2799999999999996E-2</v>
      </c>
      <c r="N32" s="56">
        <f t="shared" si="4"/>
        <v>2.2251191999999995</v>
      </c>
      <c r="O32" s="58">
        <f t="shared" si="5"/>
        <v>4.450238399999999</v>
      </c>
      <c r="P32" s="56">
        <f t="shared" si="6"/>
        <v>0.44502383999999989</v>
      </c>
      <c r="Q32" s="57"/>
      <c r="R32" s="56"/>
      <c r="S32" s="58"/>
      <c r="T32" s="63">
        <f>D42</f>
        <v>54</v>
      </c>
      <c r="U32" s="64">
        <f>Q42</f>
        <v>0.20837879500000003</v>
      </c>
    </row>
    <row r="33" spans="1:21" ht="14.45" customHeight="1" x14ac:dyDescent="0.25">
      <c r="A33" s="18">
        <v>55</v>
      </c>
      <c r="B33" s="30">
        <v>10</v>
      </c>
      <c r="D33" s="78">
        <f>A29</f>
        <v>51</v>
      </c>
      <c r="E33" s="12" t="s">
        <v>56</v>
      </c>
      <c r="F33" s="12">
        <f>B29</f>
        <v>10</v>
      </c>
      <c r="G33">
        <v>7.4499999999999997E-2</v>
      </c>
      <c r="H33">
        <v>3.73E-2</v>
      </c>
      <c r="I33" s="56"/>
      <c r="J33" s="57">
        <f t="shared" si="1"/>
        <v>3.585E-2</v>
      </c>
      <c r="K33" s="58">
        <f t="shared" si="2"/>
        <v>-1.9999999999999879E-4</v>
      </c>
      <c r="L33" s="56"/>
      <c r="M33" s="62">
        <f t="shared" si="3"/>
        <v>3.5900000000000001E-2</v>
      </c>
      <c r="N33" s="56">
        <f t="shared" si="4"/>
        <v>2.4354201</v>
      </c>
      <c r="O33" s="58">
        <f t="shared" si="5"/>
        <v>4.8708402</v>
      </c>
      <c r="P33" s="56">
        <f t="shared" si="6"/>
        <v>0.48708402000000001</v>
      </c>
      <c r="Q33" s="57">
        <f>AVERAGE(P33:P35)</f>
        <v>0.560915465</v>
      </c>
      <c r="R33" s="56">
        <f>STDEV(P33:P35)</f>
        <v>6.5471078802033511E-2</v>
      </c>
      <c r="S33" s="58">
        <f>R33/Q33*100</f>
        <v>11.672182866634548</v>
      </c>
      <c r="T33" s="63">
        <f>D45</f>
        <v>55</v>
      </c>
      <c r="U33" s="64">
        <f>Q45</f>
        <v>0.16993669500000005</v>
      </c>
    </row>
    <row r="34" spans="1:21" ht="14.45" customHeight="1" x14ac:dyDescent="0.25">
      <c r="A34" s="18">
        <v>56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8.4900000000000003E-2</v>
      </c>
      <c r="H34">
        <v>4.2099999999999999E-2</v>
      </c>
      <c r="I34" s="56"/>
      <c r="J34" s="57">
        <f t="shared" si="1"/>
        <v>4.6250000000000006E-2</v>
      </c>
      <c r="K34" s="58">
        <f t="shared" si="2"/>
        <v>4.5999999999999999E-3</v>
      </c>
      <c r="L34" s="56"/>
      <c r="M34" s="62">
        <f t="shared" si="3"/>
        <v>4.5100000000000008E-2</v>
      </c>
      <c r="N34" s="56">
        <f t="shared" si="4"/>
        <v>3.0595389000000006</v>
      </c>
      <c r="O34" s="58">
        <f t="shared" si="5"/>
        <v>6.1190778000000012</v>
      </c>
      <c r="P34" s="56">
        <f t="shared" si="6"/>
        <v>0.61190778000000012</v>
      </c>
      <c r="Q34" s="57"/>
      <c r="R34" s="56"/>
      <c r="S34" s="58"/>
      <c r="T34" s="63">
        <f>D48</f>
        <v>56</v>
      </c>
      <c r="U34" s="64">
        <f>Q48</f>
        <v>0.281418785</v>
      </c>
    </row>
    <row r="35" spans="1:21" ht="14.45" customHeight="1" x14ac:dyDescent="0.25">
      <c r="A35" s="18">
        <v>57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8.2400000000000001E-2</v>
      </c>
      <c r="H35">
        <v>4.0399999999999998E-2</v>
      </c>
      <c r="I35" s="56"/>
      <c r="J35" s="57">
        <f t="shared" si="1"/>
        <v>4.3750000000000004E-2</v>
      </c>
      <c r="K35" s="58">
        <f t="shared" si="2"/>
        <v>2.8999999999999998E-3</v>
      </c>
      <c r="L35" s="56"/>
      <c r="M35" s="62">
        <f t="shared" si="3"/>
        <v>4.3025000000000008E-2</v>
      </c>
      <c r="N35" s="56">
        <f t="shared" si="4"/>
        <v>2.9187729750000004</v>
      </c>
      <c r="O35" s="58">
        <f t="shared" si="5"/>
        <v>5.8375459500000009</v>
      </c>
      <c r="P35" s="56">
        <f t="shared" si="6"/>
        <v>0.58375459500000004</v>
      </c>
      <c r="Q35" s="57"/>
      <c r="R35" s="56"/>
      <c r="S35" s="58"/>
      <c r="T35" s="63">
        <f>D51</f>
        <v>57</v>
      </c>
      <c r="U35" s="64">
        <f>Q51</f>
        <v>0.60817663500000008</v>
      </c>
    </row>
    <row r="36" spans="1:21" ht="14.45" customHeight="1" x14ac:dyDescent="0.25">
      <c r="A36" s="18">
        <v>58</v>
      </c>
      <c r="B36" s="30">
        <v>10</v>
      </c>
      <c r="D36" s="78">
        <f>A30</f>
        <v>52</v>
      </c>
      <c r="E36" s="12" t="s">
        <v>59</v>
      </c>
      <c r="F36" s="12">
        <f>B30</f>
        <v>10</v>
      </c>
      <c r="G36">
        <v>0.21249999999999999</v>
      </c>
      <c r="H36">
        <v>3.9399999999999998E-2</v>
      </c>
      <c r="I36" s="56"/>
      <c r="J36" s="57">
        <f t="shared" si="1"/>
        <v>0.17385</v>
      </c>
      <c r="K36" s="58">
        <f t="shared" si="2"/>
        <v>1.8999999999999989E-3</v>
      </c>
      <c r="L36" s="56"/>
      <c r="M36" s="62">
        <f t="shared" si="3"/>
        <v>0.173375</v>
      </c>
      <c r="N36" s="56">
        <f t="shared" si="4"/>
        <v>11.761586625</v>
      </c>
      <c r="O36" s="58">
        <f t="shared" si="5"/>
        <v>23.523173249999999</v>
      </c>
      <c r="P36" s="56">
        <f t="shared" si="6"/>
        <v>2.352317325</v>
      </c>
      <c r="Q36" s="57">
        <f>AVERAGE(P36:P38)</f>
        <v>1.4320812900000002</v>
      </c>
      <c r="R36" s="56">
        <f>STDEV(P36:P38)</f>
        <v>0.7969911108641784</v>
      </c>
      <c r="S36" s="58">
        <f>R36/Q36*100</f>
        <v>55.65264461098981</v>
      </c>
      <c r="T36" s="63">
        <f>D54</f>
        <v>58</v>
      </c>
      <c r="U36" s="64">
        <f>Q54</f>
        <v>0.248629935</v>
      </c>
    </row>
    <row r="37" spans="1:21" ht="14.45" customHeight="1" x14ac:dyDescent="0.25">
      <c r="A37" s="18">
        <v>59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0.1118</v>
      </c>
      <c r="H37">
        <v>4.1099999999999998E-2</v>
      </c>
      <c r="I37" s="56"/>
      <c r="J37" s="57">
        <f t="shared" si="1"/>
        <v>7.3149999999999993E-2</v>
      </c>
      <c r="K37" s="58">
        <f t="shared" si="2"/>
        <v>3.599999999999999E-3</v>
      </c>
      <c r="L37" s="56"/>
      <c r="M37" s="62">
        <f t="shared" si="3"/>
        <v>7.2249999999999995E-2</v>
      </c>
      <c r="N37" s="56">
        <f t="shared" si="4"/>
        <v>4.9013677499999995</v>
      </c>
      <c r="O37" s="58">
        <f t="shared" si="5"/>
        <v>9.8027354999999989</v>
      </c>
      <c r="P37" s="56">
        <f t="shared" si="6"/>
        <v>0.98027354999999994</v>
      </c>
      <c r="Q37" s="57"/>
      <c r="R37" s="56"/>
      <c r="S37" s="58"/>
      <c r="T37" s="63">
        <f>D57</f>
        <v>59</v>
      </c>
      <c r="U37" s="64">
        <f>Q57</f>
        <v>0.30357952500000002</v>
      </c>
    </row>
    <row r="38" spans="1:21" ht="14.45" customHeight="1" x14ac:dyDescent="0.25">
      <c r="A38" s="18">
        <v>60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0.1106</v>
      </c>
      <c r="H38">
        <v>4.1200000000000001E-2</v>
      </c>
      <c r="I38" s="56"/>
      <c r="J38" s="57">
        <f t="shared" si="1"/>
        <v>7.1950000000000014E-2</v>
      </c>
      <c r="K38" s="58">
        <f t="shared" si="2"/>
        <v>3.7000000000000019E-3</v>
      </c>
      <c r="L38" s="56"/>
      <c r="M38" s="62">
        <f t="shared" si="3"/>
        <v>7.1025000000000019E-2</v>
      </c>
      <c r="N38" s="56">
        <f t="shared" si="4"/>
        <v>4.8182649750000008</v>
      </c>
      <c r="O38" s="58">
        <f t="shared" si="5"/>
        <v>9.6365299500000017</v>
      </c>
      <c r="P38" s="56">
        <f t="shared" si="6"/>
        <v>0.96365299500000012</v>
      </c>
      <c r="Q38" s="57"/>
      <c r="R38" s="56"/>
      <c r="S38" s="58"/>
      <c r="T38" s="63">
        <f>D60</f>
        <v>60</v>
      </c>
      <c r="U38" s="64">
        <f>Q60</f>
        <v>0.55051348500000008</v>
      </c>
    </row>
    <row r="39" spans="1:21" ht="14.45" customHeight="1" x14ac:dyDescent="0.25">
      <c r="A39" s="18">
        <v>61</v>
      </c>
      <c r="B39" s="30">
        <v>10</v>
      </c>
      <c r="D39" s="78">
        <f>A31</f>
        <v>53</v>
      </c>
      <c r="E39" s="12" t="s">
        <v>62</v>
      </c>
      <c r="F39" s="12">
        <f>B31</f>
        <v>10</v>
      </c>
      <c r="G39">
        <v>5.8000000000000003E-2</v>
      </c>
      <c r="H39">
        <v>4.0800000000000003E-2</v>
      </c>
      <c r="I39" s="56"/>
      <c r="J39" s="57">
        <f t="shared" si="1"/>
        <v>1.9350000000000006E-2</v>
      </c>
      <c r="K39" s="58">
        <f t="shared" si="2"/>
        <v>3.3000000000000043E-3</v>
      </c>
      <c r="L39" s="56"/>
      <c r="M39" s="62">
        <f t="shared" si="3"/>
        <v>1.8525000000000007E-2</v>
      </c>
      <c r="N39" s="56">
        <f t="shared" si="4"/>
        <v>1.2567174750000005</v>
      </c>
      <c r="O39" s="58">
        <f t="shared" si="5"/>
        <v>2.5134349500000011</v>
      </c>
      <c r="P39" s="56">
        <f t="shared" si="6"/>
        <v>0.25134349500000008</v>
      </c>
      <c r="Q39" s="57">
        <f>AVERAGE(P39:P41)</f>
        <v>0.2789313550000001</v>
      </c>
      <c r="R39" s="56">
        <f>STDEV(P39:P41)</f>
        <v>3.4899742616175233E-2</v>
      </c>
      <c r="S39" s="58">
        <f>R39/Q39*100</f>
        <v>12.511946753413655</v>
      </c>
      <c r="T39" s="63">
        <f>D63</f>
        <v>61</v>
      </c>
      <c r="U39" s="64">
        <f>Q63</f>
        <v>0.59110381999999995</v>
      </c>
    </row>
    <row r="40" spans="1:21" ht="14.45" customHeight="1" x14ac:dyDescent="0.25">
      <c r="A40" s="18">
        <v>62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5.8999999999999997E-2</v>
      </c>
      <c r="H40">
        <v>4.0099999999999997E-2</v>
      </c>
      <c r="I40" s="56"/>
      <c r="J40" s="57">
        <f t="shared" si="1"/>
        <v>2.035E-2</v>
      </c>
      <c r="K40" s="58">
        <f t="shared" si="2"/>
        <v>2.5999999999999981E-3</v>
      </c>
      <c r="L40" s="56"/>
      <c r="M40" s="62">
        <f t="shared" si="3"/>
        <v>1.9700000000000002E-2</v>
      </c>
      <c r="N40" s="56">
        <f t="shared" si="4"/>
        <v>1.3364283000000001</v>
      </c>
      <c r="O40" s="58">
        <f t="shared" si="5"/>
        <v>2.6728566000000002</v>
      </c>
      <c r="P40" s="56">
        <f t="shared" si="6"/>
        <v>0.26728566000000004</v>
      </c>
      <c r="Q40" s="57"/>
      <c r="R40" s="56"/>
      <c r="S40" s="58"/>
      <c r="T40" s="63">
        <f>D69</f>
        <v>62</v>
      </c>
      <c r="U40" s="64">
        <f>Q66</f>
        <v>0.29984838000000003</v>
      </c>
    </row>
    <row r="41" spans="1:21" ht="14.45" customHeight="1" x14ac:dyDescent="0.25">
      <c r="A41" s="18">
        <v>63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6.3600000000000004E-2</v>
      </c>
      <c r="H41">
        <v>4.3499999999999997E-2</v>
      </c>
      <c r="I41" s="56"/>
      <c r="J41" s="57">
        <f t="shared" si="1"/>
        <v>2.4950000000000007E-2</v>
      </c>
      <c r="K41" s="58">
        <f t="shared" si="2"/>
        <v>5.9999999999999984E-3</v>
      </c>
      <c r="L41" s="56"/>
      <c r="M41" s="62">
        <f t="shared" si="3"/>
        <v>2.3450000000000006E-2</v>
      </c>
      <c r="N41" s="56">
        <f t="shared" si="4"/>
        <v>1.5908245500000004</v>
      </c>
      <c r="O41" s="58">
        <f t="shared" si="5"/>
        <v>3.1816491000000009</v>
      </c>
      <c r="P41" s="56">
        <f t="shared" si="6"/>
        <v>0.31816491000000008</v>
      </c>
      <c r="Q41" s="57"/>
      <c r="R41" s="56"/>
      <c r="S41" s="58"/>
      <c r="T41" s="63">
        <f>D72</f>
        <v>63</v>
      </c>
      <c r="U41" s="64">
        <f>Q69</f>
        <v>0.47736043</v>
      </c>
    </row>
    <row r="42" spans="1:21" ht="14.45" customHeight="1" x14ac:dyDescent="0.25">
      <c r="A42" s="18">
        <v>64</v>
      </c>
      <c r="B42" s="30">
        <v>10</v>
      </c>
      <c r="D42" s="78">
        <f>A32</f>
        <v>54</v>
      </c>
      <c r="E42" s="12" t="s">
        <v>65</v>
      </c>
      <c r="F42" s="12">
        <f>B32</f>
        <v>10</v>
      </c>
      <c r="G42">
        <v>6.1699999999999998E-2</v>
      </c>
      <c r="H42">
        <v>4.8500000000000001E-2</v>
      </c>
      <c r="I42" s="56"/>
      <c r="J42" s="57">
        <f t="shared" si="1"/>
        <v>2.3050000000000001E-2</v>
      </c>
      <c r="K42" s="58">
        <f t="shared" si="2"/>
        <v>1.1000000000000003E-2</v>
      </c>
      <c r="L42" s="56"/>
      <c r="M42" s="62">
        <f t="shared" si="3"/>
        <v>2.0299999999999999E-2</v>
      </c>
      <c r="N42" s="56">
        <f t="shared" si="4"/>
        <v>1.3771316999999998</v>
      </c>
      <c r="O42" s="58">
        <f t="shared" si="5"/>
        <v>2.7542633999999997</v>
      </c>
      <c r="P42" s="56">
        <f t="shared" si="6"/>
        <v>0.27542633999999999</v>
      </c>
      <c r="Q42" s="57">
        <f>AVERAGE(P42:P44)</f>
        <v>0.20837879500000003</v>
      </c>
      <c r="R42" s="56">
        <f>STDEV(P42:P44)</f>
        <v>6.1584524184073744E-2</v>
      </c>
      <c r="S42" s="58">
        <f>R42/Q42*100</f>
        <v>29.554122425976086</v>
      </c>
      <c r="T42" s="63">
        <f>D75</f>
        <v>64</v>
      </c>
      <c r="U42" s="64">
        <f>Q72</f>
        <v>0.48561417500000004</v>
      </c>
    </row>
    <row r="43" spans="1:21" ht="14.45" customHeight="1" x14ac:dyDescent="0.25">
      <c r="A43" s="18">
        <v>65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5.45E-2</v>
      </c>
      <c r="H43">
        <v>4.3299999999999998E-2</v>
      </c>
      <c r="I43" s="56"/>
      <c r="J43" s="57">
        <f t="shared" si="1"/>
        <v>1.5850000000000003E-2</v>
      </c>
      <c r="K43" s="58">
        <f t="shared" si="2"/>
        <v>5.7999999999999996E-3</v>
      </c>
      <c r="L43" s="56"/>
      <c r="M43" s="62">
        <f t="shared" si="3"/>
        <v>1.4400000000000003E-2</v>
      </c>
      <c r="N43" s="56">
        <f t="shared" si="4"/>
        <v>0.97688160000000024</v>
      </c>
      <c r="O43" s="58">
        <f t="shared" si="5"/>
        <v>1.9537632000000005</v>
      </c>
      <c r="P43" s="56">
        <f t="shared" si="6"/>
        <v>0.19537632000000005</v>
      </c>
      <c r="Q43" s="57"/>
      <c r="R43" s="56"/>
      <c r="S43" s="58"/>
      <c r="T43" s="63">
        <f>D78</f>
        <v>65</v>
      </c>
      <c r="U43" s="64">
        <f>Q75</f>
        <v>0.38713456000000002</v>
      </c>
    </row>
    <row r="44" spans="1:21" ht="14.45" customHeight="1" x14ac:dyDescent="0.25">
      <c r="A44" s="18">
        <v>66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5.0700000000000002E-2</v>
      </c>
      <c r="H44">
        <v>4.02E-2</v>
      </c>
      <c r="I44" s="56"/>
      <c r="J44" s="57">
        <f t="shared" si="1"/>
        <v>1.2050000000000005E-2</v>
      </c>
      <c r="K44" s="58">
        <f t="shared" si="2"/>
        <v>2.700000000000001E-3</v>
      </c>
      <c r="L44" s="56"/>
      <c r="M44" s="62">
        <f t="shared" si="3"/>
        <v>1.1375000000000005E-2</v>
      </c>
      <c r="N44" s="56">
        <f t="shared" si="4"/>
        <v>0.77166862500000033</v>
      </c>
      <c r="O44" s="58">
        <f t="shared" si="5"/>
        <v>1.5433372500000007</v>
      </c>
      <c r="P44" s="56">
        <f t="shared" si="6"/>
        <v>0.15433372500000006</v>
      </c>
      <c r="Q44" s="57"/>
      <c r="R44" s="56"/>
      <c r="S44" s="58"/>
      <c r="T44" s="63">
        <f>D81</f>
        <v>66</v>
      </c>
      <c r="U44" s="64">
        <f>Q78</f>
        <v>0.46955894500000001</v>
      </c>
    </row>
    <row r="45" spans="1:21" ht="14.45" customHeight="1" x14ac:dyDescent="0.25">
      <c r="A45" s="18">
        <v>67</v>
      </c>
      <c r="B45" s="30">
        <v>10</v>
      </c>
      <c r="D45" s="78">
        <f>A33</f>
        <v>55</v>
      </c>
      <c r="E45" s="12" t="s">
        <v>68</v>
      </c>
      <c r="F45" s="12">
        <f>B33</f>
        <v>10</v>
      </c>
      <c r="G45">
        <v>5.11E-2</v>
      </c>
      <c r="H45">
        <v>3.8699999999999998E-2</v>
      </c>
      <c r="I45" s="56"/>
      <c r="J45" s="57">
        <f t="shared" si="1"/>
        <v>1.2450000000000003E-2</v>
      </c>
      <c r="K45" s="58">
        <f t="shared" si="2"/>
        <v>1.1999999999999997E-3</v>
      </c>
      <c r="L45" s="56"/>
      <c r="M45" s="62">
        <f t="shared" si="3"/>
        <v>1.2150000000000003E-2</v>
      </c>
      <c r="N45" s="56">
        <f t="shared" si="4"/>
        <v>0.82424385000000022</v>
      </c>
      <c r="O45" s="58">
        <f t="shared" si="5"/>
        <v>1.6484877000000004</v>
      </c>
      <c r="P45" s="56">
        <f t="shared" si="6"/>
        <v>0.16484877000000003</v>
      </c>
      <c r="Q45" s="57">
        <f>AVERAGE(P45:P47)</f>
        <v>0.16993669500000005</v>
      </c>
      <c r="R45" s="56">
        <f>STDEV(P45:P47)</f>
        <v>1.3461384239348295E-2</v>
      </c>
      <c r="S45" s="58">
        <f>R45/Q45*100</f>
        <v>7.9214111109718184</v>
      </c>
      <c r="T45" s="63">
        <f>D84</f>
        <v>67</v>
      </c>
      <c r="U45" s="64">
        <f>Q81</f>
        <v>0.22884356000000006</v>
      </c>
    </row>
    <row r="46" spans="1:21" ht="14.45" customHeight="1" x14ac:dyDescent="0.25">
      <c r="A46" s="18">
        <v>68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5.0500000000000003E-2</v>
      </c>
      <c r="H46">
        <v>3.78E-2</v>
      </c>
      <c r="I46" s="56"/>
      <c r="J46" s="57">
        <f t="shared" si="1"/>
        <v>1.1850000000000006E-2</v>
      </c>
      <c r="K46" s="58">
        <f t="shared" si="2"/>
        <v>3.0000000000000165E-4</v>
      </c>
      <c r="L46" s="56"/>
      <c r="M46" s="62">
        <f t="shared" si="3"/>
        <v>1.1775000000000006E-2</v>
      </c>
      <c r="N46" s="56">
        <f t="shared" si="4"/>
        <v>0.79880422500000037</v>
      </c>
      <c r="O46" s="58">
        <f t="shared" si="5"/>
        <v>1.5976084500000007</v>
      </c>
      <c r="P46" s="56">
        <f t="shared" si="6"/>
        <v>0.15976084500000007</v>
      </c>
      <c r="Q46" s="57"/>
      <c r="R46" s="56"/>
      <c r="S46" s="58"/>
      <c r="T46" s="63">
        <f>D87</f>
        <v>68</v>
      </c>
      <c r="U46" s="64">
        <f>Q84</f>
        <v>0.59675707000000011</v>
      </c>
    </row>
    <row r="47" spans="1:21" ht="14.45" customHeight="1" x14ac:dyDescent="0.25">
      <c r="A47" s="18">
        <v>69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5.28E-2</v>
      </c>
      <c r="H47">
        <v>3.95E-2</v>
      </c>
      <c r="I47" s="56"/>
      <c r="J47" s="57">
        <f t="shared" si="1"/>
        <v>1.4150000000000003E-2</v>
      </c>
      <c r="K47" s="58">
        <f t="shared" si="2"/>
        <v>2.0000000000000018E-3</v>
      </c>
      <c r="L47" s="56"/>
      <c r="M47" s="62">
        <f t="shared" si="3"/>
        <v>1.3650000000000002E-2</v>
      </c>
      <c r="N47" s="56">
        <f t="shared" si="4"/>
        <v>0.9260023500000002</v>
      </c>
      <c r="O47" s="58">
        <f t="shared" si="5"/>
        <v>1.8520047000000004</v>
      </c>
      <c r="P47" s="56">
        <f t="shared" si="6"/>
        <v>0.18520047000000003</v>
      </c>
      <c r="Q47" s="57"/>
      <c r="R47" s="56"/>
      <c r="S47" s="58"/>
      <c r="T47" s="63">
        <f>D90</f>
        <v>69</v>
      </c>
      <c r="U47" s="64">
        <f>Q87</f>
        <v>0.74170639999999999</v>
      </c>
    </row>
    <row r="48" spans="1:21" ht="14.45" customHeight="1" x14ac:dyDescent="0.25">
      <c r="A48" s="18">
        <v>70</v>
      </c>
      <c r="B48" s="30">
        <v>10</v>
      </c>
      <c r="D48" s="78">
        <f>A34</f>
        <v>56</v>
      </c>
      <c r="E48" s="12" t="s">
        <v>71</v>
      </c>
      <c r="F48" s="12">
        <f>B34</f>
        <v>10</v>
      </c>
      <c r="G48">
        <v>5.7500000000000002E-2</v>
      </c>
      <c r="H48">
        <v>3.8699999999999998E-2</v>
      </c>
      <c r="I48" s="56"/>
      <c r="J48" s="57">
        <f t="shared" si="1"/>
        <v>1.8850000000000006E-2</v>
      </c>
      <c r="K48" s="58">
        <f t="shared" si="2"/>
        <v>1.1999999999999997E-3</v>
      </c>
      <c r="L48" s="56"/>
      <c r="M48" s="62">
        <f t="shared" si="3"/>
        <v>1.8550000000000004E-2</v>
      </c>
      <c r="N48" s="56">
        <f t="shared" si="4"/>
        <v>1.2584134500000002</v>
      </c>
      <c r="O48" s="58">
        <f t="shared" si="5"/>
        <v>2.5168269000000003</v>
      </c>
      <c r="P48" s="56">
        <f t="shared" si="6"/>
        <v>0.25168269000000004</v>
      </c>
      <c r="Q48" s="57">
        <f>AVERAGE(P48:P50)</f>
        <v>0.281418785</v>
      </c>
      <c r="R48" s="56">
        <f>STDEV(P48:P50)</f>
        <v>2.5953035757325667E-2</v>
      </c>
      <c r="S48" s="58">
        <f>R48/Q48*100</f>
        <v>9.2222115724526592</v>
      </c>
      <c r="T48" s="63">
        <f>D96</f>
        <v>70</v>
      </c>
      <c r="U48" s="64">
        <f>Q90</f>
        <v>0.55164413499999998</v>
      </c>
    </row>
    <row r="49" spans="1:22" ht="14.45" customHeight="1" x14ac:dyDescent="0.25">
      <c r="A49" s="18">
        <v>71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6.1699999999999998E-2</v>
      </c>
      <c r="H49">
        <v>4.1399999999999999E-2</v>
      </c>
      <c r="I49" s="56"/>
      <c r="J49" s="57">
        <f t="shared" si="1"/>
        <v>2.3050000000000001E-2</v>
      </c>
      <c r="K49" s="58">
        <f t="shared" si="2"/>
        <v>3.9000000000000007E-3</v>
      </c>
      <c r="L49" s="56"/>
      <c r="M49" s="62">
        <f t="shared" si="3"/>
        <v>2.2075000000000001E-2</v>
      </c>
      <c r="N49" s="56">
        <f t="shared" si="4"/>
        <v>1.4975459250000001</v>
      </c>
      <c r="O49" s="58">
        <f t="shared" si="5"/>
        <v>2.9950918500000001</v>
      </c>
      <c r="P49" s="56">
        <f t="shared" si="6"/>
        <v>0.29950918500000001</v>
      </c>
      <c r="Q49" s="57"/>
      <c r="R49" s="56"/>
      <c r="S49" s="58"/>
      <c r="T49" s="63">
        <f>D99</f>
        <v>71</v>
      </c>
      <c r="U49" s="64">
        <f>Q93</f>
        <v>0.49974729999999995</v>
      </c>
    </row>
    <row r="50" spans="1:22" ht="14.45" customHeight="1" x14ac:dyDescent="0.25">
      <c r="A50" s="18">
        <v>72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6.0600000000000001E-2</v>
      </c>
      <c r="H50">
        <v>3.8899999999999997E-2</v>
      </c>
      <c r="I50" s="56"/>
      <c r="J50" s="57">
        <f t="shared" si="1"/>
        <v>2.1950000000000004E-2</v>
      </c>
      <c r="K50" s="58">
        <f t="shared" si="2"/>
        <v>1.3999999999999985E-3</v>
      </c>
      <c r="L50" s="56"/>
      <c r="M50" s="62">
        <f t="shared" si="3"/>
        <v>2.1600000000000005E-2</v>
      </c>
      <c r="N50" s="56">
        <f t="shared" si="4"/>
        <v>1.4653224000000002</v>
      </c>
      <c r="O50" s="58">
        <f t="shared" si="5"/>
        <v>2.9306448000000005</v>
      </c>
      <c r="P50" s="56">
        <f t="shared" si="6"/>
        <v>0.29306448000000007</v>
      </c>
      <c r="Q50" s="57"/>
      <c r="R50" s="56"/>
      <c r="S50" s="58"/>
      <c r="T50" s="67">
        <f>D102</f>
        <v>72</v>
      </c>
      <c r="U50" s="68">
        <f>Q96</f>
        <v>0.48810160500000005</v>
      </c>
    </row>
    <row r="51" spans="1:22" ht="14.45" customHeight="1" x14ac:dyDescent="0.25">
      <c r="D51" s="78">
        <f>A35</f>
        <v>57</v>
      </c>
      <c r="E51" s="12" t="s">
        <v>74</v>
      </c>
      <c r="F51" s="12">
        <f>B35</f>
        <v>10</v>
      </c>
      <c r="G51">
        <v>7.9399999999999998E-2</v>
      </c>
      <c r="H51">
        <v>4.1099999999999998E-2</v>
      </c>
      <c r="I51" s="56"/>
      <c r="J51" s="57">
        <f t="shared" si="1"/>
        <v>4.0750000000000001E-2</v>
      </c>
      <c r="K51" s="58">
        <f t="shared" si="2"/>
        <v>3.599999999999999E-3</v>
      </c>
      <c r="L51" s="56"/>
      <c r="M51" s="62">
        <f t="shared" si="3"/>
        <v>3.9850000000000003E-2</v>
      </c>
      <c r="N51" s="56">
        <f t="shared" si="4"/>
        <v>2.7033841500000002</v>
      </c>
      <c r="O51" s="58">
        <f t="shared" si="5"/>
        <v>5.4067683000000004</v>
      </c>
      <c r="P51" s="56">
        <f t="shared" si="6"/>
        <v>0.54067683</v>
      </c>
      <c r="Q51" s="57">
        <f>AVERAGE(P51:P53)</f>
        <v>0.60817663500000008</v>
      </c>
      <c r="R51" s="56">
        <f>STDEV(P51:P53)</f>
        <v>6.8540055223998586E-2</v>
      </c>
      <c r="S51" s="58">
        <f>R51/Q51*100</f>
        <v>11.269761329124158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8.48E-2</v>
      </c>
      <c r="H52">
        <v>4.3400000000000001E-2</v>
      </c>
      <c r="I52" s="56"/>
      <c r="J52" s="57">
        <f t="shared" si="1"/>
        <v>4.6150000000000004E-2</v>
      </c>
      <c r="K52" s="58">
        <f t="shared" si="2"/>
        <v>5.9000000000000025E-3</v>
      </c>
      <c r="L52" s="56"/>
      <c r="M52" s="62">
        <f t="shared" si="3"/>
        <v>4.4675000000000006E-2</v>
      </c>
      <c r="N52" s="56">
        <f t="shared" si="4"/>
        <v>3.0307073250000003</v>
      </c>
      <c r="O52" s="58">
        <f t="shared" si="5"/>
        <v>6.0614146500000006</v>
      </c>
      <c r="P52" s="56">
        <f t="shared" si="6"/>
        <v>0.6061414650000001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9.0700000000000003E-2</v>
      </c>
      <c r="H53">
        <v>4.5900000000000003E-2</v>
      </c>
      <c r="I53" s="56"/>
      <c r="J53" s="57">
        <f t="shared" si="1"/>
        <v>5.2050000000000006E-2</v>
      </c>
      <c r="K53" s="58">
        <f t="shared" si="2"/>
        <v>8.4000000000000047E-3</v>
      </c>
      <c r="L53" s="56"/>
      <c r="M53" s="62">
        <f t="shared" si="3"/>
        <v>4.9950000000000008E-2</v>
      </c>
      <c r="N53" s="56">
        <f t="shared" si="4"/>
        <v>3.3885580500000003</v>
      </c>
      <c r="O53" s="58">
        <f t="shared" si="5"/>
        <v>6.7771161000000006</v>
      </c>
      <c r="P53" s="56">
        <f t="shared" si="6"/>
        <v>0.67771161000000002</v>
      </c>
      <c r="Q53" s="57"/>
      <c r="R53" s="56"/>
      <c r="S53" s="58"/>
      <c r="T53" s="56"/>
    </row>
    <row r="54" spans="1:22" ht="14.45" customHeight="1" x14ac:dyDescent="0.25">
      <c r="D54" s="78">
        <f>A36</f>
        <v>58</v>
      </c>
      <c r="E54" s="12" t="s">
        <v>77</v>
      </c>
      <c r="F54" s="12">
        <f>B36</f>
        <v>10</v>
      </c>
      <c r="G54">
        <v>5.8900000000000001E-2</v>
      </c>
      <c r="H54">
        <v>4.5999999999999999E-2</v>
      </c>
      <c r="I54" s="56"/>
      <c r="J54" s="57">
        <f t="shared" si="1"/>
        <v>2.0250000000000004E-2</v>
      </c>
      <c r="K54" s="58">
        <f t="shared" si="2"/>
        <v>8.5000000000000006E-3</v>
      </c>
      <c r="L54" s="56"/>
      <c r="M54" s="62">
        <f t="shared" si="3"/>
        <v>1.8125000000000002E-2</v>
      </c>
      <c r="N54" s="56">
        <f t="shared" si="4"/>
        <v>1.229581875</v>
      </c>
      <c r="O54" s="58">
        <f t="shared" si="5"/>
        <v>2.4591637500000001</v>
      </c>
      <c r="P54" s="56">
        <f t="shared" si="6"/>
        <v>0.24591637500000002</v>
      </c>
      <c r="Q54" s="57">
        <f>AVERAGE(P54:P56)</f>
        <v>0.248629935</v>
      </c>
      <c r="R54" s="56">
        <f>STDEV(P54:P56)</f>
        <v>2.3522139990915465E-2</v>
      </c>
      <c r="S54" s="58">
        <f>R54/Q54*100</f>
        <v>9.4607031091873406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5.67E-2</v>
      </c>
      <c r="H55">
        <v>4.2900000000000001E-2</v>
      </c>
      <c r="I55" s="56"/>
      <c r="J55" s="57">
        <f t="shared" si="1"/>
        <v>1.8050000000000004E-2</v>
      </c>
      <c r="K55" s="58">
        <f t="shared" si="2"/>
        <v>5.400000000000002E-3</v>
      </c>
      <c r="L55" s="56"/>
      <c r="M55" s="62">
        <f t="shared" si="3"/>
        <v>1.6700000000000003E-2</v>
      </c>
      <c r="N55" s="56">
        <f t="shared" si="4"/>
        <v>1.1329113000000002</v>
      </c>
      <c r="O55" s="58">
        <f t="shared" si="5"/>
        <v>2.2658226000000004</v>
      </c>
      <c r="P55" s="56">
        <f t="shared" si="6"/>
        <v>0.22658226000000004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6.08E-2</v>
      </c>
      <c r="H56">
        <v>4.5499999999999999E-2</v>
      </c>
      <c r="I56" s="56"/>
      <c r="J56" s="57">
        <f t="shared" si="1"/>
        <v>2.2150000000000003E-2</v>
      </c>
      <c r="K56" s="58">
        <f t="shared" si="2"/>
        <v>8.0000000000000002E-3</v>
      </c>
      <c r="L56" s="56"/>
      <c r="M56" s="62">
        <f t="shared" si="3"/>
        <v>2.0150000000000001E-2</v>
      </c>
      <c r="N56" s="56">
        <f t="shared" si="4"/>
        <v>1.3669558500000001</v>
      </c>
      <c r="O56" s="58">
        <f t="shared" si="5"/>
        <v>2.7339117000000002</v>
      </c>
      <c r="P56" s="56">
        <f t="shared" si="6"/>
        <v>0.27339117000000002</v>
      </c>
      <c r="Q56" s="57"/>
      <c r="R56" s="56"/>
      <c r="S56" s="58"/>
      <c r="T56" s="56"/>
    </row>
    <row r="57" spans="1:22" ht="14.45" customHeight="1" x14ac:dyDescent="0.25">
      <c r="D57" s="78">
        <f>A37</f>
        <v>59</v>
      </c>
      <c r="E57" s="12" t="s">
        <v>80</v>
      </c>
      <c r="F57" s="12">
        <f>B37</f>
        <v>10</v>
      </c>
      <c r="G57">
        <v>5.96E-2</v>
      </c>
      <c r="H57">
        <v>3.8600000000000002E-2</v>
      </c>
      <c r="I57" s="56"/>
      <c r="J57" s="57">
        <f t="shared" si="1"/>
        <v>2.0950000000000003E-2</v>
      </c>
      <c r="K57" s="58">
        <f t="shared" si="2"/>
        <v>1.1000000000000038E-3</v>
      </c>
      <c r="L57" s="56"/>
      <c r="M57" s="62">
        <f t="shared" si="3"/>
        <v>2.0675000000000002E-2</v>
      </c>
      <c r="N57" s="56">
        <f t="shared" si="4"/>
        <v>1.402571325</v>
      </c>
      <c r="O57" s="58">
        <f t="shared" si="5"/>
        <v>2.8051426500000001</v>
      </c>
      <c r="P57" s="56">
        <f t="shared" si="6"/>
        <v>0.28051426499999998</v>
      </c>
      <c r="Q57" s="57">
        <f>AVERAGE(P57:P59)</f>
        <v>0.30357952500000002</v>
      </c>
      <c r="R57" s="56">
        <f>STDEV(P57:P59)</f>
        <v>2.0989018240206578E-2</v>
      </c>
      <c r="S57" s="58">
        <f>R57/Q57*100</f>
        <v>6.9138451416335069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6.1699999999999998E-2</v>
      </c>
      <c r="H58">
        <v>3.8699999999999998E-2</v>
      </c>
      <c r="I58" s="56"/>
      <c r="J58" s="57">
        <f t="shared" si="1"/>
        <v>2.3050000000000001E-2</v>
      </c>
      <c r="K58" s="58">
        <f t="shared" si="2"/>
        <v>1.1999999999999997E-3</v>
      </c>
      <c r="L58" s="56"/>
      <c r="M58" s="62">
        <f t="shared" si="3"/>
        <v>2.2749999999999999E-2</v>
      </c>
      <c r="N58" s="56">
        <f t="shared" si="4"/>
        <v>1.54333725</v>
      </c>
      <c r="O58" s="58">
        <f t="shared" si="5"/>
        <v>3.0866745</v>
      </c>
      <c r="P58" s="56">
        <f t="shared" si="6"/>
        <v>0.30866745000000001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6.2799999999999995E-2</v>
      </c>
      <c r="H59">
        <v>3.9300000000000002E-2</v>
      </c>
      <c r="I59" s="56"/>
      <c r="J59" s="57">
        <f t="shared" si="1"/>
        <v>2.4149999999999998E-2</v>
      </c>
      <c r="K59" s="58">
        <f t="shared" si="2"/>
        <v>1.800000000000003E-3</v>
      </c>
      <c r="L59" s="56"/>
      <c r="M59" s="62">
        <f t="shared" si="3"/>
        <v>2.3699999999999999E-2</v>
      </c>
      <c r="N59" s="56">
        <f t="shared" si="4"/>
        <v>1.6077842999999998</v>
      </c>
      <c r="O59" s="58">
        <f t="shared" si="5"/>
        <v>3.2155685999999997</v>
      </c>
      <c r="P59" s="56">
        <f t="shared" si="6"/>
        <v>0.32155685999999994</v>
      </c>
      <c r="Q59" s="57"/>
      <c r="R59" s="56"/>
      <c r="S59" s="58"/>
      <c r="T59" s="56"/>
    </row>
    <row r="60" spans="1:22" ht="14.45" customHeight="1" x14ac:dyDescent="0.25">
      <c r="D60" s="78">
        <f>A38</f>
        <v>60</v>
      </c>
      <c r="E60" s="12" t="s">
        <v>83</v>
      </c>
      <c r="F60" s="12">
        <f>B38</f>
        <v>10</v>
      </c>
      <c r="G60">
        <v>7.6499999999999999E-2</v>
      </c>
      <c r="H60">
        <v>4.0099999999999997E-2</v>
      </c>
      <c r="I60" s="56"/>
      <c r="J60" s="57">
        <f t="shared" si="1"/>
        <v>3.7850000000000002E-2</v>
      </c>
      <c r="K60" s="58">
        <f t="shared" si="2"/>
        <v>2.5999999999999981E-3</v>
      </c>
      <c r="L60" s="56"/>
      <c r="M60" s="62">
        <f t="shared" si="3"/>
        <v>3.7200000000000004E-2</v>
      </c>
      <c r="N60" s="56">
        <f t="shared" si="4"/>
        <v>2.5236108000000002</v>
      </c>
      <c r="O60" s="58">
        <f t="shared" si="5"/>
        <v>5.0472216000000003</v>
      </c>
      <c r="P60" s="56">
        <f t="shared" si="6"/>
        <v>0.50472216000000003</v>
      </c>
      <c r="Q60" s="57">
        <f>AVERAGE(P60:P62)</f>
        <v>0.55051348500000008</v>
      </c>
      <c r="R60" s="56">
        <f>STDEV(P60:P62)</f>
        <v>4.2312451979494486E-2</v>
      </c>
      <c r="S60" s="58">
        <f>R60/Q60*100</f>
        <v>7.6859973701633262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8.0699999999999994E-2</v>
      </c>
      <c r="H61">
        <v>4.1000000000000002E-2</v>
      </c>
      <c r="I61" s="56"/>
      <c r="J61" s="57">
        <f t="shared" si="1"/>
        <v>4.2049999999999997E-2</v>
      </c>
      <c r="K61" s="58">
        <f t="shared" si="2"/>
        <v>3.5000000000000031E-3</v>
      </c>
      <c r="L61" s="56"/>
      <c r="M61" s="62">
        <f t="shared" si="3"/>
        <v>4.1174999999999996E-2</v>
      </c>
      <c r="N61" s="56">
        <f t="shared" si="4"/>
        <v>2.7932708249999996</v>
      </c>
      <c r="O61" s="58">
        <f t="shared" si="5"/>
        <v>5.5865416499999991</v>
      </c>
      <c r="P61" s="56">
        <f t="shared" si="6"/>
        <v>0.55865416499999987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8.2900000000000001E-2</v>
      </c>
      <c r="H62">
        <v>4.1099999999999998E-2</v>
      </c>
      <c r="I62" s="56"/>
      <c r="J62" s="57">
        <f t="shared" si="1"/>
        <v>4.4250000000000005E-2</v>
      </c>
      <c r="K62" s="58">
        <f t="shared" si="2"/>
        <v>3.599999999999999E-3</v>
      </c>
      <c r="L62" s="56"/>
      <c r="M62" s="62">
        <f t="shared" si="3"/>
        <v>4.3350000000000007E-2</v>
      </c>
      <c r="N62" s="56">
        <f t="shared" si="4"/>
        <v>2.9408206500000005</v>
      </c>
      <c r="O62" s="58">
        <f t="shared" si="5"/>
        <v>5.881641300000001</v>
      </c>
      <c r="P62" s="56">
        <f t="shared" si="6"/>
        <v>0.58816413000000012</v>
      </c>
      <c r="Q62" s="57"/>
      <c r="R62" s="56"/>
      <c r="S62" s="58"/>
      <c r="T62" s="56"/>
    </row>
    <row r="63" spans="1:22" ht="14.45" customHeight="1" x14ac:dyDescent="0.25">
      <c r="D63" s="78">
        <f>A39</f>
        <v>61</v>
      </c>
      <c r="E63" s="12" t="s">
        <v>86</v>
      </c>
      <c r="F63" s="12">
        <f>B39</f>
        <v>10</v>
      </c>
      <c r="G63">
        <v>8.0100000000000005E-2</v>
      </c>
      <c r="H63">
        <v>4.4299999999999999E-2</v>
      </c>
      <c r="I63" s="56"/>
      <c r="J63" s="57">
        <f t="shared" si="1"/>
        <v>4.1450000000000008E-2</v>
      </c>
      <c r="K63" s="58">
        <f t="shared" si="2"/>
        <v>6.8000000000000005E-3</v>
      </c>
      <c r="L63" s="56"/>
      <c r="M63" s="62">
        <f t="shared" si="3"/>
        <v>3.9750000000000008E-2</v>
      </c>
      <c r="N63" s="56">
        <f t="shared" si="4"/>
        <v>2.6966002500000004</v>
      </c>
      <c r="O63" s="58">
        <f t="shared" si="5"/>
        <v>5.3932005000000007</v>
      </c>
      <c r="P63" s="56">
        <f t="shared" si="6"/>
        <v>0.53932005000000005</v>
      </c>
      <c r="Q63" s="57">
        <f>AVERAGE(P63:P65)</f>
        <v>0.59110381999999995</v>
      </c>
      <c r="R63" s="56">
        <f>STDEV(P63:P65)</f>
        <v>4.5062324900918029E-2</v>
      </c>
      <c r="S63" s="58">
        <f>R63/Q63*100</f>
        <v>7.6234196728618722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8.6599999999999996E-2</v>
      </c>
      <c r="H64">
        <v>4.6100000000000002E-2</v>
      </c>
      <c r="I64" s="56"/>
      <c r="J64" s="57">
        <f t="shared" si="1"/>
        <v>4.795E-2</v>
      </c>
      <c r="K64" s="58">
        <f t="shared" si="2"/>
        <v>8.6000000000000035E-3</v>
      </c>
      <c r="L64" s="56"/>
      <c r="M64" s="62">
        <f t="shared" si="3"/>
        <v>4.58E-2</v>
      </c>
      <c r="N64" s="56">
        <f t="shared" si="4"/>
        <v>3.1070262</v>
      </c>
      <c r="O64" s="58">
        <f t="shared" si="5"/>
        <v>6.2140523999999999</v>
      </c>
      <c r="P64" s="56">
        <f t="shared" si="6"/>
        <v>0.62140523999999997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8.5199999999999998E-2</v>
      </c>
      <c r="H65">
        <v>4.3099999999999999E-2</v>
      </c>
      <c r="I65" s="56"/>
      <c r="J65" s="57">
        <f t="shared" si="1"/>
        <v>4.6550000000000001E-2</v>
      </c>
      <c r="K65" s="58">
        <f t="shared" si="2"/>
        <v>5.6000000000000008E-3</v>
      </c>
      <c r="L65" s="56"/>
      <c r="M65" s="62">
        <f t="shared" si="3"/>
        <v>4.5150000000000003E-2</v>
      </c>
      <c r="N65" s="56">
        <f t="shared" si="4"/>
        <v>3.0629308500000003</v>
      </c>
      <c r="O65" s="58">
        <f t="shared" si="5"/>
        <v>6.1258617000000006</v>
      </c>
      <c r="P65" s="56">
        <f t="shared" si="6"/>
        <v>0.61258617000000004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0.30690000000000001</v>
      </c>
      <c r="H66">
        <v>3.8600000000000002E-2</v>
      </c>
      <c r="I66" s="56"/>
      <c r="J66" s="57">
        <f>G69-$J$14</f>
        <v>2.0150000000000001E-2</v>
      </c>
      <c r="K66" s="58">
        <f>H69-$K$14</f>
        <v>1.3000000000000025E-3</v>
      </c>
      <c r="L66" s="56"/>
      <c r="M66" s="62">
        <f t="shared" si="3"/>
        <v>1.9825000000000002E-2</v>
      </c>
      <c r="N66" s="56">
        <f t="shared" si="4"/>
        <v>1.344908175</v>
      </c>
      <c r="O66" s="58">
        <f t="shared" si="5"/>
        <v>2.6898163500000001</v>
      </c>
      <c r="P66" s="56">
        <f>O66/F69</f>
        <v>0.268981635</v>
      </c>
      <c r="Q66" s="57">
        <f>AVERAGE(P66:P68)</f>
        <v>0.29984838000000003</v>
      </c>
      <c r="R66" s="56">
        <f>STDEV(P66:P68)</f>
        <v>2.6744832079701405E-2</v>
      </c>
      <c r="S66" s="58">
        <f>R66/Q66*100</f>
        <v>8.9194519175662723</v>
      </c>
      <c r="T66" s="56"/>
    </row>
    <row r="67" spans="4:20" ht="14.45" customHeight="1" x14ac:dyDescent="0.25">
      <c r="D67" s="71"/>
      <c r="E67" s="17" t="s">
        <v>126</v>
      </c>
      <c r="F67" s="17"/>
      <c r="G67">
        <v>1.0689</v>
      </c>
      <c r="H67">
        <v>3.9E-2</v>
      </c>
      <c r="I67" s="56"/>
      <c r="J67" s="57">
        <f>G70-$J$14</f>
        <v>2.4250000000000001E-2</v>
      </c>
      <c r="K67" s="58">
        <f>H70-$K$14</f>
        <v>3.8000000000000048E-3</v>
      </c>
      <c r="L67" s="56"/>
      <c r="M67" s="62">
        <f t="shared" si="3"/>
        <v>2.3300000000000001E-2</v>
      </c>
      <c r="N67" s="56">
        <f t="shared" si="4"/>
        <v>1.5806487</v>
      </c>
      <c r="O67" s="58">
        <f t="shared" si="5"/>
        <v>3.1612974</v>
      </c>
      <c r="P67" s="56">
        <f>O67/F70</f>
        <v>0.31612973999999999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1.9621999999999999</v>
      </c>
      <c r="H68">
        <v>0.04</v>
      </c>
      <c r="I68" s="56"/>
      <c r="J68" s="57">
        <f>G71-$J$14</f>
        <v>2.3850000000000003E-2</v>
      </c>
      <c r="K68" s="58">
        <f>H71-$K$14</f>
        <v>2.700000000000001E-3</v>
      </c>
      <c r="L68" s="56"/>
      <c r="M68" s="62">
        <f t="shared" si="3"/>
        <v>2.3175000000000001E-2</v>
      </c>
      <c r="N68" s="56">
        <f t="shared" si="4"/>
        <v>1.5721688250000001</v>
      </c>
      <c r="O68" s="58">
        <f t="shared" si="5"/>
        <v>3.1443376500000002</v>
      </c>
      <c r="P68" s="56">
        <f>O68/F71</f>
        <v>0.31443376500000003</v>
      </c>
      <c r="Q68" s="57"/>
      <c r="R68" s="56"/>
      <c r="S68" s="58"/>
      <c r="T68" s="56"/>
    </row>
    <row r="69" spans="4:20" ht="14.45" customHeight="1" x14ac:dyDescent="0.25">
      <c r="D69" s="78">
        <f>A40</f>
        <v>62</v>
      </c>
      <c r="E69" s="12" t="s">
        <v>89</v>
      </c>
      <c r="F69" s="12">
        <f>B40</f>
        <v>10</v>
      </c>
      <c r="G69">
        <v>5.8799999999999998E-2</v>
      </c>
      <c r="H69">
        <v>3.8800000000000001E-2</v>
      </c>
      <c r="I69" s="56"/>
      <c r="J69" s="57">
        <f>G72-$J$14</f>
        <v>3.295E-2</v>
      </c>
      <c r="K69" s="58">
        <f>H72-$K$14</f>
        <v>1.800000000000003E-3</v>
      </c>
      <c r="L69" s="56"/>
      <c r="M69" s="62">
        <f t="shared" si="3"/>
        <v>3.2500000000000001E-2</v>
      </c>
      <c r="N69" s="56">
        <f t="shared" si="4"/>
        <v>2.2047675</v>
      </c>
      <c r="O69" s="58">
        <f t="shared" si="5"/>
        <v>4.409535</v>
      </c>
      <c r="P69" s="56">
        <f>O69/F72</f>
        <v>0.4409535</v>
      </c>
      <c r="Q69" s="57">
        <f>AVERAGE(P69:P71)</f>
        <v>0.47736043</v>
      </c>
      <c r="R69" s="56">
        <f>STDEV(P69:P71)</f>
        <v>3.1529326253801782E-2</v>
      </c>
      <c r="S69" s="58">
        <f>R69/Q69*100</f>
        <v>6.6049308389054744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6.2899999999999998E-2</v>
      </c>
      <c r="H70">
        <v>4.1300000000000003E-2</v>
      </c>
      <c r="I70" s="56"/>
      <c r="J70" s="57">
        <f>G73-$J$14</f>
        <v>3.6950000000000004E-2</v>
      </c>
      <c r="K70" s="58">
        <f>H73-$K$14</f>
        <v>1.7000000000000001E-3</v>
      </c>
      <c r="L70" s="56"/>
      <c r="M70" s="62">
        <f t="shared" si="3"/>
        <v>3.6525000000000002E-2</v>
      </c>
      <c r="N70" s="56">
        <f t="shared" si="4"/>
        <v>2.477819475</v>
      </c>
      <c r="O70" s="58">
        <f t="shared" si="5"/>
        <v>4.95563895</v>
      </c>
      <c r="P70" s="56">
        <f>O70/F73</f>
        <v>0.49556389499999998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6.25E-2</v>
      </c>
      <c r="H71">
        <v>4.02E-2</v>
      </c>
      <c r="I71" s="56"/>
      <c r="J71" s="57">
        <f>G74-$J$14</f>
        <v>3.6749999999999998E-2</v>
      </c>
      <c r="K71" s="58">
        <f>H74-$K$14</f>
        <v>8.9999999999999802E-4</v>
      </c>
      <c r="L71" s="56"/>
      <c r="M71" s="62">
        <f t="shared" si="3"/>
        <v>3.6525000000000002E-2</v>
      </c>
      <c r="N71" s="56">
        <f t="shared" si="4"/>
        <v>2.477819475</v>
      </c>
      <c r="O71" s="58">
        <f t="shared" si="5"/>
        <v>4.95563895</v>
      </c>
      <c r="P71" s="56">
        <f>O71/F74</f>
        <v>0.49556389499999998</v>
      </c>
      <c r="Q71" s="57"/>
      <c r="R71" s="56"/>
      <c r="S71" s="58"/>
      <c r="T71" s="56"/>
    </row>
    <row r="72" spans="4:20" ht="14.45" customHeight="1" x14ac:dyDescent="0.25">
      <c r="D72" s="78">
        <f>A41</f>
        <v>63</v>
      </c>
      <c r="E72" s="12" t="s">
        <v>92</v>
      </c>
      <c r="F72" s="12">
        <f>B41</f>
        <v>10</v>
      </c>
      <c r="G72">
        <v>7.1599999999999997E-2</v>
      </c>
      <c r="H72">
        <v>3.9300000000000002E-2</v>
      </c>
      <c r="I72" s="56"/>
      <c r="J72" s="57">
        <f>G75-$J$14</f>
        <v>3.3650000000000006E-2</v>
      </c>
      <c r="K72" s="58">
        <f>H75-$K$14</f>
        <v>4.7000000000000028E-3</v>
      </c>
      <c r="L72" s="56"/>
      <c r="M72" s="62">
        <f t="shared" si="3"/>
        <v>3.2475000000000004E-2</v>
      </c>
      <c r="N72" s="56">
        <f t="shared" si="4"/>
        <v>2.2030715250000004</v>
      </c>
      <c r="O72" s="58">
        <f t="shared" si="5"/>
        <v>4.4061430500000007</v>
      </c>
      <c r="P72" s="56">
        <f>O72/F75</f>
        <v>0.44061430500000009</v>
      </c>
      <c r="Q72" s="57">
        <f>AVERAGE(P72:P74)</f>
        <v>0.48561417500000004</v>
      </c>
      <c r="R72" s="56">
        <f>STDEV(P72:P74)</f>
        <v>8.1492495852892088E-2</v>
      </c>
      <c r="S72" s="58">
        <f>R72/Q72*100</f>
        <v>16.781325597197011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7.5600000000000001E-2</v>
      </c>
      <c r="H73">
        <v>3.9199999999999999E-2</v>
      </c>
      <c r="I73" s="56"/>
      <c r="J73" s="57">
        <f>G76-$J$14</f>
        <v>4.6550000000000001E-2</v>
      </c>
      <c r="K73" s="58">
        <f>H76-$K$14</f>
        <v>1.5300000000000001E-2</v>
      </c>
      <c r="L73" s="56"/>
      <c r="M73" s="62">
        <f t="shared" si="3"/>
        <v>4.2724999999999999E-2</v>
      </c>
      <c r="N73" s="56">
        <f t="shared" si="4"/>
        <v>2.898421275</v>
      </c>
      <c r="O73" s="58">
        <f t="shared" si="5"/>
        <v>5.79684255</v>
      </c>
      <c r="P73" s="56">
        <f>O73/F76</f>
        <v>0.57968425499999998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7.5399999999999995E-2</v>
      </c>
      <c r="H74">
        <v>3.8399999999999997E-2</v>
      </c>
      <c r="I74" s="56"/>
      <c r="J74" s="57">
        <f>G77-$J$14</f>
        <v>3.4450000000000001E-2</v>
      </c>
      <c r="K74" s="58">
        <f>H77-$K$14</f>
        <v>9.1000000000000039E-3</v>
      </c>
      <c r="L74" s="56"/>
      <c r="M74" s="62">
        <f t="shared" si="3"/>
        <v>3.2175000000000002E-2</v>
      </c>
      <c r="N74" s="56">
        <f t="shared" si="4"/>
        <v>2.1827198249999999</v>
      </c>
      <c r="O74" s="58">
        <f t="shared" si="5"/>
        <v>4.3654396499999999</v>
      </c>
      <c r="P74" s="56">
        <f>O74/F77</f>
        <v>0.43654396499999998</v>
      </c>
      <c r="Q74" s="57"/>
      <c r="R74" s="56"/>
      <c r="S74" s="58"/>
      <c r="T74" s="56"/>
    </row>
    <row r="75" spans="4:20" ht="14.45" customHeight="1" x14ac:dyDescent="0.25">
      <c r="D75" s="78">
        <f>A42</f>
        <v>64</v>
      </c>
      <c r="E75" s="12" t="s">
        <v>95</v>
      </c>
      <c r="F75" s="12">
        <f>B42</f>
        <v>10</v>
      </c>
      <c r="G75">
        <v>7.2300000000000003E-2</v>
      </c>
      <c r="H75">
        <v>4.2200000000000001E-2</v>
      </c>
      <c r="I75" s="56"/>
      <c r="J75" s="57">
        <f>G78-$J$14</f>
        <v>3.2050000000000002E-2</v>
      </c>
      <c r="K75" s="58">
        <f>H78-$K$14</f>
        <v>1.0599999999999998E-2</v>
      </c>
      <c r="L75" s="56"/>
      <c r="M75" s="62">
        <f t="shared" si="3"/>
        <v>2.9400000000000003E-2</v>
      </c>
      <c r="N75" s="56">
        <f t="shared" si="4"/>
        <v>1.9944666000000002</v>
      </c>
      <c r="O75" s="58">
        <f t="shared" si="5"/>
        <v>3.9889332000000004</v>
      </c>
      <c r="P75" s="56">
        <f>O75/F78</f>
        <v>0.39889332000000005</v>
      </c>
      <c r="Q75" s="57">
        <f>AVERAGE(P75:P77)</f>
        <v>0.38713456000000002</v>
      </c>
      <c r="R75" s="56">
        <f>STDEV(P75:P77)</f>
        <v>3.2503188681239116E-2</v>
      </c>
      <c r="S75" s="58">
        <f>R75/Q75*100</f>
        <v>8.395837530299314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8.5199999999999998E-2</v>
      </c>
      <c r="H76">
        <v>5.28E-2</v>
      </c>
      <c r="I76" s="56"/>
      <c r="J76" s="57">
        <f>G79-$J$14</f>
        <v>2.6049999999999997E-2</v>
      </c>
      <c r="K76" s="58">
        <f>H79-$K$14</f>
        <v>8.9999999999999802E-4</v>
      </c>
      <c r="L76" s="56"/>
      <c r="M76" s="62">
        <f t="shared" si="3"/>
        <v>2.5824999999999997E-2</v>
      </c>
      <c r="N76" s="56">
        <f t="shared" si="4"/>
        <v>1.7519421749999997</v>
      </c>
      <c r="O76" s="58">
        <f t="shared" si="5"/>
        <v>3.5038843499999994</v>
      </c>
      <c r="P76" s="56">
        <f>O76/F79</f>
        <v>0.35038843499999994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7.3099999999999998E-2</v>
      </c>
      <c r="H77">
        <v>4.6600000000000003E-2</v>
      </c>
      <c r="I77" s="56"/>
      <c r="J77" s="57">
        <f>G80-$J$14</f>
        <v>3.1750000000000007E-2</v>
      </c>
      <c r="K77" s="58">
        <f>H80-$K$14</f>
        <v>5.4999999999999979E-3</v>
      </c>
      <c r="L77" s="56"/>
      <c r="M77" s="62">
        <f t="shared" si="3"/>
        <v>3.0375000000000006E-2</v>
      </c>
      <c r="N77" s="56">
        <f t="shared" si="4"/>
        <v>2.0606096250000006</v>
      </c>
      <c r="O77" s="58">
        <f t="shared" si="5"/>
        <v>4.1212192500000011</v>
      </c>
      <c r="P77" s="56">
        <f>O77/F80</f>
        <v>0.41212192500000011</v>
      </c>
      <c r="Q77" s="57"/>
      <c r="R77" s="56"/>
      <c r="S77" s="58"/>
      <c r="T77" s="56"/>
    </row>
    <row r="78" spans="4:20" ht="14.45" customHeight="1" x14ac:dyDescent="0.25">
      <c r="D78" s="78">
        <f>A43</f>
        <v>65</v>
      </c>
      <c r="E78" s="12" t="s">
        <v>98</v>
      </c>
      <c r="F78" s="12">
        <f>B43</f>
        <v>10</v>
      </c>
      <c r="G78">
        <v>7.0699999999999999E-2</v>
      </c>
      <c r="H78">
        <v>4.8099999999999997E-2</v>
      </c>
      <c r="I78" s="56"/>
      <c r="J78" s="57">
        <f>G81-$J$14</f>
        <v>3.1650000000000005E-2</v>
      </c>
      <c r="K78" s="58">
        <f>H81-$K$14</f>
        <v>8.000000000000021E-4</v>
      </c>
      <c r="L78" s="56"/>
      <c r="M78" s="62">
        <f t="shared" si="3"/>
        <v>3.1450000000000006E-2</v>
      </c>
      <c r="N78" s="56">
        <f t="shared" si="4"/>
        <v>2.1335365500000005</v>
      </c>
      <c r="O78" s="58">
        <f t="shared" si="5"/>
        <v>4.2670731000000011</v>
      </c>
      <c r="P78" s="56">
        <f>O78/F81</f>
        <v>0.42670731000000012</v>
      </c>
      <c r="Q78" s="57">
        <f>AVERAGE(P78:P80)</f>
        <v>0.46955894500000001</v>
      </c>
      <c r="R78" s="56">
        <f>STDEV(P78:P80)</f>
        <v>3.7435102671519005E-2</v>
      </c>
      <c r="S78" s="58">
        <f>R78/Q78*100</f>
        <v>7.9723968779934555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6.4699999999999994E-2</v>
      </c>
      <c r="H79">
        <v>3.8399999999999997E-2</v>
      </c>
      <c r="I79" s="56"/>
      <c r="J79" s="57">
        <f>G82-$J$14</f>
        <v>3.7249999999999998E-2</v>
      </c>
      <c r="K79" s="58">
        <f>H82-$K$14</f>
        <v>2.8000000000000039E-3</v>
      </c>
      <c r="L79" s="56"/>
      <c r="M79" s="62">
        <f t="shared" si="3"/>
        <v>3.6549999999999999E-2</v>
      </c>
      <c r="N79" s="56">
        <f t="shared" si="4"/>
        <v>2.4795154500000001</v>
      </c>
      <c r="O79" s="58">
        <f t="shared" si="5"/>
        <v>4.9590309000000001</v>
      </c>
      <c r="P79" s="56">
        <f>O79/F82</f>
        <v>0.49590308999999999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7.0400000000000004E-2</v>
      </c>
      <c r="H80">
        <v>4.2999999999999997E-2</v>
      </c>
      <c r="I80" s="56"/>
      <c r="J80" s="57">
        <f>G83-$J$14</f>
        <v>3.6249999999999998E-2</v>
      </c>
      <c r="K80" s="58">
        <f>H83-$K$14</f>
        <v>1.7000000000000001E-3</v>
      </c>
      <c r="L80" s="56"/>
      <c r="M80" s="62">
        <f t="shared" si="3"/>
        <v>3.5824999999999996E-2</v>
      </c>
      <c r="N80" s="56">
        <f t="shared" si="4"/>
        <v>2.4303321749999998</v>
      </c>
      <c r="O80" s="58">
        <f t="shared" si="5"/>
        <v>4.8606643499999995</v>
      </c>
      <c r="P80" s="56">
        <f>O80/F83</f>
        <v>0.48606643499999996</v>
      </c>
      <c r="Q80" s="57"/>
      <c r="R80" s="56"/>
      <c r="S80" s="58"/>
      <c r="T80" s="56"/>
    </row>
    <row r="81" spans="4:20" ht="14.45" customHeight="1" x14ac:dyDescent="0.25">
      <c r="D81" s="78">
        <f>A44</f>
        <v>66</v>
      </c>
      <c r="E81" s="12" t="s">
        <v>101</v>
      </c>
      <c r="F81" s="12">
        <f>B44</f>
        <v>10</v>
      </c>
      <c r="G81">
        <v>7.0300000000000001E-2</v>
      </c>
      <c r="H81">
        <v>3.8300000000000001E-2</v>
      </c>
      <c r="I81" s="56"/>
      <c r="J81" s="57">
        <f>G84-$J$14</f>
        <v>1.4250000000000006E-2</v>
      </c>
      <c r="K81" s="58">
        <f>H84-$K$14</f>
        <v>-3.9999999999999758E-4</v>
      </c>
      <c r="L81" s="56"/>
      <c r="M81" s="62">
        <f t="shared" si="3"/>
        <v>1.4350000000000005E-2</v>
      </c>
      <c r="N81" s="56">
        <f t="shared" si="4"/>
        <v>0.97348965000000032</v>
      </c>
      <c r="O81" s="58">
        <f t="shared" si="5"/>
        <v>1.9469793000000006</v>
      </c>
      <c r="P81" s="56">
        <f>O81/F84</f>
        <v>0.19469793000000007</v>
      </c>
      <c r="Q81" s="57">
        <f>AVERAGE(P81:P83)</f>
        <v>0.22884356000000006</v>
      </c>
      <c r="R81" s="56">
        <f>STDEV(P81:P83)</f>
        <v>2.9849802407859845E-2</v>
      </c>
      <c r="S81" s="58">
        <f>R81/Q81*100</f>
        <v>13.043758980090958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7.5899999999999995E-2</v>
      </c>
      <c r="H82">
        <v>4.0300000000000002E-2</v>
      </c>
      <c r="I82" s="56"/>
      <c r="J82" s="57">
        <f>G85-$J$14</f>
        <v>1.8050000000000004E-2</v>
      </c>
      <c r="K82" s="58">
        <f>H85-$K$14</f>
        <v>8.9999999999999802E-4</v>
      </c>
      <c r="L82" s="56"/>
      <c r="M82" s="62">
        <f t="shared" si="3"/>
        <v>1.7825000000000004E-2</v>
      </c>
      <c r="N82" s="56">
        <f t="shared" si="4"/>
        <v>1.2092301750000003</v>
      </c>
      <c r="O82" s="58">
        <f t="shared" si="5"/>
        <v>2.4184603500000006</v>
      </c>
      <c r="P82" s="56">
        <f>O82/F85</f>
        <v>0.24184603500000007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7.4899999999999994E-2</v>
      </c>
      <c r="H83">
        <v>3.9199999999999999E-2</v>
      </c>
      <c r="I83" s="56"/>
      <c r="J83" s="57">
        <f>G86-$J$14</f>
        <v>1.8550000000000004E-2</v>
      </c>
      <c r="K83" s="58">
        <f>H86-$K$14</f>
        <v>5.0000000000000044E-4</v>
      </c>
      <c r="L83" s="56"/>
      <c r="M83" s="62">
        <f t="shared" si="3"/>
        <v>1.8425000000000004E-2</v>
      </c>
      <c r="N83" s="56">
        <f t="shared" si="4"/>
        <v>1.2499335750000002</v>
      </c>
      <c r="O83" s="58">
        <f t="shared" si="5"/>
        <v>2.4998671500000005</v>
      </c>
      <c r="P83" s="56">
        <f>O83/F86</f>
        <v>0.24998671500000005</v>
      </c>
      <c r="Q83" s="57"/>
      <c r="R83" s="56"/>
      <c r="S83" s="58"/>
      <c r="T83" s="56"/>
    </row>
    <row r="84" spans="4:20" ht="14.45" customHeight="1" x14ac:dyDescent="0.25">
      <c r="D84" s="78">
        <f>A45</f>
        <v>67</v>
      </c>
      <c r="E84" s="12" t="s">
        <v>104</v>
      </c>
      <c r="F84" s="12">
        <f>B45</f>
        <v>10</v>
      </c>
      <c r="G84">
        <v>5.2900000000000003E-2</v>
      </c>
      <c r="H84">
        <v>3.7100000000000001E-2</v>
      </c>
      <c r="I84" s="56"/>
      <c r="J84" s="57">
        <f>G87-$J$14</f>
        <v>4.3049999999999998E-2</v>
      </c>
      <c r="K84" s="58">
        <f>H87-$K$14</f>
        <v>5.1000000000000004E-3</v>
      </c>
      <c r="L84" s="56"/>
      <c r="M84" s="62">
        <f t="shared" si="3"/>
        <v>4.1775E-2</v>
      </c>
      <c r="N84" s="56">
        <f t="shared" si="4"/>
        <v>2.833974225</v>
      </c>
      <c r="O84" s="58">
        <f t="shared" si="5"/>
        <v>5.6679484499999999</v>
      </c>
      <c r="P84" s="56">
        <f>O84/F87</f>
        <v>0.56679484499999999</v>
      </c>
      <c r="Q84" s="57">
        <f>AVERAGE(P84:P86)</f>
        <v>0.59675707000000011</v>
      </c>
      <c r="R84" s="56">
        <f>STDEV(P84:P86)</f>
        <v>2.6696032839160378E-2</v>
      </c>
      <c r="S84" s="58">
        <f>R84/Q84*100</f>
        <v>4.4735176475010805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5.67E-2</v>
      </c>
      <c r="H85">
        <v>3.8399999999999997E-2</v>
      </c>
      <c r="I85" s="56"/>
      <c r="J85" s="57">
        <f>G88-$J$14</f>
        <v>4.6650000000000004E-2</v>
      </c>
      <c r="K85" s="58">
        <f>H88-$K$14</f>
        <v>8.100000000000003E-3</v>
      </c>
      <c r="L85" s="56"/>
      <c r="M85" s="62">
        <f t="shared" si="3"/>
        <v>4.4625000000000005E-2</v>
      </c>
      <c r="N85" s="56">
        <f t="shared" si="4"/>
        <v>3.0273153750000001</v>
      </c>
      <c r="O85" s="58">
        <f t="shared" si="5"/>
        <v>6.0546307500000003</v>
      </c>
      <c r="P85" s="56">
        <f>O85/F88</f>
        <v>0.60546307500000007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5.7200000000000001E-2</v>
      </c>
      <c r="H86">
        <v>3.7999999999999999E-2</v>
      </c>
      <c r="I86" s="56"/>
      <c r="J86" s="57">
        <f>G89-$J$14</f>
        <v>4.7650000000000005E-2</v>
      </c>
      <c r="K86" s="58">
        <f>H89-$K$14</f>
        <v>8.4000000000000047E-3</v>
      </c>
      <c r="L86" s="56"/>
      <c r="M86" s="62">
        <f t="shared" si="3"/>
        <v>4.5550000000000007E-2</v>
      </c>
      <c r="N86" s="56">
        <f t="shared" si="4"/>
        <v>3.0900664500000006</v>
      </c>
      <c r="O86" s="58">
        <f t="shared" si="5"/>
        <v>6.1801329000000012</v>
      </c>
      <c r="P86" s="56">
        <f>O86/F89</f>
        <v>0.61801329000000016</v>
      </c>
      <c r="Q86" s="57"/>
      <c r="R86" s="56"/>
      <c r="S86" s="58"/>
      <c r="T86" s="56"/>
    </row>
    <row r="87" spans="4:20" ht="14.45" customHeight="1" x14ac:dyDescent="0.25">
      <c r="D87" s="78">
        <f>A46</f>
        <v>68</v>
      </c>
      <c r="E87" s="12" t="s">
        <v>107</v>
      </c>
      <c r="F87" s="12">
        <f>B46</f>
        <v>10</v>
      </c>
      <c r="G87">
        <v>8.1699999999999995E-2</v>
      </c>
      <c r="H87">
        <v>4.2599999999999999E-2</v>
      </c>
      <c r="I87" s="56"/>
      <c r="J87" s="57">
        <f>G90-$J$14</f>
        <v>5.3050000000000007E-2</v>
      </c>
      <c r="K87" s="58">
        <f>H90-$K$14</f>
        <v>3.7000000000000019E-3</v>
      </c>
      <c r="L87" s="56"/>
      <c r="M87" s="62">
        <f t="shared" si="3"/>
        <v>5.2125000000000005E-2</v>
      </c>
      <c r="N87" s="56">
        <f t="shared" si="4"/>
        <v>3.5361078750000003</v>
      </c>
      <c r="O87" s="58">
        <f t="shared" si="5"/>
        <v>7.0722157500000007</v>
      </c>
      <c r="P87" s="56">
        <f>O87/F90</f>
        <v>0.70722157500000005</v>
      </c>
      <c r="Q87" s="57">
        <f>AVERAGE(P87:P89)</f>
        <v>0.74170639999999999</v>
      </c>
      <c r="R87" s="56">
        <f>STDEV(P87:P89)</f>
        <v>3.1092052698217302E-2</v>
      </c>
      <c r="S87" s="58">
        <f>R87/Q87*100</f>
        <v>4.1919623045206702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8.5300000000000001E-2</v>
      </c>
      <c r="H88">
        <v>4.5600000000000002E-2</v>
      </c>
      <c r="I88" s="56"/>
      <c r="J88" s="57">
        <f>G91-$J$14</f>
        <v>5.5649999999999998E-2</v>
      </c>
      <c r="K88" s="58">
        <f>H91-$K$14</f>
        <v>1.3999999999999985E-3</v>
      </c>
      <c r="L88" s="56"/>
      <c r="M88" s="62">
        <f t="shared" si="3"/>
        <v>5.5300000000000002E-2</v>
      </c>
      <c r="N88" s="56">
        <f t="shared" si="4"/>
        <v>3.7514967000000001</v>
      </c>
      <c r="O88" s="58">
        <f t="shared" si="5"/>
        <v>7.5029934000000003</v>
      </c>
      <c r="P88" s="56">
        <f>O88/F91</f>
        <v>0.75029933999999998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8.6300000000000002E-2</v>
      </c>
      <c r="H89">
        <v>4.5900000000000003E-2</v>
      </c>
      <c r="I89" s="56"/>
      <c r="J89" s="57">
        <f>G92-$J$14</f>
        <v>5.765E-2</v>
      </c>
      <c r="K89" s="58">
        <f>H92-$K$14</f>
        <v>4.2999999999999983E-3</v>
      </c>
      <c r="L89" s="56"/>
      <c r="M89" s="62">
        <f t="shared" si="3"/>
        <v>5.6575E-2</v>
      </c>
      <c r="N89" s="56">
        <f t="shared" si="4"/>
        <v>3.8379914249999998</v>
      </c>
      <c r="O89" s="58">
        <f t="shared" si="5"/>
        <v>7.6759828499999996</v>
      </c>
      <c r="P89" s="56">
        <f>O89/F92</f>
        <v>0.76759828499999994</v>
      </c>
      <c r="Q89" s="57"/>
      <c r="R89" s="56"/>
      <c r="S89" s="58"/>
      <c r="T89" s="56"/>
    </row>
    <row r="90" spans="4:20" ht="14.45" customHeight="1" x14ac:dyDescent="0.25">
      <c r="D90" s="78">
        <f>A47</f>
        <v>69</v>
      </c>
      <c r="E90" s="12" t="s">
        <v>110</v>
      </c>
      <c r="F90" s="12">
        <f>B47</f>
        <v>10</v>
      </c>
      <c r="G90">
        <v>9.1700000000000004E-2</v>
      </c>
      <c r="H90">
        <v>4.1200000000000001E-2</v>
      </c>
      <c r="I90" s="56"/>
      <c r="J90" s="57">
        <f>G96-$J$14</f>
        <v>3.8450000000000005E-2</v>
      </c>
      <c r="K90" s="58">
        <f>H96-$K$14</f>
        <v>1.5000000000000013E-3</v>
      </c>
      <c r="L90" s="56"/>
      <c r="M90" s="62">
        <f t="shared" si="3"/>
        <v>3.8075000000000005E-2</v>
      </c>
      <c r="N90" s="56">
        <f t="shared" si="4"/>
        <v>2.5829699250000004</v>
      </c>
      <c r="O90" s="58">
        <f t="shared" si="5"/>
        <v>5.1659398500000009</v>
      </c>
      <c r="P90" s="56">
        <f>O90/F96</f>
        <v>0.51659398500000009</v>
      </c>
      <c r="Q90" s="57">
        <f>AVERAGE(P90:P92)</f>
        <v>0.55164413499999998</v>
      </c>
      <c r="R90" s="56">
        <f>STDEV(P90:P92)</f>
        <v>3.0361900043623279E-2</v>
      </c>
      <c r="S90" s="58">
        <f>R90/Q90*100</f>
        <v>5.5038924765552482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9.4299999999999995E-2</v>
      </c>
      <c r="H91">
        <v>3.8899999999999997E-2</v>
      </c>
      <c r="I91" s="56"/>
      <c r="J91" s="57">
        <f>G97-$J$14</f>
        <v>4.2350000000000006E-2</v>
      </c>
      <c r="K91" s="58">
        <f>H97-$K$14</f>
        <v>1.800000000000003E-3</v>
      </c>
      <c r="L91" s="56"/>
      <c r="M91" s="62">
        <f t="shared" si="3"/>
        <v>4.1900000000000007E-2</v>
      </c>
      <c r="N91" s="56">
        <f t="shared" si="4"/>
        <v>2.8424541000000003</v>
      </c>
      <c r="O91" s="58">
        <f t="shared" si="5"/>
        <v>5.6849082000000006</v>
      </c>
      <c r="P91" s="56">
        <f>O91/F97</f>
        <v>0.56849082000000006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9.6299999999999997E-2</v>
      </c>
      <c r="H92">
        <v>4.1799999999999997E-2</v>
      </c>
      <c r="I92" s="56"/>
      <c r="J92" s="57">
        <f>G98-$J$14</f>
        <v>4.215E-2</v>
      </c>
      <c r="K92" s="58">
        <f>H98-$K$14</f>
        <v>6.0000000000000331E-4</v>
      </c>
      <c r="L92" s="56"/>
      <c r="M92" s="62">
        <f t="shared" ref="M92:M98" si="47">J92-(0.25*K92)</f>
        <v>4.1999999999999996E-2</v>
      </c>
      <c r="N92" s="56">
        <f t="shared" ref="N92:N98" si="48">M92*67.839</f>
        <v>2.8492379999999997</v>
      </c>
      <c r="O92" s="58">
        <f t="shared" ref="O92:O98" si="49">N92*2</f>
        <v>5.6984759999999994</v>
      </c>
      <c r="P92" s="56">
        <f>O92/F98</f>
        <v>0.5698475999999999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3.7499999999999999E-2</v>
      </c>
      <c r="H93">
        <v>3.6299999999999999E-2</v>
      </c>
      <c r="I93" s="56"/>
      <c r="J93" s="57">
        <f>G99-$J$14</f>
        <v>3.635E-2</v>
      </c>
      <c r="K93" s="58">
        <f>H99-$K$14</f>
        <v>1.1000000000000038E-3</v>
      </c>
      <c r="L93" s="56"/>
      <c r="M93" s="62">
        <f t="shared" si="47"/>
        <v>3.6074999999999996E-2</v>
      </c>
      <c r="N93" s="56">
        <f t="shared" si="48"/>
        <v>2.4472919249999996</v>
      </c>
      <c r="O93" s="58">
        <f t="shared" si="49"/>
        <v>4.8945838499999992</v>
      </c>
      <c r="P93" s="56">
        <f>O93/F99</f>
        <v>0.48945838499999994</v>
      </c>
      <c r="Q93" s="57">
        <f>AVERAGE(P93:P95)</f>
        <v>0.49974729999999995</v>
      </c>
      <c r="R93" s="56">
        <f>STDEV(P93:P95)</f>
        <v>1.4174671852791719E-2</v>
      </c>
      <c r="S93" s="58">
        <f>R93/Q93*100</f>
        <v>2.8363678708802871</v>
      </c>
      <c r="T93" s="56"/>
    </row>
    <row r="94" spans="4:20" ht="14.45" customHeight="1" x14ac:dyDescent="0.25">
      <c r="D94" s="71"/>
      <c r="E94" s="17" t="s">
        <v>129</v>
      </c>
      <c r="F94" s="17"/>
      <c r="G94">
        <v>3.7600000000000001E-2</v>
      </c>
      <c r="H94">
        <v>3.6900000000000002E-2</v>
      </c>
      <c r="I94" s="56"/>
      <c r="J94" s="57">
        <f>G100-$J$14</f>
        <v>3.8850000000000003E-2</v>
      </c>
      <c r="K94" s="58">
        <f>H100-$K$14</f>
        <v>3.3000000000000043E-3</v>
      </c>
      <c r="L94" s="56"/>
      <c r="M94" s="62">
        <f t="shared" si="47"/>
        <v>3.8025000000000003E-2</v>
      </c>
      <c r="N94" s="56">
        <f t="shared" si="48"/>
        <v>2.5795779750000003</v>
      </c>
      <c r="O94" s="58">
        <f t="shared" si="49"/>
        <v>5.1591559500000006</v>
      </c>
      <c r="P94" s="56">
        <f>O94/F100</f>
        <v>0.51591559500000006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3.73E-2</v>
      </c>
      <c r="H95">
        <v>3.6400000000000002E-2</v>
      </c>
      <c r="I95" s="56"/>
      <c r="J95" s="57">
        <f>G101-$J$14</f>
        <v>3.7150000000000009E-2</v>
      </c>
      <c r="K95" s="58">
        <f>H101-$K$14</f>
        <v>3.0000000000000027E-3</v>
      </c>
      <c r="L95" s="56"/>
      <c r="M95" s="62">
        <f t="shared" si="47"/>
        <v>3.6400000000000009E-2</v>
      </c>
      <c r="N95" s="56">
        <f t="shared" si="48"/>
        <v>2.4693396000000005</v>
      </c>
      <c r="O95" s="58">
        <f t="shared" si="49"/>
        <v>4.938679200000001</v>
      </c>
      <c r="P95" s="56">
        <f>O95/F101</f>
        <v>0.49386792000000013</v>
      </c>
      <c r="Q95" s="57"/>
      <c r="R95" s="56"/>
      <c r="S95" s="58"/>
      <c r="T95" s="56"/>
    </row>
    <row r="96" spans="4:20" ht="14.45" customHeight="1" x14ac:dyDescent="0.25">
      <c r="D96" s="78">
        <f>A48</f>
        <v>70</v>
      </c>
      <c r="E96" s="12" t="s">
        <v>113</v>
      </c>
      <c r="F96" s="12">
        <f>B48</f>
        <v>10</v>
      </c>
      <c r="G96">
        <v>7.7100000000000002E-2</v>
      </c>
      <c r="H96">
        <v>3.9E-2</v>
      </c>
      <c r="I96" s="56"/>
      <c r="J96" s="57">
        <f>G102-$J$14</f>
        <v>3.9450000000000006E-2</v>
      </c>
      <c r="K96" s="58">
        <f>H102-$K$14</f>
        <v>6.9999999999999993E-3</v>
      </c>
      <c r="L96" s="56"/>
      <c r="M96" s="62">
        <f t="shared" si="47"/>
        <v>3.7700000000000004E-2</v>
      </c>
      <c r="N96" s="56">
        <f t="shared" si="48"/>
        <v>2.5575303000000003</v>
      </c>
      <c r="O96" s="58">
        <f t="shared" si="49"/>
        <v>5.1150606000000005</v>
      </c>
      <c r="P96" s="56">
        <f>O96/F102</f>
        <v>0.5115060600000001</v>
      </c>
      <c r="Q96" s="57">
        <f>AVERAGE(P96:P98)</f>
        <v>0.48810160500000005</v>
      </c>
      <c r="R96" s="56">
        <f>STDEV(P96:P98)</f>
        <v>2.1906325513702141E-2</v>
      </c>
      <c r="S96" s="58">
        <f>R96/Q96*100</f>
        <v>4.4880666831042557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8.1000000000000003E-2</v>
      </c>
      <c r="H97">
        <v>3.9300000000000002E-2</v>
      </c>
      <c r="I97" s="56"/>
      <c r="J97" s="57">
        <f>G103-$J$14</f>
        <v>3.5550000000000005E-2</v>
      </c>
      <c r="K97" s="58">
        <f>H103-$K$14</f>
        <v>4.2000000000000023E-3</v>
      </c>
      <c r="L97" s="56"/>
      <c r="M97" s="62">
        <f t="shared" si="47"/>
        <v>3.4500000000000003E-2</v>
      </c>
      <c r="N97" s="56">
        <f t="shared" si="48"/>
        <v>2.3404455</v>
      </c>
      <c r="O97" s="58">
        <f t="shared" si="49"/>
        <v>4.6808909999999999</v>
      </c>
      <c r="P97" s="56">
        <f>O97/F103</f>
        <v>0.46808909999999998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8.0799999999999997E-2</v>
      </c>
      <c r="H98">
        <v>3.8100000000000002E-2</v>
      </c>
      <c r="I98" s="56"/>
      <c r="J98" s="65">
        <f>G104-$J$14</f>
        <v>3.6550000000000006E-2</v>
      </c>
      <c r="K98" s="66">
        <f>H104-$K$14</f>
        <v>3.3000000000000043E-3</v>
      </c>
      <c r="L98" s="56"/>
      <c r="M98" s="69">
        <f t="shared" si="47"/>
        <v>3.5725000000000007E-2</v>
      </c>
      <c r="N98" s="56">
        <f t="shared" si="48"/>
        <v>2.4235482750000004</v>
      </c>
      <c r="O98" s="66">
        <f t="shared" si="49"/>
        <v>4.8470965500000007</v>
      </c>
      <c r="P98" s="70">
        <f>O98/F104</f>
        <v>0.48470965500000007</v>
      </c>
      <c r="Q98" s="65"/>
      <c r="R98" s="70"/>
      <c r="S98" s="66"/>
      <c r="T98" s="56"/>
    </row>
    <row r="99" spans="4:20" x14ac:dyDescent="0.25">
      <c r="D99" s="78">
        <f>A49</f>
        <v>71</v>
      </c>
      <c r="E99" s="12" t="s">
        <v>116</v>
      </c>
      <c r="F99" s="12">
        <f>B49</f>
        <v>10</v>
      </c>
      <c r="G99">
        <v>7.4999999999999997E-2</v>
      </c>
      <c r="H99">
        <v>3.8600000000000002E-2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7.7499999999999999E-2</v>
      </c>
      <c r="H100">
        <v>4.0800000000000003E-2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7.5800000000000006E-2</v>
      </c>
      <c r="H101">
        <v>4.0500000000000001E-2</v>
      </c>
    </row>
    <row r="102" spans="4:20" x14ac:dyDescent="0.25">
      <c r="D102" s="78">
        <f>A50</f>
        <v>72</v>
      </c>
      <c r="E102" s="12" t="s">
        <v>119</v>
      </c>
      <c r="F102" s="12">
        <f>B50</f>
        <v>10</v>
      </c>
      <c r="G102">
        <v>7.8100000000000003E-2</v>
      </c>
      <c r="H102">
        <v>4.4499999999999998E-2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7.4200000000000002E-2</v>
      </c>
      <c r="H103">
        <v>4.1700000000000001E-2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7.5200000000000003E-2</v>
      </c>
      <c r="H104">
        <v>4.0800000000000003E-2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F6AA-7809-424B-BA7C-FE53212CE42C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3.5000000000000003E-2</v>
      </c>
      <c r="G6">
        <v>3.4299999999999997E-2</v>
      </c>
      <c r="I6" s="13">
        <v>12.5</v>
      </c>
      <c r="J6" s="14">
        <f>AVERAGE(F9:F11,G66)</f>
        <v>0.30112499999999998</v>
      </c>
      <c r="K6" s="15">
        <f>AVERAGE(G9:G11,H66)</f>
        <v>3.7124999999999998E-2</v>
      </c>
      <c r="M6" s="14">
        <f>J6-$J$14</f>
        <v>0.26372499999999999</v>
      </c>
      <c r="N6" s="15">
        <f>K6-$K$14</f>
        <v>5.4166666666666252E-4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3.9199999999999999E-2</v>
      </c>
      <c r="G7">
        <v>3.7400000000000003E-2</v>
      </c>
      <c r="I7" s="18">
        <v>25</v>
      </c>
      <c r="J7" s="19">
        <f>AVERAGE(F12:F14)</f>
        <v>0.53613333333333335</v>
      </c>
      <c r="K7" s="20">
        <f>AVERAGE(G12:G14)</f>
        <v>3.7866666666666667E-2</v>
      </c>
      <c r="M7" s="19">
        <f>J7-$J$14</f>
        <v>0.49873333333333336</v>
      </c>
      <c r="N7" s="20">
        <f>K7-$K$14</f>
        <v>1.2833333333333308E-3</v>
      </c>
      <c r="P7" s="17">
        <f>M6</f>
        <v>0.26372499999999999</v>
      </c>
      <c r="Q7" s="12">
        <v>12.5</v>
      </c>
    </row>
    <row r="8" spans="5:17" x14ac:dyDescent="0.25">
      <c r="E8" s="21" t="s">
        <v>10</v>
      </c>
      <c r="F8">
        <v>3.8600000000000002E-2</v>
      </c>
      <c r="G8">
        <v>3.7100000000000001E-2</v>
      </c>
      <c r="I8" s="18">
        <v>50</v>
      </c>
      <c r="J8" s="19">
        <f>AVERAGE(F15:F17,G67)</f>
        <v>1.029625</v>
      </c>
      <c r="K8" s="20">
        <f>AVERAGE(G15:G17,H67)</f>
        <v>3.7324999999999997E-2</v>
      </c>
      <c r="M8" s="19">
        <f>J8-$J$14</f>
        <v>0.99222500000000002</v>
      </c>
      <c r="N8" s="20">
        <f>K8-$K$14</f>
        <v>7.4166666666666131E-4</v>
      </c>
      <c r="P8" s="17">
        <f>M7</f>
        <v>0.49873333333333336</v>
      </c>
      <c r="Q8" s="17">
        <v>25</v>
      </c>
    </row>
    <row r="9" spans="5:17" x14ac:dyDescent="0.25">
      <c r="E9" s="11" t="s">
        <v>11</v>
      </c>
      <c r="F9">
        <v>0.29299999999999998</v>
      </c>
      <c r="G9">
        <v>3.7199999999999997E-2</v>
      </c>
      <c r="I9" s="18">
        <v>100</v>
      </c>
      <c r="J9" s="19">
        <f>AVERAGE(F18:F20,G68)</f>
        <v>2.0733250000000001</v>
      </c>
      <c r="K9" s="20">
        <f>AVERAGE(G18:G20,H68)</f>
        <v>3.49E-2</v>
      </c>
      <c r="M9" s="19">
        <f>J9-$J$14</f>
        <v>2.0359250000000002</v>
      </c>
      <c r="N9" s="20">
        <f>K9-$K$14</f>
        <v>-1.6833333333333353E-3</v>
      </c>
      <c r="P9" s="17">
        <f>M8</f>
        <v>0.99222500000000002</v>
      </c>
      <c r="Q9" s="17">
        <v>50</v>
      </c>
    </row>
    <row r="10" spans="5:17" x14ac:dyDescent="0.25">
      <c r="E10" s="16" t="s">
        <v>12</v>
      </c>
      <c r="F10">
        <v>0.30780000000000002</v>
      </c>
      <c r="G10">
        <v>3.6999999999999998E-2</v>
      </c>
      <c r="I10" s="23">
        <v>250</v>
      </c>
      <c r="J10" s="24">
        <f>AVERAGE(F21:F23)</f>
        <v>3.5930499999999999</v>
      </c>
      <c r="K10" s="25">
        <f>AVERAGE(G21:G23)</f>
        <v>3.5833333333333335E-2</v>
      </c>
      <c r="M10" s="19">
        <f>J10-$J$14</f>
        <v>3.55565</v>
      </c>
      <c r="N10" s="20">
        <f>K10-$K$14</f>
        <v>-7.5000000000000067E-4</v>
      </c>
      <c r="P10" s="17">
        <f>M9</f>
        <v>2.0359250000000002</v>
      </c>
      <c r="Q10" s="17">
        <v>100</v>
      </c>
    </row>
    <row r="11" spans="5:17" x14ac:dyDescent="0.25">
      <c r="E11" s="21" t="s">
        <v>13</v>
      </c>
      <c r="F11">
        <v>0.30109999999999998</v>
      </c>
      <c r="G11">
        <v>3.7999999999999999E-2</v>
      </c>
      <c r="I11" s="26" t="s">
        <v>14</v>
      </c>
      <c r="J11" s="13">
        <f t="shared" ref="J11:K13" si="0">F6</f>
        <v>3.5000000000000003E-2</v>
      </c>
      <c r="K11" s="27">
        <f t="shared" si="0"/>
        <v>3.4299999999999997E-2</v>
      </c>
      <c r="M11" s="23"/>
      <c r="N11" s="28"/>
      <c r="P11" s="22">
        <f>M10</f>
        <v>3.55565</v>
      </c>
      <c r="Q11" s="22">
        <v>250</v>
      </c>
    </row>
    <row r="12" spans="5:17" x14ac:dyDescent="0.25">
      <c r="E12" s="11" t="s">
        <v>15</v>
      </c>
      <c r="F12">
        <v>0.51870000000000005</v>
      </c>
      <c r="G12">
        <v>3.78E-2</v>
      </c>
      <c r="I12" s="29" t="s">
        <v>14</v>
      </c>
      <c r="J12" s="18">
        <f t="shared" si="0"/>
        <v>3.9199999999999999E-2</v>
      </c>
      <c r="K12" s="30">
        <f t="shared" si="0"/>
        <v>3.7400000000000003E-2</v>
      </c>
    </row>
    <row r="13" spans="5:17" x14ac:dyDescent="0.25">
      <c r="E13" s="16" t="s">
        <v>16</v>
      </c>
      <c r="F13">
        <v>0.54320000000000002</v>
      </c>
      <c r="G13">
        <v>3.8600000000000002E-2</v>
      </c>
      <c r="I13" s="31" t="s">
        <v>14</v>
      </c>
      <c r="J13" s="23">
        <f t="shared" si="0"/>
        <v>3.8600000000000002E-2</v>
      </c>
      <c r="K13" s="28">
        <f t="shared" si="0"/>
        <v>3.7100000000000001E-2</v>
      </c>
    </row>
    <row r="14" spans="5:17" x14ac:dyDescent="0.25">
      <c r="E14" s="21" t="s">
        <v>17</v>
      </c>
      <c r="F14">
        <v>0.54649999999999999</v>
      </c>
      <c r="G14">
        <v>3.7199999999999997E-2</v>
      </c>
      <c r="I14" s="32" t="s">
        <v>18</v>
      </c>
      <c r="J14" s="33">
        <f>AVERAGE(J11:J13,G93:G95)</f>
        <v>3.7399999999999996E-2</v>
      </c>
      <c r="K14" s="34">
        <f>AVERAGE(K11:K13,H93:H95)</f>
        <v>3.6583333333333336E-2</v>
      </c>
    </row>
    <row r="15" spans="5:17" x14ac:dyDescent="0.25">
      <c r="E15" s="11" t="s">
        <v>19</v>
      </c>
      <c r="F15">
        <v>1.0125</v>
      </c>
      <c r="G15">
        <v>3.7199999999999997E-2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1.0113000000000001</v>
      </c>
      <c r="G16">
        <v>3.7400000000000003E-2</v>
      </c>
      <c r="M16" s="18" t="s">
        <v>22</v>
      </c>
      <c r="O16" s="30"/>
    </row>
    <row r="17" spans="1:24" x14ac:dyDescent="0.25">
      <c r="E17" s="21" t="s">
        <v>23</v>
      </c>
      <c r="F17">
        <v>1.0215000000000001</v>
      </c>
      <c r="G17">
        <v>3.8800000000000001E-2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2.1017000000000001</v>
      </c>
      <c r="G18">
        <v>3.44E-2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2.1139000000000001</v>
      </c>
      <c r="G19">
        <v>3.4599999999999999E-2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2.0638000000000001</v>
      </c>
      <c r="G20">
        <v>3.5000000000000003E-2</v>
      </c>
      <c r="U20" s="37"/>
      <c r="V20" s="37"/>
    </row>
    <row r="21" spans="1:24" x14ac:dyDescent="0.25">
      <c r="E21" s="11" t="s">
        <v>29</v>
      </c>
      <c r="F21">
        <v>3.6785000000000001</v>
      </c>
      <c r="G21">
        <v>3.5400000000000001E-2</v>
      </c>
      <c r="U21" s="37"/>
      <c r="V21" s="37"/>
    </row>
    <row r="22" spans="1:24" x14ac:dyDescent="0.25">
      <c r="E22" s="16" t="s">
        <v>30</v>
      </c>
      <c r="F22">
        <v>3.5076000000000001</v>
      </c>
      <c r="G22">
        <v>3.6700000000000003E-2</v>
      </c>
      <c r="U22" s="37"/>
      <c r="V22" s="37"/>
    </row>
    <row r="23" spans="1:24" x14ac:dyDescent="0.25">
      <c r="E23" s="21" t="s">
        <v>31</v>
      </c>
      <c r="F23" s="39" t="s">
        <v>122</v>
      </c>
      <c r="G23">
        <v>3.5400000000000001E-2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73</v>
      </c>
      <c r="B27" s="30">
        <v>10</v>
      </c>
      <c r="D27" s="78">
        <f>A27</f>
        <v>73</v>
      </c>
      <c r="E27" s="12" t="s">
        <v>50</v>
      </c>
      <c r="F27" s="12">
        <f>B27</f>
        <v>10</v>
      </c>
      <c r="G27">
        <v>6.6699999999999995E-2</v>
      </c>
      <c r="H27">
        <v>4.2799999999999998E-2</v>
      </c>
      <c r="I27" s="56"/>
      <c r="J27" s="57">
        <f t="shared" ref="J27:J65" si="1">G27-$J$14</f>
        <v>2.93E-2</v>
      </c>
      <c r="K27" s="58">
        <f t="shared" ref="K27:K65" si="2">H27-$K$14</f>
        <v>6.216666666666662E-3</v>
      </c>
      <c r="L27" s="56"/>
      <c r="M27" s="59">
        <f>J27-(0.25*K27)</f>
        <v>2.7745833333333334E-2</v>
      </c>
      <c r="N27" s="56">
        <f>M27*70.589</f>
        <v>1.9585506291666668</v>
      </c>
      <c r="O27" s="58">
        <f>N27*2</f>
        <v>3.9171012583333336</v>
      </c>
      <c r="P27" s="56">
        <f>O27/F27</f>
        <v>0.39171012583333337</v>
      </c>
      <c r="Q27" s="57">
        <f>AVERAGE(P27:P29)</f>
        <v>0.41547508916666676</v>
      </c>
      <c r="R27" s="56">
        <f>STDEV(P27:P29)</f>
        <v>2.2985726596956513E-2</v>
      </c>
      <c r="S27" s="58">
        <f>R27/Q27*100</f>
        <v>5.5323958514720601</v>
      </c>
      <c r="T27" s="60">
        <f>D27</f>
        <v>73</v>
      </c>
      <c r="U27" s="61">
        <f>Q27</f>
        <v>0.41547508916666676</v>
      </c>
      <c r="V27" s="37"/>
    </row>
    <row r="28" spans="1:24" ht="14.45" customHeight="1" x14ac:dyDescent="0.25">
      <c r="A28" s="18">
        <v>74</v>
      </c>
      <c r="B28" s="30">
        <v>10</v>
      </c>
      <c r="D28" s="79"/>
      <c r="E28" s="17" t="s">
        <v>51</v>
      </c>
      <c r="F28" s="17">
        <f>F27</f>
        <v>10</v>
      </c>
      <c r="G28">
        <v>6.93E-2</v>
      </c>
      <c r="H28">
        <v>4.02E-2</v>
      </c>
      <c r="I28" s="56"/>
      <c r="J28" s="57">
        <f t="shared" si="1"/>
        <v>3.1900000000000005E-2</v>
      </c>
      <c r="K28" s="58">
        <f t="shared" si="2"/>
        <v>3.6166666666666639E-3</v>
      </c>
      <c r="L28" s="56"/>
      <c r="M28" s="62">
        <f t="shared" ref="M28:M91" si="3">J28-(0.25*K28)</f>
        <v>3.0995833333333341E-2</v>
      </c>
      <c r="N28" s="56">
        <f t="shared" ref="N28:N91" si="4">M28*70.589</f>
        <v>2.187964879166667</v>
      </c>
      <c r="O28" s="58">
        <f t="shared" ref="O28:O91" si="5">N28*2</f>
        <v>4.3759297583333341</v>
      </c>
      <c r="P28" s="56">
        <f t="shared" ref="P28:P65" si="6">O28/F28</f>
        <v>0.4375929758333334</v>
      </c>
      <c r="Q28" s="57"/>
      <c r="R28" s="56"/>
      <c r="S28" s="58"/>
      <c r="T28" s="63">
        <f>D30</f>
        <v>74</v>
      </c>
      <c r="U28" s="64">
        <f>Q30</f>
        <v>0.34853318750000012</v>
      </c>
    </row>
    <row r="29" spans="1:24" ht="14.45" customHeight="1" x14ac:dyDescent="0.25">
      <c r="A29" s="18">
        <v>75</v>
      </c>
      <c r="B29" s="30">
        <v>10</v>
      </c>
      <c r="D29" s="80"/>
      <c r="E29" s="22" t="s">
        <v>52</v>
      </c>
      <c r="F29" s="22">
        <f>F27</f>
        <v>10</v>
      </c>
      <c r="G29">
        <v>6.7699999999999996E-2</v>
      </c>
      <c r="H29">
        <v>3.9600000000000003E-2</v>
      </c>
      <c r="I29" s="56"/>
      <c r="J29" s="57">
        <f t="shared" si="1"/>
        <v>3.0300000000000001E-2</v>
      </c>
      <c r="K29" s="58">
        <f t="shared" si="2"/>
        <v>3.0166666666666675E-3</v>
      </c>
      <c r="L29" s="56"/>
      <c r="M29" s="62">
        <f t="shared" si="3"/>
        <v>2.9545833333333334E-2</v>
      </c>
      <c r="N29" s="56">
        <f t="shared" si="4"/>
        <v>2.0856108291666668</v>
      </c>
      <c r="O29" s="58">
        <f t="shared" si="5"/>
        <v>4.1712216583333337</v>
      </c>
      <c r="P29" s="56">
        <f t="shared" si="6"/>
        <v>0.41712216583333339</v>
      </c>
      <c r="Q29" s="57"/>
      <c r="R29" s="56"/>
      <c r="S29" s="58"/>
      <c r="T29" s="63">
        <f>D33</f>
        <v>75</v>
      </c>
      <c r="U29" s="64">
        <f>Q33</f>
        <v>0.53794700416666674</v>
      </c>
    </row>
    <row r="30" spans="1:24" ht="14.45" customHeight="1" x14ac:dyDescent="0.25">
      <c r="A30" s="18">
        <v>76</v>
      </c>
      <c r="B30" s="30">
        <v>10</v>
      </c>
      <c r="D30" s="78">
        <f>A28</f>
        <v>74</v>
      </c>
      <c r="E30" s="12" t="s">
        <v>53</v>
      </c>
      <c r="F30" s="12">
        <f>B28</f>
        <v>10</v>
      </c>
      <c r="G30">
        <v>6.4600000000000005E-2</v>
      </c>
      <c r="H30">
        <v>4.3999999999999997E-2</v>
      </c>
      <c r="I30" s="56"/>
      <c r="J30" s="57">
        <f t="shared" si="1"/>
        <v>2.7200000000000009E-2</v>
      </c>
      <c r="K30" s="58">
        <f t="shared" si="2"/>
        <v>7.4166666666666617E-3</v>
      </c>
      <c r="L30" s="56"/>
      <c r="M30" s="62">
        <f t="shared" si="3"/>
        <v>2.5345833333333345E-2</v>
      </c>
      <c r="N30" s="56">
        <f t="shared" si="4"/>
        <v>1.7891370291666675</v>
      </c>
      <c r="O30" s="58">
        <f t="shared" si="5"/>
        <v>3.578274058333335</v>
      </c>
      <c r="P30" s="56">
        <f t="shared" si="6"/>
        <v>0.3578274058333335</v>
      </c>
      <c r="Q30" s="57">
        <f>AVERAGE(P30:P32)</f>
        <v>0.34853318750000012</v>
      </c>
      <c r="R30" s="56">
        <f>STDEV(P30:P32)</f>
        <v>8.2798018427229711E-3</v>
      </c>
      <c r="S30" s="58">
        <f>R30/Q30*100</f>
        <v>2.3756136114650399</v>
      </c>
      <c r="T30" s="63">
        <f>D36</f>
        <v>76</v>
      </c>
      <c r="U30" s="64">
        <f>Q36</f>
        <v>0.42912229583333339</v>
      </c>
    </row>
    <row r="31" spans="1:24" ht="14.45" customHeight="1" x14ac:dyDescent="0.25">
      <c r="A31" s="18">
        <v>77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6.2700000000000006E-2</v>
      </c>
      <c r="H31">
        <v>3.9800000000000002E-2</v>
      </c>
      <c r="I31" s="56"/>
      <c r="J31" s="57">
        <f t="shared" si="1"/>
        <v>2.530000000000001E-2</v>
      </c>
      <c r="K31" s="58">
        <f t="shared" si="2"/>
        <v>3.2166666666666663E-3</v>
      </c>
      <c r="L31" s="56"/>
      <c r="M31" s="62">
        <f t="shared" si="3"/>
        <v>2.4495833333333342E-2</v>
      </c>
      <c r="N31" s="56">
        <f t="shared" si="4"/>
        <v>1.7291363791666672</v>
      </c>
      <c r="O31" s="58">
        <f t="shared" si="5"/>
        <v>3.4582727583333344</v>
      </c>
      <c r="P31" s="56">
        <f t="shared" si="6"/>
        <v>0.34582727583333345</v>
      </c>
      <c r="Q31" s="57"/>
      <c r="R31" s="56"/>
      <c r="S31" s="58"/>
      <c r="T31" s="63">
        <f>D39</f>
        <v>77</v>
      </c>
      <c r="U31" s="64">
        <f>Q39</f>
        <v>0.78771441583333335</v>
      </c>
    </row>
    <row r="32" spans="1:24" ht="14.45" customHeight="1" x14ac:dyDescent="0.25">
      <c r="A32" s="18">
        <v>78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6.2600000000000003E-2</v>
      </c>
      <c r="H32">
        <v>4.0500000000000001E-2</v>
      </c>
      <c r="I32" s="56"/>
      <c r="J32" s="57">
        <f t="shared" si="1"/>
        <v>2.5200000000000007E-2</v>
      </c>
      <c r="K32" s="58">
        <f t="shared" si="2"/>
        <v>3.9166666666666655E-3</v>
      </c>
      <c r="L32" s="56"/>
      <c r="M32" s="62">
        <f t="shared" si="3"/>
        <v>2.4220833333333341E-2</v>
      </c>
      <c r="N32" s="56">
        <f t="shared" si="4"/>
        <v>1.7097244041666673</v>
      </c>
      <c r="O32" s="58">
        <f t="shared" si="5"/>
        <v>3.4194488083333345</v>
      </c>
      <c r="P32" s="56">
        <f t="shared" si="6"/>
        <v>0.34194488083333346</v>
      </c>
      <c r="Q32" s="57"/>
      <c r="R32" s="56"/>
      <c r="S32" s="58"/>
      <c r="T32" s="63">
        <f>D42</f>
        <v>78</v>
      </c>
      <c r="U32" s="64">
        <f>Q42</f>
        <v>0.54194704750000011</v>
      </c>
    </row>
    <row r="33" spans="1:21" ht="14.45" customHeight="1" x14ac:dyDescent="0.25">
      <c r="A33" s="18">
        <v>79</v>
      </c>
      <c r="B33" s="30">
        <v>10</v>
      </c>
      <c r="D33" s="78">
        <f>A29</f>
        <v>75</v>
      </c>
      <c r="E33" s="12" t="s">
        <v>56</v>
      </c>
      <c r="F33" s="12">
        <f>B29</f>
        <v>10</v>
      </c>
      <c r="G33">
        <v>7.4300000000000005E-2</v>
      </c>
      <c r="H33">
        <v>3.8399999999999997E-2</v>
      </c>
      <c r="I33" s="56"/>
      <c r="J33" s="57">
        <f t="shared" si="1"/>
        <v>3.6900000000000009E-2</v>
      </c>
      <c r="K33" s="58">
        <f t="shared" si="2"/>
        <v>1.8166666666666609E-3</v>
      </c>
      <c r="L33" s="56"/>
      <c r="M33" s="62">
        <f t="shared" si="3"/>
        <v>3.6445833333333344E-2</v>
      </c>
      <c r="N33" s="56">
        <f t="shared" si="4"/>
        <v>2.5726749291666673</v>
      </c>
      <c r="O33" s="58">
        <f t="shared" si="5"/>
        <v>5.1453498583333346</v>
      </c>
      <c r="P33" s="56">
        <f t="shared" si="6"/>
        <v>0.51453498583333346</v>
      </c>
      <c r="Q33" s="57">
        <f>AVERAGE(P33:P35)</f>
        <v>0.53794700416666674</v>
      </c>
      <c r="R33" s="56">
        <f>STDEV(P33:P35)</f>
        <v>2.0749844369667127E-2</v>
      </c>
      <c r="S33" s="58">
        <f>R33/Q33*100</f>
        <v>3.8572283531554739</v>
      </c>
      <c r="T33" s="63">
        <f>D45</f>
        <v>79</v>
      </c>
      <c r="U33" s="64">
        <f>Q45</f>
        <v>0.57265326250000004</v>
      </c>
    </row>
    <row r="34" spans="1:21" ht="14.45" customHeight="1" x14ac:dyDescent="0.25">
      <c r="A34" s="18">
        <v>80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7.7499999999999999E-2</v>
      </c>
      <c r="H34">
        <v>0.04</v>
      </c>
      <c r="I34" s="56"/>
      <c r="J34" s="57">
        <f t="shared" si="1"/>
        <v>4.0100000000000004E-2</v>
      </c>
      <c r="K34" s="58">
        <f t="shared" si="2"/>
        <v>3.4166666666666651E-3</v>
      </c>
      <c r="L34" s="56"/>
      <c r="M34" s="62">
        <f t="shared" si="3"/>
        <v>3.9245833333333341E-2</v>
      </c>
      <c r="N34" s="56">
        <f t="shared" si="4"/>
        <v>2.7703241291666671</v>
      </c>
      <c r="O34" s="58">
        <f t="shared" si="5"/>
        <v>5.5406482583333343</v>
      </c>
      <c r="P34" s="56">
        <f t="shared" si="6"/>
        <v>0.55406482583333339</v>
      </c>
      <c r="Q34" s="57"/>
      <c r="R34" s="56"/>
      <c r="S34" s="58"/>
      <c r="T34" s="63">
        <f>D48</f>
        <v>80</v>
      </c>
      <c r="U34" s="64">
        <f>Q48</f>
        <v>0.39853372916666668</v>
      </c>
    </row>
    <row r="35" spans="1:21" ht="14.45" customHeight="1" x14ac:dyDescent="0.25">
      <c r="A35" s="18">
        <v>81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7.6999999999999999E-2</v>
      </c>
      <c r="H35">
        <v>4.0500000000000001E-2</v>
      </c>
      <c r="I35" s="56"/>
      <c r="J35" s="57">
        <f t="shared" si="1"/>
        <v>3.9600000000000003E-2</v>
      </c>
      <c r="K35" s="58">
        <f t="shared" si="2"/>
        <v>3.9166666666666655E-3</v>
      </c>
      <c r="L35" s="56"/>
      <c r="M35" s="62">
        <f t="shared" si="3"/>
        <v>3.862083333333334E-2</v>
      </c>
      <c r="N35" s="56">
        <f t="shared" si="4"/>
        <v>2.7262060041666669</v>
      </c>
      <c r="O35" s="58">
        <f t="shared" si="5"/>
        <v>5.4524120083333338</v>
      </c>
      <c r="P35" s="56">
        <f t="shared" si="6"/>
        <v>0.54524120083333338</v>
      </c>
      <c r="Q35" s="57"/>
      <c r="R35" s="56"/>
      <c r="S35" s="58"/>
      <c r="T35" s="63">
        <f>D51</f>
        <v>81</v>
      </c>
      <c r="U35" s="64">
        <f>Q51</f>
        <v>1.1476006675000001</v>
      </c>
    </row>
    <row r="36" spans="1:21" ht="14.45" customHeight="1" x14ac:dyDescent="0.25">
      <c r="A36" s="18">
        <v>82</v>
      </c>
      <c r="B36" s="30">
        <v>10</v>
      </c>
      <c r="D36" s="78">
        <f>A30</f>
        <v>76</v>
      </c>
      <c r="E36" s="12" t="s">
        <v>59</v>
      </c>
      <c r="F36" s="12">
        <f>B30</f>
        <v>10</v>
      </c>
      <c r="G36">
        <v>6.8500000000000005E-2</v>
      </c>
      <c r="H36">
        <v>4.1799999999999997E-2</v>
      </c>
      <c r="I36" s="56"/>
      <c r="J36" s="57">
        <f t="shared" si="1"/>
        <v>3.110000000000001E-2</v>
      </c>
      <c r="K36" s="58">
        <f t="shared" si="2"/>
        <v>5.2166666666666611E-3</v>
      </c>
      <c r="L36" s="56"/>
      <c r="M36" s="62">
        <f t="shared" si="3"/>
        <v>2.9795833333333344E-2</v>
      </c>
      <c r="N36" s="56">
        <f t="shared" si="4"/>
        <v>2.1032580791666673</v>
      </c>
      <c r="O36" s="58">
        <f t="shared" si="5"/>
        <v>4.2065161583333346</v>
      </c>
      <c r="P36" s="56">
        <f t="shared" si="6"/>
        <v>0.42065161583333344</v>
      </c>
      <c r="Q36" s="57">
        <f>AVERAGE(P36:P38)</f>
        <v>0.42912229583333339</v>
      </c>
      <c r="R36" s="56">
        <f>STDEV(P36:P38)</f>
        <v>1.094129499999992E-2</v>
      </c>
      <c r="S36" s="58">
        <f>R36/Q36*100</f>
        <v>2.5496915695681786</v>
      </c>
      <c r="T36" s="63">
        <f>D54</f>
        <v>82</v>
      </c>
      <c r="U36" s="64">
        <f>Q54</f>
        <v>0.59994767583333342</v>
      </c>
    </row>
    <row r="37" spans="1:21" ht="14.45" customHeight="1" x14ac:dyDescent="0.25">
      <c r="A37" s="18">
        <v>83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6.9099999999999995E-2</v>
      </c>
      <c r="H37">
        <v>3.8300000000000001E-2</v>
      </c>
      <c r="I37" s="56"/>
      <c r="J37" s="57">
        <f t="shared" si="1"/>
        <v>3.1699999999999999E-2</v>
      </c>
      <c r="K37" s="58">
        <f t="shared" si="2"/>
        <v>1.716666666666665E-3</v>
      </c>
      <c r="L37" s="56"/>
      <c r="M37" s="62">
        <f t="shared" si="3"/>
        <v>3.1270833333333331E-2</v>
      </c>
      <c r="N37" s="56">
        <f t="shared" si="4"/>
        <v>2.2073768541666663</v>
      </c>
      <c r="O37" s="58">
        <f t="shared" si="5"/>
        <v>4.4147537083333326</v>
      </c>
      <c r="P37" s="56">
        <f t="shared" si="6"/>
        <v>0.44147537083333327</v>
      </c>
      <c r="Q37" s="57"/>
      <c r="R37" s="56"/>
      <c r="S37" s="58"/>
      <c r="T37" s="63">
        <f>D57</f>
        <v>83</v>
      </c>
      <c r="U37" s="64">
        <f>Q57</f>
        <v>0.30088561250000007</v>
      </c>
    </row>
    <row r="38" spans="1:21" ht="14.45" customHeight="1" x14ac:dyDescent="0.25">
      <c r="A38" s="18">
        <v>84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6.7699999999999996E-2</v>
      </c>
      <c r="H38">
        <v>3.73E-2</v>
      </c>
      <c r="I38" s="56"/>
      <c r="J38" s="57">
        <f t="shared" si="1"/>
        <v>3.0300000000000001E-2</v>
      </c>
      <c r="K38" s="58">
        <f t="shared" si="2"/>
        <v>7.1666666666666407E-4</v>
      </c>
      <c r="L38" s="56"/>
      <c r="M38" s="62">
        <f t="shared" si="3"/>
        <v>3.0120833333333333E-2</v>
      </c>
      <c r="N38" s="56">
        <f t="shared" si="4"/>
        <v>2.1261995041666668</v>
      </c>
      <c r="O38" s="58">
        <f t="shared" si="5"/>
        <v>4.2523990083333336</v>
      </c>
      <c r="P38" s="56">
        <f t="shared" si="6"/>
        <v>0.42523990083333335</v>
      </c>
      <c r="Q38" s="57"/>
      <c r="R38" s="56"/>
      <c r="S38" s="58"/>
      <c r="T38" s="63">
        <f>D60</f>
        <v>84</v>
      </c>
      <c r="U38" s="64">
        <f>Q60</f>
        <v>0.4533578525000001</v>
      </c>
    </row>
    <row r="39" spans="1:21" ht="14.45" customHeight="1" x14ac:dyDescent="0.25">
      <c r="A39" s="18">
        <v>85</v>
      </c>
      <c r="B39" s="30">
        <v>10</v>
      </c>
      <c r="D39" s="78">
        <f>A31</f>
        <v>77</v>
      </c>
      <c r="E39" s="12" t="s">
        <v>62</v>
      </c>
      <c r="F39" s="12">
        <f>B31</f>
        <v>10</v>
      </c>
      <c r="G39">
        <v>0.1719</v>
      </c>
      <c r="H39">
        <v>0.13550000000000001</v>
      </c>
      <c r="I39" s="56"/>
      <c r="J39" s="57">
        <f t="shared" si="1"/>
        <v>0.13450000000000001</v>
      </c>
      <c r="K39" s="58">
        <f t="shared" si="2"/>
        <v>9.8916666666666681E-2</v>
      </c>
      <c r="L39" s="56"/>
      <c r="M39" s="62">
        <f t="shared" si="3"/>
        <v>0.10977083333333335</v>
      </c>
      <c r="N39" s="56">
        <f t="shared" si="4"/>
        <v>7.7486133541666673</v>
      </c>
      <c r="O39" s="58">
        <f t="shared" si="5"/>
        <v>15.497226708333335</v>
      </c>
      <c r="P39" s="56">
        <f t="shared" si="6"/>
        <v>1.5497226708333334</v>
      </c>
      <c r="Q39" s="57">
        <f>AVERAGE(P39:P41)</f>
        <v>0.78771441583333335</v>
      </c>
      <c r="R39" s="56">
        <f>STDEV(P39:P41)</f>
        <v>0.66008103782535765</v>
      </c>
      <c r="S39" s="58">
        <f>R39/Q39*100</f>
        <v>83.796998576831854</v>
      </c>
      <c r="T39" s="63">
        <f>D63</f>
        <v>85</v>
      </c>
      <c r="U39" s="64">
        <f>Q63</f>
        <v>1.2525429808333335</v>
      </c>
    </row>
    <row r="40" spans="1:21" ht="14.45" customHeight="1" x14ac:dyDescent="0.25">
      <c r="A40" s="18">
        <v>86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6.6100000000000006E-2</v>
      </c>
      <c r="H40">
        <v>4.0300000000000002E-2</v>
      </c>
      <c r="I40" s="56"/>
      <c r="J40" s="57">
        <f t="shared" si="1"/>
        <v>2.870000000000001E-2</v>
      </c>
      <c r="K40" s="58">
        <f t="shared" si="2"/>
        <v>3.7166666666666667E-3</v>
      </c>
      <c r="L40" s="56"/>
      <c r="M40" s="62">
        <f t="shared" si="3"/>
        <v>2.7770833333333342E-2</v>
      </c>
      <c r="N40" s="56">
        <f t="shared" si="4"/>
        <v>1.9603153541666671</v>
      </c>
      <c r="O40" s="58">
        <f t="shared" si="5"/>
        <v>3.9206307083333343</v>
      </c>
      <c r="P40" s="56">
        <f t="shared" si="6"/>
        <v>0.39206307083333342</v>
      </c>
      <c r="Q40" s="57"/>
      <c r="R40" s="56"/>
      <c r="S40" s="58"/>
      <c r="T40" s="63">
        <f>D69</f>
        <v>86</v>
      </c>
      <c r="U40" s="64">
        <f>Q66</f>
        <v>0.61335958583333339</v>
      </c>
    </row>
    <row r="41" spans="1:21" ht="14.45" customHeight="1" x14ac:dyDescent="0.25">
      <c r="A41" s="18">
        <v>87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6.8000000000000005E-2</v>
      </c>
      <c r="H41">
        <v>3.9600000000000003E-2</v>
      </c>
      <c r="I41" s="56"/>
      <c r="J41" s="57">
        <f t="shared" si="1"/>
        <v>3.0600000000000009E-2</v>
      </c>
      <c r="K41" s="58">
        <f t="shared" si="2"/>
        <v>3.0166666666666675E-3</v>
      </c>
      <c r="L41" s="56"/>
      <c r="M41" s="62">
        <f t="shared" si="3"/>
        <v>2.9845833333333342E-2</v>
      </c>
      <c r="N41" s="56">
        <f t="shared" si="4"/>
        <v>2.1067875291666671</v>
      </c>
      <c r="O41" s="58">
        <f t="shared" si="5"/>
        <v>4.2135750583333342</v>
      </c>
      <c r="P41" s="56">
        <f t="shared" si="6"/>
        <v>0.42135750583333342</v>
      </c>
      <c r="Q41" s="57"/>
      <c r="R41" s="56"/>
      <c r="S41" s="58"/>
      <c r="T41" s="63">
        <f>D72</f>
        <v>87</v>
      </c>
      <c r="U41" s="64">
        <f>Q69</f>
        <v>0.44135772249999999</v>
      </c>
    </row>
    <row r="42" spans="1:21" ht="14.45" customHeight="1" x14ac:dyDescent="0.25">
      <c r="A42" s="18">
        <v>88</v>
      </c>
      <c r="B42" s="30">
        <v>10</v>
      </c>
      <c r="D42" s="78">
        <f>A32</f>
        <v>78</v>
      </c>
      <c r="E42" s="12" t="s">
        <v>65</v>
      </c>
      <c r="F42" s="12">
        <f>B32</f>
        <v>10</v>
      </c>
      <c r="G42">
        <v>7.4499999999999997E-2</v>
      </c>
      <c r="H42">
        <v>3.8699999999999998E-2</v>
      </c>
      <c r="I42" s="56"/>
      <c r="J42" s="57">
        <f t="shared" si="1"/>
        <v>3.7100000000000001E-2</v>
      </c>
      <c r="K42" s="58">
        <f t="shared" si="2"/>
        <v>2.1166666666666625E-3</v>
      </c>
      <c r="L42" s="56"/>
      <c r="M42" s="62">
        <f t="shared" si="3"/>
        <v>3.6570833333333337E-2</v>
      </c>
      <c r="N42" s="56">
        <f t="shared" si="4"/>
        <v>2.5814985541666671</v>
      </c>
      <c r="O42" s="58">
        <f t="shared" si="5"/>
        <v>5.1629971083333341</v>
      </c>
      <c r="P42" s="56">
        <f t="shared" si="6"/>
        <v>0.51629971083333337</v>
      </c>
      <c r="Q42" s="57">
        <f>AVERAGE(P42:P44)</f>
        <v>0.54194704750000011</v>
      </c>
      <c r="R42" s="56">
        <f>STDEV(P42:P44)</f>
        <v>2.4917850343631399E-2</v>
      </c>
      <c r="S42" s="58">
        <f>R42/Q42*100</f>
        <v>4.59783856348648</v>
      </c>
      <c r="T42" s="63">
        <f>D75</f>
        <v>88</v>
      </c>
      <c r="U42" s="64">
        <f>Q72</f>
        <v>0.21700235083333339</v>
      </c>
    </row>
    <row r="43" spans="1:21" ht="14.45" customHeight="1" x14ac:dyDescent="0.25">
      <c r="A43" s="18">
        <v>89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7.8200000000000006E-2</v>
      </c>
      <c r="H43">
        <v>3.9399999999999998E-2</v>
      </c>
      <c r="I43" s="56"/>
      <c r="J43" s="57">
        <f t="shared" si="1"/>
        <v>4.080000000000001E-2</v>
      </c>
      <c r="K43" s="58">
        <f t="shared" si="2"/>
        <v>2.8166666666666618E-3</v>
      </c>
      <c r="L43" s="56"/>
      <c r="M43" s="62">
        <f t="shared" si="3"/>
        <v>4.0095833333333344E-2</v>
      </c>
      <c r="N43" s="56">
        <f t="shared" si="4"/>
        <v>2.8303247791666672</v>
      </c>
      <c r="O43" s="58">
        <f t="shared" si="5"/>
        <v>5.6606495583333345</v>
      </c>
      <c r="P43" s="56">
        <f t="shared" si="6"/>
        <v>0.56606495583333349</v>
      </c>
      <c r="Q43" s="57"/>
      <c r="R43" s="56"/>
      <c r="S43" s="58"/>
      <c r="T43" s="63">
        <f>D78</f>
        <v>89</v>
      </c>
      <c r="U43" s="64">
        <f>Q75</f>
        <v>0.25229685083333342</v>
      </c>
    </row>
    <row r="44" spans="1:21" ht="14.45" customHeight="1" x14ac:dyDescent="0.25">
      <c r="A44" s="18">
        <v>90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7.6499999999999999E-2</v>
      </c>
      <c r="H44">
        <v>3.9E-2</v>
      </c>
      <c r="I44" s="56"/>
      <c r="J44" s="57">
        <f t="shared" si="1"/>
        <v>3.9100000000000003E-2</v>
      </c>
      <c r="K44" s="58">
        <f t="shared" si="2"/>
        <v>2.4166666666666642E-3</v>
      </c>
      <c r="L44" s="56"/>
      <c r="M44" s="62">
        <f t="shared" si="3"/>
        <v>3.849583333333334E-2</v>
      </c>
      <c r="N44" s="56">
        <f t="shared" si="4"/>
        <v>2.7173823791666671</v>
      </c>
      <c r="O44" s="58">
        <f t="shared" si="5"/>
        <v>5.4347647583333343</v>
      </c>
      <c r="P44" s="56">
        <f t="shared" si="6"/>
        <v>0.54347647583333347</v>
      </c>
      <c r="Q44" s="57"/>
      <c r="R44" s="56"/>
      <c r="S44" s="58"/>
      <c r="T44" s="63">
        <f>D81</f>
        <v>90</v>
      </c>
      <c r="U44" s="64">
        <f>Q78</f>
        <v>0.37782762250000007</v>
      </c>
    </row>
    <row r="45" spans="1:21" ht="14.45" customHeight="1" x14ac:dyDescent="0.25">
      <c r="A45" s="18">
        <v>91</v>
      </c>
      <c r="B45" s="30">
        <v>10</v>
      </c>
      <c r="D45" s="78">
        <f>A33</f>
        <v>79</v>
      </c>
      <c r="E45" s="12" t="s">
        <v>68</v>
      </c>
      <c r="F45" s="12">
        <f>B33</f>
        <v>10</v>
      </c>
      <c r="G45">
        <v>7.8799999999999995E-2</v>
      </c>
      <c r="H45">
        <v>4.24E-2</v>
      </c>
      <c r="I45" s="56"/>
      <c r="J45" s="57">
        <f t="shared" si="1"/>
        <v>4.1399999999999999E-2</v>
      </c>
      <c r="K45" s="58">
        <f t="shared" si="2"/>
        <v>5.8166666666666644E-3</v>
      </c>
      <c r="L45" s="56"/>
      <c r="M45" s="62">
        <f t="shared" si="3"/>
        <v>3.9945833333333333E-2</v>
      </c>
      <c r="N45" s="56">
        <f t="shared" si="4"/>
        <v>2.8197364291666664</v>
      </c>
      <c r="O45" s="58">
        <f t="shared" si="5"/>
        <v>5.6394728583333329</v>
      </c>
      <c r="P45" s="56">
        <f t="shared" si="6"/>
        <v>0.56394728583333331</v>
      </c>
      <c r="Q45" s="57">
        <f>AVERAGE(P45:P47)</f>
        <v>0.57265326250000004</v>
      </c>
      <c r="R45" s="56">
        <f>STDEV(P45:P47)</f>
        <v>3.4022750787367391E-2</v>
      </c>
      <c r="S45" s="58">
        <f>R45/Q45*100</f>
        <v>5.9412480492708957</v>
      </c>
      <c r="T45" s="63">
        <f>D84</f>
        <v>91</v>
      </c>
      <c r="U45" s="64">
        <f>Q81</f>
        <v>0.4025337725</v>
      </c>
    </row>
    <row r="46" spans="1:21" ht="14.45" customHeight="1" x14ac:dyDescent="0.25">
      <c r="A46" s="18">
        <v>92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8.1500000000000003E-2</v>
      </c>
      <c r="H46">
        <v>4.0099999999999997E-2</v>
      </c>
      <c r="I46" s="56"/>
      <c r="J46" s="57">
        <f t="shared" si="1"/>
        <v>4.4100000000000007E-2</v>
      </c>
      <c r="K46" s="58">
        <f t="shared" si="2"/>
        <v>3.516666666666661E-3</v>
      </c>
      <c r="L46" s="56"/>
      <c r="M46" s="62">
        <f t="shared" si="3"/>
        <v>4.322083333333334E-2</v>
      </c>
      <c r="N46" s="56">
        <f t="shared" si="4"/>
        <v>3.0509154041666671</v>
      </c>
      <c r="O46" s="58">
        <f t="shared" si="5"/>
        <v>6.1018308083333341</v>
      </c>
      <c r="P46" s="56">
        <f t="shared" si="6"/>
        <v>0.61018308083333339</v>
      </c>
      <c r="Q46" s="57"/>
      <c r="R46" s="56"/>
      <c r="S46" s="58"/>
      <c r="T46" s="63">
        <f>D87</f>
        <v>92</v>
      </c>
      <c r="U46" s="64">
        <f>Q84</f>
        <v>0.34523903416666668</v>
      </c>
    </row>
    <row r="47" spans="1:21" ht="14.45" customHeight="1" x14ac:dyDescent="0.25">
      <c r="A47" s="18">
        <v>93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7.6300000000000007E-2</v>
      </c>
      <c r="H47">
        <v>3.8100000000000002E-2</v>
      </c>
      <c r="I47" s="56"/>
      <c r="J47" s="57">
        <f t="shared" si="1"/>
        <v>3.8900000000000011E-2</v>
      </c>
      <c r="K47" s="58">
        <f t="shared" si="2"/>
        <v>1.5166666666666662E-3</v>
      </c>
      <c r="L47" s="56"/>
      <c r="M47" s="62">
        <f t="shared" si="3"/>
        <v>3.8520833333333344E-2</v>
      </c>
      <c r="N47" s="56">
        <f t="shared" si="4"/>
        <v>2.7191471041666673</v>
      </c>
      <c r="O47" s="58">
        <f t="shared" si="5"/>
        <v>5.4382942083333345</v>
      </c>
      <c r="P47" s="56">
        <f t="shared" si="6"/>
        <v>0.54382942083333341</v>
      </c>
      <c r="Q47" s="57"/>
      <c r="R47" s="56"/>
      <c r="S47" s="58"/>
      <c r="T47" s="63">
        <f>D90</f>
        <v>93</v>
      </c>
      <c r="U47" s="64">
        <f>Q87</f>
        <v>0.43265174583333338</v>
      </c>
    </row>
    <row r="48" spans="1:21" ht="14.45" customHeight="1" x14ac:dyDescent="0.25">
      <c r="A48" s="18">
        <v>94</v>
      </c>
      <c r="B48" s="30">
        <v>10</v>
      </c>
      <c r="D48" s="78">
        <f>A34</f>
        <v>80</v>
      </c>
      <c r="E48" s="12" t="s">
        <v>71</v>
      </c>
      <c r="F48" s="12">
        <f>B34</f>
        <v>10</v>
      </c>
      <c r="G48">
        <v>6.7100000000000007E-2</v>
      </c>
      <c r="H48">
        <v>5.74E-2</v>
      </c>
      <c r="I48" s="56"/>
      <c r="J48" s="57">
        <f t="shared" si="1"/>
        <v>2.9700000000000011E-2</v>
      </c>
      <c r="K48" s="58">
        <f t="shared" si="2"/>
        <v>2.0816666666666664E-2</v>
      </c>
      <c r="L48" s="56"/>
      <c r="M48" s="62">
        <f t="shared" si="3"/>
        <v>2.4495833333333345E-2</v>
      </c>
      <c r="N48" s="56">
        <f t="shared" si="4"/>
        <v>1.7291363791666674</v>
      </c>
      <c r="O48" s="58">
        <f t="shared" si="5"/>
        <v>3.4582727583333348</v>
      </c>
      <c r="P48" s="56">
        <f t="shared" si="6"/>
        <v>0.3458272758333335</v>
      </c>
      <c r="Q48" s="57">
        <f>AVERAGE(P48:P50)</f>
        <v>0.39853372916666668</v>
      </c>
      <c r="R48" s="56">
        <f>STDEV(P48:P50)</f>
        <v>4.6135100516809871E-2</v>
      </c>
      <c r="S48" s="58">
        <f>R48/Q48*100</f>
        <v>11.576209776090542</v>
      </c>
      <c r="T48" s="63">
        <f>D96</f>
        <v>94</v>
      </c>
      <c r="U48" s="64">
        <f>Q90</f>
        <v>0.30147385416666672</v>
      </c>
    </row>
    <row r="49" spans="1:22" ht="14.45" customHeight="1" x14ac:dyDescent="0.25">
      <c r="A49" s="18">
        <v>95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6.7699999999999996E-2</v>
      </c>
      <c r="H49">
        <v>3.9300000000000002E-2</v>
      </c>
      <c r="I49" s="56"/>
      <c r="J49" s="57">
        <f t="shared" si="1"/>
        <v>3.0300000000000001E-2</v>
      </c>
      <c r="K49" s="58">
        <f t="shared" si="2"/>
        <v>2.7166666666666658E-3</v>
      </c>
      <c r="L49" s="56"/>
      <c r="M49" s="62">
        <f t="shared" si="3"/>
        <v>2.9620833333333332E-2</v>
      </c>
      <c r="N49" s="56">
        <f t="shared" si="4"/>
        <v>2.0909050041666664</v>
      </c>
      <c r="O49" s="58">
        <f t="shared" si="5"/>
        <v>4.1818100083333327</v>
      </c>
      <c r="P49" s="56">
        <f t="shared" si="6"/>
        <v>0.41818100083333326</v>
      </c>
      <c r="Q49" s="57"/>
      <c r="R49" s="56"/>
      <c r="S49" s="58"/>
      <c r="T49" s="63">
        <f>D99</f>
        <v>95</v>
      </c>
      <c r="U49" s="64">
        <f>Q93</f>
        <v>2.0056099624999999</v>
      </c>
    </row>
    <row r="50" spans="1:22" ht="14.45" customHeight="1" x14ac:dyDescent="0.25">
      <c r="A50" s="18">
        <v>96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6.83E-2</v>
      </c>
      <c r="H50">
        <v>3.7900000000000003E-2</v>
      </c>
      <c r="I50" s="56"/>
      <c r="J50" s="57">
        <f t="shared" si="1"/>
        <v>3.0900000000000004E-2</v>
      </c>
      <c r="K50" s="58">
        <f t="shared" si="2"/>
        <v>1.3166666666666674E-3</v>
      </c>
      <c r="L50" s="56"/>
      <c r="M50" s="62">
        <f t="shared" si="3"/>
        <v>3.0570833333333339E-2</v>
      </c>
      <c r="N50" s="56">
        <f t="shared" si="4"/>
        <v>2.157964554166667</v>
      </c>
      <c r="O50" s="58">
        <f t="shared" si="5"/>
        <v>4.315929108333334</v>
      </c>
      <c r="P50" s="56">
        <f t="shared" si="6"/>
        <v>0.4315929108333334</v>
      </c>
      <c r="Q50" s="57"/>
      <c r="R50" s="56"/>
      <c r="S50" s="58"/>
      <c r="T50" s="67">
        <f>D102</f>
        <v>96</v>
      </c>
      <c r="U50" s="68">
        <f>Q96</f>
        <v>0.30041501916666674</v>
      </c>
    </row>
    <row r="51" spans="1:22" ht="14.45" customHeight="1" x14ac:dyDescent="0.25">
      <c r="D51" s="78">
        <f>A35</f>
        <v>81</v>
      </c>
      <c r="E51" s="12" t="s">
        <v>74</v>
      </c>
      <c r="F51" s="12">
        <f>B35</f>
        <v>10</v>
      </c>
      <c r="G51">
        <v>0.2165</v>
      </c>
      <c r="H51">
        <v>8.2299999999999998E-2</v>
      </c>
      <c r="I51" s="56"/>
      <c r="J51" s="57">
        <f t="shared" si="1"/>
        <v>0.17910000000000001</v>
      </c>
      <c r="K51" s="58">
        <f t="shared" si="2"/>
        <v>4.5716666666666662E-2</v>
      </c>
      <c r="L51" s="56"/>
      <c r="M51" s="62">
        <f t="shared" si="3"/>
        <v>0.16767083333333335</v>
      </c>
      <c r="N51" s="56">
        <f t="shared" si="4"/>
        <v>11.835716454166668</v>
      </c>
      <c r="O51" s="58">
        <f t="shared" si="5"/>
        <v>23.671432908333337</v>
      </c>
      <c r="P51" s="56">
        <f t="shared" si="6"/>
        <v>2.3671432908333339</v>
      </c>
      <c r="Q51" s="57">
        <f>AVERAGE(P51:P53)</f>
        <v>1.1476006675000001</v>
      </c>
      <c r="R51" s="56">
        <f>STDEV(P51:P53)</f>
        <v>1.0561554235654045</v>
      </c>
      <c r="S51" s="58">
        <f>R51/Q51*100</f>
        <v>92.031614609130088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7.6399999999999996E-2</v>
      </c>
      <c r="H52">
        <v>4.0500000000000001E-2</v>
      </c>
      <c r="I52" s="56"/>
      <c r="J52" s="57">
        <f t="shared" si="1"/>
        <v>3.9E-2</v>
      </c>
      <c r="K52" s="58">
        <f t="shared" si="2"/>
        <v>3.9166666666666655E-3</v>
      </c>
      <c r="L52" s="56"/>
      <c r="M52" s="62">
        <f t="shared" si="3"/>
        <v>3.8020833333333337E-2</v>
      </c>
      <c r="N52" s="56">
        <f t="shared" si="4"/>
        <v>2.6838526041666668</v>
      </c>
      <c r="O52" s="58">
        <f t="shared" si="5"/>
        <v>5.3677052083333336</v>
      </c>
      <c r="P52" s="56">
        <f t="shared" si="6"/>
        <v>0.53677052083333332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7.6499999999999999E-2</v>
      </c>
      <c r="H53">
        <v>4.0300000000000002E-2</v>
      </c>
      <c r="I53" s="56"/>
      <c r="J53" s="57">
        <f t="shared" si="1"/>
        <v>3.9100000000000003E-2</v>
      </c>
      <c r="K53" s="58">
        <f t="shared" si="2"/>
        <v>3.7166666666666667E-3</v>
      </c>
      <c r="L53" s="56"/>
      <c r="M53" s="62">
        <f t="shared" si="3"/>
        <v>3.8170833333333334E-2</v>
      </c>
      <c r="N53" s="56">
        <f t="shared" si="4"/>
        <v>2.6944409541666667</v>
      </c>
      <c r="O53" s="58">
        <f t="shared" si="5"/>
        <v>5.3888819083333335</v>
      </c>
      <c r="P53" s="56">
        <f t="shared" si="6"/>
        <v>0.53888819083333339</v>
      </c>
      <c r="Q53" s="57"/>
      <c r="R53" s="56"/>
      <c r="S53" s="58"/>
      <c r="T53" s="56"/>
    </row>
    <row r="54" spans="1:22" ht="14.45" customHeight="1" x14ac:dyDescent="0.25">
      <c r="D54" s="78">
        <f>A36</f>
        <v>82</v>
      </c>
      <c r="E54" s="12" t="s">
        <v>77</v>
      </c>
      <c r="F54" s="12">
        <f>B36</f>
        <v>10</v>
      </c>
      <c r="G54">
        <v>7.8799999999999995E-2</v>
      </c>
      <c r="H54">
        <v>3.9699999999999999E-2</v>
      </c>
      <c r="I54" s="56"/>
      <c r="J54" s="57">
        <f t="shared" si="1"/>
        <v>4.1399999999999999E-2</v>
      </c>
      <c r="K54" s="58">
        <f t="shared" si="2"/>
        <v>3.1166666666666634E-3</v>
      </c>
      <c r="L54" s="56"/>
      <c r="M54" s="62">
        <f t="shared" si="3"/>
        <v>4.0620833333333335E-2</v>
      </c>
      <c r="N54" s="56">
        <f t="shared" si="4"/>
        <v>2.8673840041666669</v>
      </c>
      <c r="O54" s="58">
        <f t="shared" si="5"/>
        <v>5.7347680083333339</v>
      </c>
      <c r="P54" s="56">
        <f t="shared" si="6"/>
        <v>0.57347680083333341</v>
      </c>
      <c r="Q54" s="57">
        <f>AVERAGE(P54:P56)</f>
        <v>0.59994767583333342</v>
      </c>
      <c r="R54" s="56">
        <f>STDEV(P54:P56)</f>
        <v>2.5178117692238763E-2</v>
      </c>
      <c r="S54" s="58">
        <f>R54/Q54*100</f>
        <v>4.1967189317411888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8.2400000000000001E-2</v>
      </c>
      <c r="H55">
        <v>3.9899999999999998E-2</v>
      </c>
      <c r="I55" s="56"/>
      <c r="J55" s="57">
        <f t="shared" si="1"/>
        <v>4.5000000000000005E-2</v>
      </c>
      <c r="K55" s="58">
        <f t="shared" si="2"/>
        <v>3.3166666666666622E-3</v>
      </c>
      <c r="L55" s="56"/>
      <c r="M55" s="62">
        <f t="shared" si="3"/>
        <v>4.417083333333334E-2</v>
      </c>
      <c r="N55" s="56">
        <f t="shared" si="4"/>
        <v>3.1179749541666673</v>
      </c>
      <c r="O55" s="58">
        <f t="shared" si="5"/>
        <v>6.2359499083333345</v>
      </c>
      <c r="P55" s="56">
        <f t="shared" si="6"/>
        <v>0.62359499083333347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8.0600000000000005E-2</v>
      </c>
      <c r="H56">
        <v>3.8600000000000002E-2</v>
      </c>
      <c r="I56" s="56"/>
      <c r="J56" s="57">
        <f t="shared" si="1"/>
        <v>4.3200000000000009E-2</v>
      </c>
      <c r="K56" s="58">
        <f t="shared" si="2"/>
        <v>2.0166666666666666E-3</v>
      </c>
      <c r="L56" s="56"/>
      <c r="M56" s="62">
        <f t="shared" si="3"/>
        <v>4.2695833333333343E-2</v>
      </c>
      <c r="N56" s="56">
        <f t="shared" si="4"/>
        <v>3.0138561791666674</v>
      </c>
      <c r="O56" s="58">
        <f t="shared" si="5"/>
        <v>6.0277123583333347</v>
      </c>
      <c r="P56" s="56">
        <f t="shared" si="6"/>
        <v>0.60277123583333347</v>
      </c>
      <c r="Q56" s="57"/>
      <c r="R56" s="56"/>
      <c r="S56" s="58"/>
      <c r="T56" s="56"/>
    </row>
    <row r="57" spans="1:22" ht="14.45" customHeight="1" x14ac:dyDescent="0.25">
      <c r="D57" s="78">
        <f>A37</f>
        <v>83</v>
      </c>
      <c r="E57" s="12" t="s">
        <v>80</v>
      </c>
      <c r="F57" s="12">
        <f>B37</f>
        <v>10</v>
      </c>
      <c r="G57">
        <v>5.62E-2</v>
      </c>
      <c r="H57">
        <v>3.5900000000000001E-2</v>
      </c>
      <c r="I57" s="56"/>
      <c r="J57" s="57">
        <f t="shared" si="1"/>
        <v>1.8800000000000004E-2</v>
      </c>
      <c r="K57" s="58">
        <f t="shared" si="2"/>
        <v>-6.833333333333344E-4</v>
      </c>
      <c r="L57" s="56"/>
      <c r="M57" s="62">
        <f t="shared" si="3"/>
        <v>1.897083333333334E-2</v>
      </c>
      <c r="N57" s="56">
        <f t="shared" si="4"/>
        <v>1.339132154166667</v>
      </c>
      <c r="O57" s="58">
        <f t="shared" si="5"/>
        <v>2.678264308333334</v>
      </c>
      <c r="P57" s="56">
        <f t="shared" si="6"/>
        <v>0.26782643083333341</v>
      </c>
      <c r="Q57" s="57">
        <f>AVERAGE(P57:P59)</f>
        <v>0.30088561250000007</v>
      </c>
      <c r="R57" s="56">
        <f>STDEV(P57:P59)</f>
        <v>3.3357192760337426E-2</v>
      </c>
      <c r="S57" s="58">
        <f>R57/Q57*100</f>
        <v>11.086336924912759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6.1199999999999997E-2</v>
      </c>
      <c r="H58">
        <v>3.6999999999999998E-2</v>
      </c>
      <c r="I58" s="56"/>
      <c r="J58" s="57">
        <f t="shared" si="1"/>
        <v>2.3800000000000002E-2</v>
      </c>
      <c r="K58" s="58">
        <f t="shared" si="2"/>
        <v>4.1666666666666241E-4</v>
      </c>
      <c r="L58" s="56"/>
      <c r="M58" s="62">
        <f t="shared" si="3"/>
        <v>2.3695833333333336E-2</v>
      </c>
      <c r="N58" s="56">
        <f t="shared" si="4"/>
        <v>1.6726651791666669</v>
      </c>
      <c r="O58" s="58">
        <f t="shared" si="5"/>
        <v>3.3453303583333338</v>
      </c>
      <c r="P58" s="56">
        <f t="shared" si="6"/>
        <v>0.33453303583333338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5.8999999999999997E-2</v>
      </c>
      <c r="H59">
        <v>3.7900000000000003E-2</v>
      </c>
      <c r="I59" s="56"/>
      <c r="J59" s="57">
        <f t="shared" si="1"/>
        <v>2.1600000000000001E-2</v>
      </c>
      <c r="K59" s="58">
        <f t="shared" si="2"/>
        <v>1.3166666666666674E-3</v>
      </c>
      <c r="L59" s="56"/>
      <c r="M59" s="62">
        <f t="shared" si="3"/>
        <v>2.1270833333333336E-2</v>
      </c>
      <c r="N59" s="56">
        <f t="shared" si="4"/>
        <v>1.5014868541666668</v>
      </c>
      <c r="O59" s="58">
        <f t="shared" si="5"/>
        <v>3.0029737083333337</v>
      </c>
      <c r="P59" s="56">
        <f t="shared" si="6"/>
        <v>0.30029737083333335</v>
      </c>
      <c r="Q59" s="57"/>
      <c r="R59" s="56"/>
      <c r="S59" s="58"/>
      <c r="T59" s="56"/>
    </row>
    <row r="60" spans="1:22" ht="14.45" customHeight="1" x14ac:dyDescent="0.25">
      <c r="D60" s="78">
        <f>A38</f>
        <v>84</v>
      </c>
      <c r="E60" s="12" t="s">
        <v>83</v>
      </c>
      <c r="F60" s="12">
        <f>B38</f>
        <v>10</v>
      </c>
      <c r="G60">
        <v>8.3400000000000002E-2</v>
      </c>
      <c r="H60">
        <v>5.3499999999999999E-2</v>
      </c>
      <c r="I60" s="56"/>
      <c r="J60" s="57">
        <f t="shared" si="1"/>
        <v>4.6000000000000006E-2</v>
      </c>
      <c r="K60" s="58">
        <f t="shared" si="2"/>
        <v>1.6916666666666663E-2</v>
      </c>
      <c r="L60" s="56"/>
      <c r="M60" s="62">
        <f t="shared" si="3"/>
        <v>4.177083333333334E-2</v>
      </c>
      <c r="N60" s="56">
        <f t="shared" si="4"/>
        <v>2.9485613541666673</v>
      </c>
      <c r="O60" s="58">
        <f t="shared" si="5"/>
        <v>5.8971227083333346</v>
      </c>
      <c r="P60" s="56">
        <f t="shared" si="6"/>
        <v>0.58971227083333344</v>
      </c>
      <c r="Q60" s="57">
        <f>AVERAGE(P60:P62)</f>
        <v>0.4533578525000001</v>
      </c>
      <c r="R60" s="56">
        <f>STDEV(P60:P62)</f>
        <v>0.11848460550897041</v>
      </c>
      <c r="S60" s="58">
        <f>R60/Q60*100</f>
        <v>26.134896496354475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6.6000000000000003E-2</v>
      </c>
      <c r="H61">
        <v>3.9100000000000003E-2</v>
      </c>
      <c r="I61" s="56"/>
      <c r="J61" s="57">
        <f t="shared" si="1"/>
        <v>2.8600000000000007E-2</v>
      </c>
      <c r="K61" s="58">
        <f t="shared" si="2"/>
        <v>2.5166666666666671E-3</v>
      </c>
      <c r="L61" s="56"/>
      <c r="M61" s="62">
        <f t="shared" si="3"/>
        <v>2.7970833333333341E-2</v>
      </c>
      <c r="N61" s="56">
        <f t="shared" si="4"/>
        <v>1.9744331541666671</v>
      </c>
      <c r="O61" s="58">
        <f t="shared" si="5"/>
        <v>3.9488663083333342</v>
      </c>
      <c r="P61" s="56">
        <f t="shared" si="6"/>
        <v>0.39488663083333342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6.4500000000000002E-2</v>
      </c>
      <c r="H62">
        <v>3.8600000000000002E-2</v>
      </c>
      <c r="I62" s="56"/>
      <c r="J62" s="57">
        <f t="shared" si="1"/>
        <v>2.7100000000000006E-2</v>
      </c>
      <c r="K62" s="58">
        <f t="shared" si="2"/>
        <v>2.0166666666666666E-3</v>
      </c>
      <c r="L62" s="56"/>
      <c r="M62" s="62">
        <f t="shared" si="3"/>
        <v>2.6595833333333339E-2</v>
      </c>
      <c r="N62" s="56">
        <f t="shared" si="4"/>
        <v>1.8773732791666671</v>
      </c>
      <c r="O62" s="58">
        <f t="shared" si="5"/>
        <v>3.7547465583333341</v>
      </c>
      <c r="P62" s="56">
        <f t="shared" si="6"/>
        <v>0.37547465583333339</v>
      </c>
      <c r="Q62" s="57"/>
      <c r="R62" s="56"/>
      <c r="S62" s="58"/>
      <c r="T62" s="56"/>
    </row>
    <row r="63" spans="1:22" ht="14.45" customHeight="1" x14ac:dyDescent="0.25">
      <c r="D63" s="78">
        <f>A39</f>
        <v>85</v>
      </c>
      <c r="E63" s="12" t="s">
        <v>86</v>
      </c>
      <c r="F63" s="12">
        <f>B39</f>
        <v>10</v>
      </c>
      <c r="G63">
        <v>0.26569999999999999</v>
      </c>
      <c r="H63">
        <v>0.22</v>
      </c>
      <c r="I63" s="56"/>
      <c r="J63" s="57">
        <f t="shared" si="1"/>
        <v>0.2283</v>
      </c>
      <c r="K63" s="58">
        <f t="shared" si="2"/>
        <v>0.18341666666666667</v>
      </c>
      <c r="L63" s="56"/>
      <c r="M63" s="62">
        <f t="shared" si="3"/>
        <v>0.18244583333333333</v>
      </c>
      <c r="N63" s="56">
        <f t="shared" si="4"/>
        <v>12.878668929166667</v>
      </c>
      <c r="O63" s="58">
        <f t="shared" si="5"/>
        <v>25.757337858333333</v>
      </c>
      <c r="P63" s="56">
        <f t="shared" si="6"/>
        <v>2.5757337858333331</v>
      </c>
      <c r="Q63" s="57">
        <f>AVERAGE(P63:P65)</f>
        <v>1.2525429808333335</v>
      </c>
      <c r="R63" s="56">
        <f>STDEV(P63:P65)</f>
        <v>1.14803503654678</v>
      </c>
      <c r="S63" s="58">
        <f>R63/Q63*100</f>
        <v>91.656338673741715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8.6900000000000005E-2</v>
      </c>
      <c r="H64">
        <v>4.7399999999999998E-2</v>
      </c>
      <c r="I64" s="56"/>
      <c r="J64" s="57">
        <f t="shared" si="1"/>
        <v>4.9500000000000009E-2</v>
      </c>
      <c r="K64" s="58">
        <f t="shared" si="2"/>
        <v>1.0816666666666662E-2</v>
      </c>
      <c r="L64" s="56"/>
      <c r="M64" s="62">
        <f t="shared" si="3"/>
        <v>4.6795833333333342E-2</v>
      </c>
      <c r="N64" s="56">
        <f t="shared" si="4"/>
        <v>3.3032710791666671</v>
      </c>
      <c r="O64" s="58">
        <f t="shared" si="5"/>
        <v>6.6065421583333341</v>
      </c>
      <c r="P64" s="56">
        <f t="shared" si="6"/>
        <v>0.66065421583333339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7.5200000000000003E-2</v>
      </c>
      <c r="H65">
        <v>4.0099999999999997E-2</v>
      </c>
      <c r="I65" s="56"/>
      <c r="J65" s="57">
        <f t="shared" si="1"/>
        <v>3.7800000000000007E-2</v>
      </c>
      <c r="K65" s="58">
        <f t="shared" si="2"/>
        <v>3.516666666666661E-3</v>
      </c>
      <c r="L65" s="56"/>
      <c r="M65" s="62">
        <f t="shared" si="3"/>
        <v>3.692083333333334E-2</v>
      </c>
      <c r="N65" s="56">
        <f t="shared" si="4"/>
        <v>2.6062047041666672</v>
      </c>
      <c r="O65" s="58">
        <f t="shared" si="5"/>
        <v>5.2124094083333343</v>
      </c>
      <c r="P65" s="56">
        <f t="shared" si="6"/>
        <v>0.52124094083333339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0.30259999999999998</v>
      </c>
      <c r="H66">
        <v>3.6299999999999999E-2</v>
      </c>
      <c r="I66" s="56"/>
      <c r="J66" s="57">
        <f>G69-$J$14</f>
        <v>4.420000000000001E-2</v>
      </c>
      <c r="K66" s="58">
        <f>H69-$K$14</f>
        <v>4.9166666666666664E-3</v>
      </c>
      <c r="L66" s="56"/>
      <c r="M66" s="62">
        <f t="shared" si="3"/>
        <v>4.2970833333333347E-2</v>
      </c>
      <c r="N66" s="56">
        <f t="shared" si="4"/>
        <v>3.0332681541666675</v>
      </c>
      <c r="O66" s="58">
        <f t="shared" si="5"/>
        <v>6.066536308333335</v>
      </c>
      <c r="P66" s="56">
        <f>O66/F69</f>
        <v>0.60665363083333346</v>
      </c>
      <c r="Q66" s="57">
        <f>AVERAGE(P66:P68)</f>
        <v>0.61335958583333339</v>
      </c>
      <c r="R66" s="56">
        <f>STDEV(P66:P68)</f>
        <v>7.0853214273648027E-3</v>
      </c>
      <c r="S66" s="58">
        <f>R66/Q66*100</f>
        <v>1.1551660055558468</v>
      </c>
      <c r="T66" s="56"/>
    </row>
    <row r="67" spans="4:20" ht="14.45" customHeight="1" x14ac:dyDescent="0.25">
      <c r="D67" s="71"/>
      <c r="E67" s="17" t="s">
        <v>126</v>
      </c>
      <c r="F67" s="17"/>
      <c r="G67">
        <v>1.0731999999999999</v>
      </c>
      <c r="H67">
        <v>3.5900000000000001E-2</v>
      </c>
      <c r="I67" s="56"/>
      <c r="J67" s="57">
        <f>G70-$J$14</f>
        <v>4.5100000000000008E-2</v>
      </c>
      <c r="K67" s="58">
        <f>H70-$K$14</f>
        <v>4.5166666666666619E-3</v>
      </c>
      <c r="L67" s="56"/>
      <c r="M67" s="62">
        <f t="shared" si="3"/>
        <v>4.3970833333333341E-2</v>
      </c>
      <c r="N67" s="56">
        <f t="shared" si="4"/>
        <v>3.1038571541666671</v>
      </c>
      <c r="O67" s="58">
        <f t="shared" si="5"/>
        <v>6.2077143083333342</v>
      </c>
      <c r="P67" s="56">
        <f>O67/F70</f>
        <v>0.62077143083333342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2.0139</v>
      </c>
      <c r="H68">
        <v>3.56E-2</v>
      </c>
      <c r="I68" s="56"/>
      <c r="J68" s="57">
        <f>G71-$J$14</f>
        <v>4.4400000000000002E-2</v>
      </c>
      <c r="K68" s="58">
        <f>H71-$K$14</f>
        <v>4.0166666666666614E-3</v>
      </c>
      <c r="L68" s="56"/>
      <c r="M68" s="62">
        <f t="shared" si="3"/>
        <v>4.3395833333333335E-2</v>
      </c>
      <c r="N68" s="56">
        <f t="shared" si="4"/>
        <v>3.0632684791666667</v>
      </c>
      <c r="O68" s="58">
        <f t="shared" si="5"/>
        <v>6.1265369583333333</v>
      </c>
      <c r="P68" s="56">
        <f>O68/F71</f>
        <v>0.61265369583333329</v>
      </c>
      <c r="Q68" s="57"/>
      <c r="R68" s="56"/>
      <c r="S68" s="58"/>
      <c r="T68" s="56"/>
    </row>
    <row r="69" spans="4:20" ht="14.45" customHeight="1" x14ac:dyDescent="0.25">
      <c r="D69" s="78">
        <f>A40</f>
        <v>86</v>
      </c>
      <c r="E69" s="12" t="s">
        <v>89</v>
      </c>
      <c r="F69" s="12">
        <f>B40</f>
        <v>10</v>
      </c>
      <c r="G69">
        <v>8.1600000000000006E-2</v>
      </c>
      <c r="H69">
        <v>4.1500000000000002E-2</v>
      </c>
      <c r="I69" s="56"/>
      <c r="J69" s="57">
        <f>G72-$J$14</f>
        <v>3.1199999999999999E-2</v>
      </c>
      <c r="K69" s="58">
        <f>H72-$K$14</f>
        <v>7.6166666666666674E-3</v>
      </c>
      <c r="L69" s="56"/>
      <c r="M69" s="62">
        <f t="shared" si="3"/>
        <v>2.9295833333333333E-2</v>
      </c>
      <c r="N69" s="56">
        <f t="shared" si="4"/>
        <v>2.0679635791666668</v>
      </c>
      <c r="O69" s="58">
        <f t="shared" si="5"/>
        <v>4.1359271583333337</v>
      </c>
      <c r="P69" s="56">
        <f>O69/F72</f>
        <v>0.41359271583333335</v>
      </c>
      <c r="Q69" s="57">
        <f>AVERAGE(P69:P71)</f>
        <v>0.44135772249999999</v>
      </c>
      <c r="R69" s="56">
        <f>STDEV(P69:P71)</f>
        <v>2.469942632318476E-2</v>
      </c>
      <c r="S69" s="58">
        <f>R69/Q69*100</f>
        <v>5.5962374881034869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8.2500000000000004E-2</v>
      </c>
      <c r="H70">
        <v>4.1099999999999998E-2</v>
      </c>
      <c r="I70" s="56"/>
      <c r="J70" s="57">
        <f>G73-$J$14</f>
        <v>3.3700000000000001E-2</v>
      </c>
      <c r="K70" s="58">
        <f>H73-$K$14</f>
        <v>4.2166666666666672E-3</v>
      </c>
      <c r="L70" s="56"/>
      <c r="M70" s="62">
        <f t="shared" si="3"/>
        <v>3.2645833333333332E-2</v>
      </c>
      <c r="N70" s="56">
        <f t="shared" si="4"/>
        <v>2.3044367291666665</v>
      </c>
      <c r="O70" s="58">
        <f t="shared" si="5"/>
        <v>4.6088734583333331</v>
      </c>
      <c r="P70" s="56">
        <f>O70/F73</f>
        <v>0.4608873458333333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8.1799999999999998E-2</v>
      </c>
      <c r="H71">
        <v>4.0599999999999997E-2</v>
      </c>
      <c r="I71" s="56"/>
      <c r="J71" s="57">
        <f>G74-$J$14</f>
        <v>3.2800000000000003E-2</v>
      </c>
      <c r="K71" s="58">
        <f>H74-$K$14</f>
        <v>3.8166666666666627E-3</v>
      </c>
      <c r="L71" s="56"/>
      <c r="M71" s="62">
        <f t="shared" si="3"/>
        <v>3.1845833333333337E-2</v>
      </c>
      <c r="N71" s="56">
        <f t="shared" si="4"/>
        <v>2.2479655291666667</v>
      </c>
      <c r="O71" s="58">
        <f t="shared" si="5"/>
        <v>4.4959310583333334</v>
      </c>
      <c r="P71" s="56">
        <f>O71/F74</f>
        <v>0.44959310583333334</v>
      </c>
      <c r="Q71" s="57"/>
      <c r="R71" s="56"/>
      <c r="S71" s="58"/>
      <c r="T71" s="56"/>
    </row>
    <row r="72" spans="4:20" ht="14.45" customHeight="1" x14ac:dyDescent="0.25">
      <c r="D72" s="78">
        <f>A41</f>
        <v>87</v>
      </c>
      <c r="E72" s="12" t="s">
        <v>92</v>
      </c>
      <c r="F72" s="12">
        <f>B41</f>
        <v>10</v>
      </c>
      <c r="G72">
        <v>6.8599999999999994E-2</v>
      </c>
      <c r="H72">
        <v>4.4200000000000003E-2</v>
      </c>
      <c r="I72" s="56"/>
      <c r="J72" s="57">
        <f>G75-$J$14</f>
        <v>1.5300000000000001E-2</v>
      </c>
      <c r="K72" s="58">
        <f>H75-$K$14</f>
        <v>1.3166666666666674E-3</v>
      </c>
      <c r="L72" s="56"/>
      <c r="M72" s="62">
        <f t="shared" si="3"/>
        <v>1.4970833333333334E-2</v>
      </c>
      <c r="N72" s="56">
        <f t="shared" si="4"/>
        <v>1.0567761541666667</v>
      </c>
      <c r="O72" s="58">
        <f t="shared" si="5"/>
        <v>2.1135523083333334</v>
      </c>
      <c r="P72" s="56">
        <f>O72/F75</f>
        <v>0.21135523083333335</v>
      </c>
      <c r="Q72" s="57">
        <f>AVERAGE(P72:P74)</f>
        <v>0.21700235083333339</v>
      </c>
      <c r="R72" s="56">
        <f>STDEV(P72:P74)</f>
        <v>9.4770826075868571E-3</v>
      </c>
      <c r="S72" s="58">
        <f>R72/Q72*100</f>
        <v>4.3672718618913215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7.1099999999999997E-2</v>
      </c>
      <c r="H73">
        <v>4.0800000000000003E-2</v>
      </c>
      <c r="I73" s="56"/>
      <c r="J73" s="57">
        <f>G76-$J$14</f>
        <v>1.5000000000000006E-2</v>
      </c>
      <c r="K73" s="58">
        <f>H76-$K$14</f>
        <v>1.6666666666664831E-5</v>
      </c>
      <c r="L73" s="56"/>
      <c r="M73" s="62">
        <f t="shared" si="3"/>
        <v>1.499583333333334E-2</v>
      </c>
      <c r="N73" s="56">
        <f t="shared" si="4"/>
        <v>1.0585408791666671</v>
      </c>
      <c r="O73" s="58">
        <f t="shared" si="5"/>
        <v>2.1170817583333341</v>
      </c>
      <c r="P73" s="56">
        <f>O73/F76</f>
        <v>0.2117081758333334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7.0199999999999999E-2</v>
      </c>
      <c r="H74">
        <v>4.0399999999999998E-2</v>
      </c>
      <c r="I74" s="56"/>
      <c r="J74" s="57">
        <f>G77-$J$14</f>
        <v>1.6100000000000003E-2</v>
      </c>
      <c r="K74" s="58">
        <f>H77-$K$14</f>
        <v>-1.8333333333333396E-4</v>
      </c>
      <c r="L74" s="56"/>
      <c r="M74" s="62">
        <f t="shared" si="3"/>
        <v>1.6145833333333338E-2</v>
      </c>
      <c r="N74" s="56">
        <f t="shared" si="4"/>
        <v>1.139718229166667</v>
      </c>
      <c r="O74" s="58">
        <f t="shared" si="5"/>
        <v>2.279436458333334</v>
      </c>
      <c r="P74" s="56">
        <f>O74/F77</f>
        <v>0.2279436458333334</v>
      </c>
      <c r="Q74" s="57"/>
      <c r="R74" s="56"/>
      <c r="S74" s="58"/>
      <c r="T74" s="56"/>
    </row>
    <row r="75" spans="4:20" ht="14.45" customHeight="1" x14ac:dyDescent="0.25">
      <c r="D75" s="78">
        <f>A42</f>
        <v>88</v>
      </c>
      <c r="E75" s="12" t="s">
        <v>95</v>
      </c>
      <c r="F75" s="12">
        <f>B42</f>
        <v>10</v>
      </c>
      <c r="G75">
        <v>5.2699999999999997E-2</v>
      </c>
      <c r="H75">
        <v>3.7900000000000003E-2</v>
      </c>
      <c r="I75" s="56"/>
      <c r="J75" s="57">
        <f>G78-$J$14</f>
        <v>1.8900000000000007E-2</v>
      </c>
      <c r="K75" s="58">
        <f>H78-$K$14</f>
        <v>3.4166666666666651E-3</v>
      </c>
      <c r="L75" s="56"/>
      <c r="M75" s="62">
        <f t="shared" si="3"/>
        <v>1.8045833333333341E-2</v>
      </c>
      <c r="N75" s="56">
        <f t="shared" si="4"/>
        <v>1.2738373291666671</v>
      </c>
      <c r="O75" s="58">
        <f t="shared" si="5"/>
        <v>2.5476746583333343</v>
      </c>
      <c r="P75" s="56">
        <f>O75/F78</f>
        <v>0.25476746583333343</v>
      </c>
      <c r="Q75" s="57">
        <f>AVERAGE(P75:P77)</f>
        <v>0.25229685083333342</v>
      </c>
      <c r="R75" s="56">
        <f>STDEV(P75:P77)</f>
        <v>1.3058964999999985E-2</v>
      </c>
      <c r="S75" s="58">
        <f>R75/Q75*100</f>
        <v>5.176031709023075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5.2400000000000002E-2</v>
      </c>
      <c r="H76">
        <v>3.6600000000000001E-2</v>
      </c>
      <c r="I76" s="56"/>
      <c r="J76" s="57">
        <f>G79-$J$14</f>
        <v>1.7100000000000004E-2</v>
      </c>
      <c r="K76" s="58">
        <f>H79-$K$14</f>
        <v>9.1666666666666285E-4</v>
      </c>
      <c r="L76" s="56"/>
      <c r="M76" s="62">
        <f t="shared" si="3"/>
        <v>1.6870833333333338E-2</v>
      </c>
      <c r="N76" s="56">
        <f t="shared" si="4"/>
        <v>1.1908952541666671</v>
      </c>
      <c r="O76" s="58">
        <f t="shared" si="5"/>
        <v>2.3817905083333342</v>
      </c>
      <c r="P76" s="56">
        <f>O76/F79</f>
        <v>0.23817905083333341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5.3499999999999999E-2</v>
      </c>
      <c r="H77">
        <v>3.6400000000000002E-2</v>
      </c>
      <c r="I77" s="56"/>
      <c r="J77" s="57">
        <f>G80-$J$14</f>
        <v>1.9200000000000002E-2</v>
      </c>
      <c r="K77" s="58">
        <f>H80-$K$14</f>
        <v>2.0166666666666666E-3</v>
      </c>
      <c r="L77" s="56"/>
      <c r="M77" s="62">
        <f t="shared" si="3"/>
        <v>1.8695833333333335E-2</v>
      </c>
      <c r="N77" s="56">
        <f t="shared" si="4"/>
        <v>1.3197201791666668</v>
      </c>
      <c r="O77" s="58">
        <f t="shared" si="5"/>
        <v>2.6394403583333337</v>
      </c>
      <c r="P77" s="56">
        <f>O77/F80</f>
        <v>0.26394403583333337</v>
      </c>
      <c r="Q77" s="57"/>
      <c r="R77" s="56"/>
      <c r="S77" s="58"/>
      <c r="T77" s="56"/>
    </row>
    <row r="78" spans="4:20" ht="14.45" customHeight="1" x14ac:dyDescent="0.25">
      <c r="D78" s="78">
        <f>A43</f>
        <v>89</v>
      </c>
      <c r="E78" s="12" t="s">
        <v>98</v>
      </c>
      <c r="F78" s="12">
        <f>B43</f>
        <v>10</v>
      </c>
      <c r="G78">
        <v>5.6300000000000003E-2</v>
      </c>
      <c r="H78">
        <v>0.04</v>
      </c>
      <c r="I78" s="56"/>
      <c r="J78" s="57">
        <f>G81-$J$14</f>
        <v>2.6600000000000006E-2</v>
      </c>
      <c r="K78" s="58">
        <f>H81-$K$14</f>
        <v>4.3166666666666631E-3</v>
      </c>
      <c r="L78" s="56"/>
      <c r="M78" s="62">
        <f t="shared" si="3"/>
        <v>2.552083333333334E-2</v>
      </c>
      <c r="N78" s="56">
        <f t="shared" si="4"/>
        <v>1.8014901041666671</v>
      </c>
      <c r="O78" s="58">
        <f t="shared" si="5"/>
        <v>3.6029802083333342</v>
      </c>
      <c r="P78" s="56">
        <f>O78/F81</f>
        <v>0.3602980208333334</v>
      </c>
      <c r="Q78" s="57">
        <f>AVERAGE(P78:P80)</f>
        <v>0.37782762250000007</v>
      </c>
      <c r="R78" s="56">
        <f>STDEV(P78:P80)</f>
        <v>1.5263936155125869E-2</v>
      </c>
      <c r="S78" s="58">
        <f>R78/Q78*100</f>
        <v>4.039920653267183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5.45E-2</v>
      </c>
      <c r="H79">
        <v>3.7499999999999999E-2</v>
      </c>
      <c r="I79" s="56"/>
      <c r="J79" s="57">
        <f>G82-$J$14</f>
        <v>2.8400000000000002E-2</v>
      </c>
      <c r="K79" s="58">
        <f>H82-$K$14</f>
        <v>4.5166666666666619E-3</v>
      </c>
      <c r="L79" s="56"/>
      <c r="M79" s="62">
        <f t="shared" si="3"/>
        <v>2.7270833333333334E-2</v>
      </c>
      <c r="N79" s="56">
        <f t="shared" si="4"/>
        <v>1.9250208541666667</v>
      </c>
      <c r="O79" s="58">
        <f t="shared" si="5"/>
        <v>3.8500417083333334</v>
      </c>
      <c r="P79" s="56">
        <f>O79/F82</f>
        <v>0.38500417083333333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5.6599999999999998E-2</v>
      </c>
      <c r="H80">
        <v>3.8600000000000002E-2</v>
      </c>
      <c r="I80" s="56"/>
      <c r="J80" s="57">
        <f>G83-$J$14</f>
        <v>2.870000000000001E-2</v>
      </c>
      <c r="K80" s="58">
        <f>H83-$K$14</f>
        <v>4.8166666666666635E-3</v>
      </c>
      <c r="L80" s="56"/>
      <c r="M80" s="62">
        <f t="shared" si="3"/>
        <v>2.7495833333333344E-2</v>
      </c>
      <c r="N80" s="56">
        <f t="shared" si="4"/>
        <v>1.9409033791666674</v>
      </c>
      <c r="O80" s="58">
        <f t="shared" si="5"/>
        <v>3.8818067583333349</v>
      </c>
      <c r="P80" s="56">
        <f>O80/F83</f>
        <v>0.38818067583333349</v>
      </c>
      <c r="Q80" s="57"/>
      <c r="R80" s="56"/>
      <c r="S80" s="58"/>
      <c r="T80" s="56"/>
    </row>
    <row r="81" spans="4:20" ht="14.45" customHeight="1" x14ac:dyDescent="0.25">
      <c r="D81" s="78">
        <f>A44</f>
        <v>90</v>
      </c>
      <c r="E81" s="12" t="s">
        <v>101</v>
      </c>
      <c r="F81" s="12">
        <f>B44</f>
        <v>10</v>
      </c>
      <c r="G81">
        <v>6.4000000000000001E-2</v>
      </c>
      <c r="H81">
        <v>4.0899999999999999E-2</v>
      </c>
      <c r="I81" s="56"/>
      <c r="J81" s="57">
        <f>G84-$J$14</f>
        <v>2.7500000000000004E-2</v>
      </c>
      <c r="K81" s="58">
        <f>H84-$K$14</f>
        <v>2.2166666666666654E-3</v>
      </c>
      <c r="L81" s="56"/>
      <c r="M81" s="62">
        <f t="shared" si="3"/>
        <v>2.6945833333333336E-2</v>
      </c>
      <c r="N81" s="56">
        <f t="shared" si="4"/>
        <v>1.9020794291666667</v>
      </c>
      <c r="O81" s="58">
        <f t="shared" si="5"/>
        <v>3.8041588583333334</v>
      </c>
      <c r="P81" s="56">
        <f>O81/F84</f>
        <v>0.38041588583333336</v>
      </c>
      <c r="Q81" s="57">
        <f>AVERAGE(P81:P83)</f>
        <v>0.4025337725</v>
      </c>
      <c r="R81" s="56">
        <f>STDEV(P81:P83)</f>
        <v>1.9167654098551878E-2</v>
      </c>
      <c r="S81" s="58">
        <f>R81/Q81*100</f>
        <v>4.7617505431924663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6.5799999999999997E-2</v>
      </c>
      <c r="H82">
        <v>4.1099999999999998E-2</v>
      </c>
      <c r="I82" s="56"/>
      <c r="J82" s="57">
        <f>G85-$J$14</f>
        <v>2.98E-2</v>
      </c>
      <c r="K82" s="58">
        <f>H85-$K$14</f>
        <v>1.8166666666666609E-3</v>
      </c>
      <c r="L82" s="56"/>
      <c r="M82" s="62">
        <f t="shared" si="3"/>
        <v>2.9345833333333335E-2</v>
      </c>
      <c r="N82" s="56">
        <f t="shared" si="4"/>
        <v>2.0714930291666667</v>
      </c>
      <c r="O82" s="58">
        <f t="shared" si="5"/>
        <v>4.1429860583333333</v>
      </c>
      <c r="P82" s="56">
        <f>O82/F85</f>
        <v>0.41429860583333333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6.6100000000000006E-2</v>
      </c>
      <c r="H83">
        <v>4.1399999999999999E-2</v>
      </c>
      <c r="I83" s="56"/>
      <c r="J83" s="57">
        <f>G86-$J$14</f>
        <v>2.98E-2</v>
      </c>
      <c r="K83" s="58">
        <f>H86-$K$14</f>
        <v>2.2166666666666654E-3</v>
      </c>
      <c r="L83" s="56"/>
      <c r="M83" s="62">
        <f t="shared" si="3"/>
        <v>2.9245833333333332E-2</v>
      </c>
      <c r="N83" s="56">
        <f t="shared" si="4"/>
        <v>2.0644341291666666</v>
      </c>
      <c r="O83" s="58">
        <f t="shared" si="5"/>
        <v>4.1288682583333332</v>
      </c>
      <c r="P83" s="56">
        <f>O83/F86</f>
        <v>0.4128868258333333</v>
      </c>
      <c r="Q83" s="57"/>
      <c r="R83" s="56"/>
      <c r="S83" s="58"/>
      <c r="T83" s="56"/>
    </row>
    <row r="84" spans="4:20" ht="14.45" customHeight="1" x14ac:dyDescent="0.25">
      <c r="D84" s="78">
        <f>A45</f>
        <v>91</v>
      </c>
      <c r="E84" s="12" t="s">
        <v>104</v>
      </c>
      <c r="F84" s="12">
        <f>B45</f>
        <v>10</v>
      </c>
      <c r="G84">
        <v>6.4899999999999999E-2</v>
      </c>
      <c r="H84">
        <v>3.8800000000000001E-2</v>
      </c>
      <c r="I84" s="56"/>
      <c r="J84" s="57">
        <f>G87-$J$14</f>
        <v>2.3300000000000001E-2</v>
      </c>
      <c r="K84" s="58">
        <f>H87-$K$14</f>
        <v>2.8166666666666618E-3</v>
      </c>
      <c r="L84" s="56"/>
      <c r="M84" s="62">
        <f t="shared" si="3"/>
        <v>2.2595833333333336E-2</v>
      </c>
      <c r="N84" s="56">
        <f t="shared" si="4"/>
        <v>1.5950172791666668</v>
      </c>
      <c r="O84" s="58">
        <f t="shared" si="5"/>
        <v>3.1900345583333336</v>
      </c>
      <c r="P84" s="56">
        <f>O84/F87</f>
        <v>0.31900345583333334</v>
      </c>
      <c r="Q84" s="57">
        <f>AVERAGE(P84:P86)</f>
        <v>0.34523903416666668</v>
      </c>
      <c r="R84" s="56">
        <f>STDEV(P84:P86)</f>
        <v>2.3214910981891813E-2</v>
      </c>
      <c r="S84" s="58">
        <f>R84/Q84*100</f>
        <v>6.7243007552514014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6.7199999999999996E-2</v>
      </c>
      <c r="H85">
        <v>3.8399999999999997E-2</v>
      </c>
      <c r="I85" s="56"/>
      <c r="J85" s="57">
        <f>G88-$J$14</f>
        <v>2.5899999999999999E-2</v>
      </c>
      <c r="K85" s="58">
        <f>H88-$K$14</f>
        <v>3.4166666666666651E-3</v>
      </c>
      <c r="L85" s="56"/>
      <c r="M85" s="62">
        <f t="shared" si="3"/>
        <v>2.5045833333333333E-2</v>
      </c>
      <c r="N85" s="56">
        <f t="shared" si="4"/>
        <v>1.7679603291666666</v>
      </c>
      <c r="O85" s="58">
        <f t="shared" si="5"/>
        <v>3.5359206583333331</v>
      </c>
      <c r="P85" s="56">
        <f>O85/F88</f>
        <v>0.3535920658333333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6.7199999999999996E-2</v>
      </c>
      <c r="H86">
        <v>3.8800000000000001E-2</v>
      </c>
      <c r="I86" s="56"/>
      <c r="J86" s="57">
        <f>G89-$J$14</f>
        <v>2.6300000000000011E-2</v>
      </c>
      <c r="K86" s="58">
        <f>H89-$K$14</f>
        <v>2.3166666666666613E-3</v>
      </c>
      <c r="L86" s="56"/>
      <c r="M86" s="62">
        <f t="shared" si="3"/>
        <v>2.5720833333333346E-2</v>
      </c>
      <c r="N86" s="56">
        <f t="shared" si="4"/>
        <v>1.8156079041666675</v>
      </c>
      <c r="O86" s="58">
        <f t="shared" si="5"/>
        <v>3.631215808333335</v>
      </c>
      <c r="P86" s="56">
        <f>O86/F89</f>
        <v>0.36312158083333351</v>
      </c>
      <c r="Q86" s="57"/>
      <c r="R86" s="56"/>
      <c r="S86" s="58"/>
      <c r="T86" s="56"/>
    </row>
    <row r="87" spans="4:20" ht="14.45" customHeight="1" x14ac:dyDescent="0.25">
      <c r="D87" s="78">
        <f>A46</f>
        <v>92</v>
      </c>
      <c r="E87" s="12" t="s">
        <v>107</v>
      </c>
      <c r="F87" s="12">
        <f>B46</f>
        <v>10</v>
      </c>
      <c r="G87">
        <v>6.0699999999999997E-2</v>
      </c>
      <c r="H87">
        <v>3.9399999999999998E-2</v>
      </c>
      <c r="I87" s="56"/>
      <c r="J87" s="57">
        <f>G90-$J$14</f>
        <v>3.4900000000000007E-2</v>
      </c>
      <c r="K87" s="58">
        <f>H90-$K$14</f>
        <v>4.2166666666666672E-3</v>
      </c>
      <c r="L87" s="56"/>
      <c r="M87" s="62">
        <f t="shared" si="3"/>
        <v>3.3845833333333339E-2</v>
      </c>
      <c r="N87" s="56">
        <f t="shared" si="4"/>
        <v>2.3891435291666672</v>
      </c>
      <c r="O87" s="58">
        <f t="shared" si="5"/>
        <v>4.7782870583333343</v>
      </c>
      <c r="P87" s="56">
        <f>O87/F90</f>
        <v>0.47782870583333342</v>
      </c>
      <c r="Q87" s="57">
        <f>AVERAGE(P87:P89)</f>
        <v>0.43265174583333338</v>
      </c>
      <c r="R87" s="56">
        <f>STDEV(P87:P89)</f>
        <v>4.0186163328888476E-2</v>
      </c>
      <c r="S87" s="58">
        <f>R87/Q87*100</f>
        <v>9.2883395747047413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6.3299999999999995E-2</v>
      </c>
      <c r="H88">
        <v>0.04</v>
      </c>
      <c r="I88" s="56"/>
      <c r="J88" s="57">
        <f>G91-$J$14</f>
        <v>2.870000000000001E-2</v>
      </c>
      <c r="K88" s="58">
        <f>H91-$K$14</f>
        <v>1.2166666666666645E-3</v>
      </c>
      <c r="L88" s="56"/>
      <c r="M88" s="62">
        <f t="shared" si="3"/>
        <v>2.8395833333333342E-2</v>
      </c>
      <c r="N88" s="56">
        <f t="shared" si="4"/>
        <v>2.0044334791666674</v>
      </c>
      <c r="O88" s="58">
        <f t="shared" si="5"/>
        <v>4.0088669583333347</v>
      </c>
      <c r="P88" s="56">
        <f>O88/F91</f>
        <v>0.40088669583333347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6.3700000000000007E-2</v>
      </c>
      <c r="H89">
        <v>3.8899999999999997E-2</v>
      </c>
      <c r="I89" s="56"/>
      <c r="J89" s="57">
        <f>G92-$J$14</f>
        <v>3.0199999999999998E-2</v>
      </c>
      <c r="K89" s="58">
        <f>H92-$K$14</f>
        <v>2.0166666666666666E-3</v>
      </c>
      <c r="L89" s="56"/>
      <c r="M89" s="62">
        <f t="shared" si="3"/>
        <v>2.9695833333333331E-2</v>
      </c>
      <c r="N89" s="56">
        <f t="shared" si="4"/>
        <v>2.0961991791666663</v>
      </c>
      <c r="O89" s="58">
        <f t="shared" si="5"/>
        <v>4.1923983583333326</v>
      </c>
      <c r="P89" s="56">
        <f>O89/F92</f>
        <v>0.41923983583333324</v>
      </c>
      <c r="Q89" s="57"/>
      <c r="R89" s="56"/>
      <c r="S89" s="58"/>
      <c r="T89" s="56"/>
    </row>
    <row r="90" spans="4:20" ht="14.45" customHeight="1" x14ac:dyDescent="0.25">
      <c r="D90" s="78">
        <f>A47</f>
        <v>93</v>
      </c>
      <c r="E90" s="12" t="s">
        <v>110</v>
      </c>
      <c r="F90" s="12">
        <f>B47</f>
        <v>10</v>
      </c>
      <c r="G90">
        <v>7.2300000000000003E-2</v>
      </c>
      <c r="H90">
        <v>4.0800000000000003E-2</v>
      </c>
      <c r="I90" s="56"/>
      <c r="J90" s="57">
        <f>G96-$J$14</f>
        <v>2.2400000000000003E-2</v>
      </c>
      <c r="K90" s="58">
        <f>H96-$K$14</f>
        <v>2.8166666666666618E-3</v>
      </c>
      <c r="L90" s="56"/>
      <c r="M90" s="62">
        <f t="shared" si="3"/>
        <v>2.1695833333333338E-2</v>
      </c>
      <c r="N90" s="56">
        <f t="shared" si="4"/>
        <v>1.5314871791666669</v>
      </c>
      <c r="O90" s="58">
        <f t="shared" si="5"/>
        <v>3.0629743583333338</v>
      </c>
      <c r="P90" s="56">
        <f>O90/F96</f>
        <v>0.30629743583333335</v>
      </c>
      <c r="Q90" s="57">
        <f>AVERAGE(P90:P92)</f>
        <v>0.30147385416666672</v>
      </c>
      <c r="R90" s="56">
        <f>STDEV(P90:P92)</f>
        <v>4.6063491840347979E-3</v>
      </c>
      <c r="S90" s="58">
        <f>R90/Q90*100</f>
        <v>1.5279431766206248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6.6100000000000006E-2</v>
      </c>
      <c r="H91">
        <v>3.78E-2</v>
      </c>
      <c r="I91" s="56"/>
      <c r="J91" s="57">
        <f>G97-$J$14</f>
        <v>2.1800000000000007E-2</v>
      </c>
      <c r="K91" s="58">
        <f>H97-$K$14</f>
        <v>1.9166666666666637E-3</v>
      </c>
      <c r="L91" s="56"/>
      <c r="M91" s="62">
        <f t="shared" si="3"/>
        <v>2.1320833333333341E-2</v>
      </c>
      <c r="N91" s="56">
        <f t="shared" si="4"/>
        <v>1.5050163041666671</v>
      </c>
      <c r="O91" s="58">
        <f t="shared" si="5"/>
        <v>3.0100326083333342</v>
      </c>
      <c r="P91" s="56">
        <f>O91/F97</f>
        <v>0.3010032608333334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6.7599999999999993E-2</v>
      </c>
      <c r="H92">
        <v>3.8600000000000002E-2</v>
      </c>
      <c r="I92" s="56"/>
      <c r="J92" s="57">
        <f>G98-$J$14</f>
        <v>2.1500000000000005E-2</v>
      </c>
      <c r="K92" s="58">
        <f>H98-$K$14</f>
        <v>1.8166666666666609E-3</v>
      </c>
      <c r="L92" s="56"/>
      <c r="M92" s="62">
        <f t="shared" ref="M92:M98" si="47">J92-(0.25*K92)</f>
        <v>2.104583333333334E-2</v>
      </c>
      <c r="N92" s="56">
        <f t="shared" ref="N92:N98" si="48">M92*70.589</f>
        <v>1.4856043291666672</v>
      </c>
      <c r="O92" s="58">
        <f t="shared" ref="O92:O98" si="49">N92*2</f>
        <v>2.9712086583333344</v>
      </c>
      <c r="P92" s="56">
        <f>O92/F98</f>
        <v>0.29712086583333341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3.78E-2</v>
      </c>
      <c r="H93">
        <v>3.6999999999999998E-2</v>
      </c>
      <c r="I93" s="56"/>
      <c r="J93" s="57">
        <f>G99-$J$14</f>
        <v>1.7300000000000003E-2</v>
      </c>
      <c r="K93" s="58">
        <f>H99-$K$14</f>
        <v>-3.8333333333333275E-4</v>
      </c>
      <c r="L93" s="56"/>
      <c r="M93" s="62">
        <f t="shared" si="47"/>
        <v>1.7395833333333336E-2</v>
      </c>
      <c r="N93" s="56">
        <f t="shared" si="48"/>
        <v>1.2279544791666668</v>
      </c>
      <c r="O93" s="58">
        <f t="shared" si="49"/>
        <v>2.4559089583333336</v>
      </c>
      <c r="P93" s="56">
        <f>O93/F99</f>
        <v>0.24559089583333335</v>
      </c>
      <c r="Q93" s="57">
        <f>AVERAGE(P93:P95)</f>
        <v>2.0056099624999999</v>
      </c>
      <c r="R93" s="56">
        <f>STDEV(P93:P95)</f>
        <v>3.0240226538704453</v>
      </c>
      <c r="S93" s="58">
        <f>R93/Q93*100</f>
        <v>150.77820266214624</v>
      </c>
      <c r="T93" s="56"/>
    </row>
    <row r="94" spans="4:20" ht="14.45" customHeight="1" x14ac:dyDescent="0.25">
      <c r="D94" s="71"/>
      <c r="E94" s="17" t="s">
        <v>129</v>
      </c>
      <c r="F94" s="17"/>
      <c r="G94">
        <v>3.7400000000000003E-2</v>
      </c>
      <c r="H94">
        <v>3.7499999999999999E-2</v>
      </c>
      <c r="I94" s="56"/>
      <c r="J94" s="57">
        <f>G100-$J$14</f>
        <v>1.9600000000000006E-2</v>
      </c>
      <c r="K94" s="58">
        <f>H100-$K$14</f>
        <v>8.1666666666666693E-4</v>
      </c>
      <c r="L94" s="56"/>
      <c r="M94" s="62">
        <f t="shared" si="47"/>
        <v>1.9395833333333341E-2</v>
      </c>
      <c r="N94" s="56">
        <f t="shared" si="48"/>
        <v>1.3691324791666672</v>
      </c>
      <c r="O94" s="58">
        <f t="shared" si="49"/>
        <v>2.7382649583333345</v>
      </c>
      <c r="P94" s="56">
        <f>O94/F100</f>
        <v>0.27382649583333346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3.6400000000000002E-2</v>
      </c>
      <c r="H95">
        <v>3.6200000000000003E-2</v>
      </c>
      <c r="I95" s="56"/>
      <c r="J95" s="57">
        <f>G101-$J$14</f>
        <v>0.51039999999999996</v>
      </c>
      <c r="K95" s="58">
        <f>H101-$K$14</f>
        <v>0.4840166666666666</v>
      </c>
      <c r="L95" s="56"/>
      <c r="M95" s="62">
        <f t="shared" si="47"/>
        <v>0.38939583333333333</v>
      </c>
      <c r="N95" s="56">
        <f t="shared" si="48"/>
        <v>27.487062479166667</v>
      </c>
      <c r="O95" s="58">
        <f t="shared" si="49"/>
        <v>54.974124958333334</v>
      </c>
      <c r="P95" s="56">
        <f>O95/F101</f>
        <v>5.4974124958333332</v>
      </c>
      <c r="Q95" s="57"/>
      <c r="R95" s="56"/>
      <c r="S95" s="58"/>
      <c r="T95" s="56"/>
    </row>
    <row r="96" spans="4:20" ht="14.45" customHeight="1" x14ac:dyDescent="0.25">
      <c r="D96" s="78">
        <f>A48</f>
        <v>94</v>
      </c>
      <c r="E96" s="12" t="s">
        <v>113</v>
      </c>
      <c r="F96" s="12">
        <f>B48</f>
        <v>10</v>
      </c>
      <c r="G96">
        <v>5.9799999999999999E-2</v>
      </c>
      <c r="H96">
        <v>3.9399999999999998E-2</v>
      </c>
      <c r="I96" s="56"/>
      <c r="J96" s="57">
        <f>G102-$J$14</f>
        <v>1.9100000000000006E-2</v>
      </c>
      <c r="K96" s="58">
        <f>H102-$K$14</f>
        <v>2.3166666666666613E-3</v>
      </c>
      <c r="L96" s="56"/>
      <c r="M96" s="62">
        <f t="shared" si="47"/>
        <v>1.8520833333333341E-2</v>
      </c>
      <c r="N96" s="56">
        <f t="shared" si="48"/>
        <v>1.3073671041666672</v>
      </c>
      <c r="O96" s="58">
        <f t="shared" si="49"/>
        <v>2.6147342083333345</v>
      </c>
      <c r="P96" s="56">
        <f>O96/F102</f>
        <v>0.26147342083333347</v>
      </c>
      <c r="Q96" s="57">
        <f>AVERAGE(P96:P98)</f>
        <v>0.30041501916666674</v>
      </c>
      <c r="R96" s="56">
        <f>STDEV(P96:P98)</f>
        <v>3.9542968214346448E-2</v>
      </c>
      <c r="S96" s="58">
        <f>R96/Q96*100</f>
        <v>13.162780051422288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5.9200000000000003E-2</v>
      </c>
      <c r="H97">
        <v>3.85E-2</v>
      </c>
      <c r="I97" s="56"/>
      <c r="J97" s="57">
        <f>G103-$J$14</f>
        <v>2.1800000000000007E-2</v>
      </c>
      <c r="K97" s="58">
        <f>H103-$K$14</f>
        <v>2.4166666666666642E-3</v>
      </c>
      <c r="L97" s="56"/>
      <c r="M97" s="62">
        <f t="shared" si="47"/>
        <v>2.1195833333333341E-2</v>
      </c>
      <c r="N97" s="56">
        <f t="shared" si="48"/>
        <v>1.4961926791666671</v>
      </c>
      <c r="O97" s="58">
        <f t="shared" si="49"/>
        <v>2.9923853583333342</v>
      </c>
      <c r="P97" s="56">
        <f>O97/F103</f>
        <v>0.29923853583333343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5.8900000000000001E-2</v>
      </c>
      <c r="H98">
        <v>3.8399999999999997E-2</v>
      </c>
      <c r="I98" s="56"/>
      <c r="J98" s="65">
        <f>G104-$J$14</f>
        <v>2.5500000000000002E-2</v>
      </c>
      <c r="K98" s="66">
        <f>H104-$K$14</f>
        <v>5.5166666666666628E-3</v>
      </c>
      <c r="L98" s="56"/>
      <c r="M98" s="69">
        <f t="shared" si="47"/>
        <v>2.4120833333333334E-2</v>
      </c>
      <c r="N98" s="56">
        <f t="shared" si="48"/>
        <v>1.7026655041666667</v>
      </c>
      <c r="O98" s="66">
        <f t="shared" si="49"/>
        <v>3.4053310083333335</v>
      </c>
      <c r="P98" s="70">
        <f>O98/F104</f>
        <v>0.34053310083333332</v>
      </c>
      <c r="Q98" s="65"/>
      <c r="R98" s="70"/>
      <c r="S98" s="66"/>
      <c r="T98" s="56"/>
    </row>
    <row r="99" spans="4:20" x14ac:dyDescent="0.25">
      <c r="D99" s="78">
        <f>A49</f>
        <v>95</v>
      </c>
      <c r="E99" s="12" t="s">
        <v>116</v>
      </c>
      <c r="F99" s="12">
        <f>B49</f>
        <v>10</v>
      </c>
      <c r="G99">
        <v>5.4699999999999999E-2</v>
      </c>
      <c r="H99">
        <v>3.6200000000000003E-2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5.7000000000000002E-2</v>
      </c>
      <c r="H100">
        <v>3.7400000000000003E-2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0.54779999999999995</v>
      </c>
      <c r="H101">
        <v>0.52059999999999995</v>
      </c>
    </row>
    <row r="102" spans="4:20" x14ac:dyDescent="0.25">
      <c r="D102" s="78">
        <f>A50</f>
        <v>96</v>
      </c>
      <c r="E102" s="12" t="s">
        <v>119</v>
      </c>
      <c r="F102" s="12">
        <f>B50</f>
        <v>10</v>
      </c>
      <c r="G102">
        <v>5.6500000000000002E-2</v>
      </c>
      <c r="H102">
        <v>3.8899999999999997E-2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5.9200000000000003E-2</v>
      </c>
      <c r="H103">
        <v>3.9E-2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6.2899999999999998E-2</v>
      </c>
      <c r="H104">
        <v>4.2099999999999999E-2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9084-7529-484A-964D-D9A0C955F53F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3.4700000000000002E-2</v>
      </c>
      <c r="G6">
        <v>3.4099999999999998E-2</v>
      </c>
      <c r="I6" s="13">
        <v>12.5</v>
      </c>
      <c r="J6" s="14">
        <f>AVERAGE(F9:F11,G66)</f>
        <v>0.31782499999999997</v>
      </c>
      <c r="K6" s="15">
        <f>AVERAGE(G9:G11,H66)</f>
        <v>4.5850000000000002E-2</v>
      </c>
      <c r="M6" s="14">
        <f>J6-$J$14</f>
        <v>0.28140833333333332</v>
      </c>
      <c r="N6" s="15">
        <f>K6-$K$14</f>
        <v>1.0233333333333337E-2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3.6799999999999999E-2</v>
      </c>
      <c r="G7">
        <v>3.5700000000000003E-2</v>
      </c>
      <c r="I7" s="18">
        <v>25</v>
      </c>
      <c r="J7" s="19">
        <f>AVERAGE(F12:F14)</f>
        <v>0.52973333333333328</v>
      </c>
      <c r="K7" s="20">
        <f>AVERAGE(G12:G14)</f>
        <v>3.8166666666666661E-2</v>
      </c>
      <c r="M7" s="19">
        <f>J7-$J$14</f>
        <v>0.49331666666666663</v>
      </c>
      <c r="N7" s="20">
        <f>K7-$K$14</f>
        <v>2.5499999999999967E-3</v>
      </c>
      <c r="P7" s="17">
        <f>M6</f>
        <v>0.28140833333333332</v>
      </c>
      <c r="Q7" s="12">
        <v>12.5</v>
      </c>
    </row>
    <row r="8" spans="5:17" x14ac:dyDescent="0.25">
      <c r="E8" s="21" t="s">
        <v>10</v>
      </c>
      <c r="F8">
        <v>3.6799999999999999E-2</v>
      </c>
      <c r="G8">
        <v>3.61E-2</v>
      </c>
      <c r="I8" s="18">
        <v>50</v>
      </c>
      <c r="J8" s="19">
        <f>AVERAGE(F15:F17,G67)</f>
        <v>1.0562749999999999</v>
      </c>
      <c r="K8" s="20">
        <f>AVERAGE(G15:G17,H67)</f>
        <v>3.6650000000000002E-2</v>
      </c>
      <c r="M8" s="19">
        <f>J8-$J$14</f>
        <v>1.0198583333333331</v>
      </c>
      <c r="N8" s="20">
        <f>K8-$K$14</f>
        <v>1.0333333333333375E-3</v>
      </c>
      <c r="P8" s="17">
        <f>M7</f>
        <v>0.49331666666666663</v>
      </c>
      <c r="Q8" s="17">
        <v>25</v>
      </c>
    </row>
    <row r="9" spans="5:17" x14ac:dyDescent="0.25">
      <c r="E9" s="11" t="s">
        <v>11</v>
      </c>
      <c r="F9">
        <v>0.32400000000000001</v>
      </c>
      <c r="G9">
        <v>5.4399999999999997E-2</v>
      </c>
      <c r="I9" s="18">
        <v>100</v>
      </c>
      <c r="J9" s="19">
        <f>AVERAGE(F18:F20,G68)</f>
        <v>2.120425</v>
      </c>
      <c r="K9" s="20">
        <f>AVERAGE(G18:G20,H68)</f>
        <v>3.5099999999999999E-2</v>
      </c>
      <c r="M9" s="19">
        <f>J9-$J$14</f>
        <v>2.0840083333333332</v>
      </c>
      <c r="N9" s="20">
        <f>K9-$K$14</f>
        <v>-5.1666666666666528E-4</v>
      </c>
      <c r="P9" s="17">
        <f>M8</f>
        <v>1.0198583333333331</v>
      </c>
      <c r="Q9" s="17">
        <v>50</v>
      </c>
    </row>
    <row r="10" spans="5:17" x14ac:dyDescent="0.25">
      <c r="E10" s="16" t="s">
        <v>12</v>
      </c>
      <c r="F10">
        <v>0.33979999999999999</v>
      </c>
      <c r="G10">
        <v>5.45E-2</v>
      </c>
      <c r="I10" s="23">
        <v>250</v>
      </c>
      <c r="J10" s="24">
        <f>AVERAGE(F21:F23)</f>
        <v>3.9215</v>
      </c>
      <c r="K10" s="25">
        <f>AVERAGE(G21:G23)</f>
        <v>3.556666666666667E-2</v>
      </c>
      <c r="M10" s="19">
        <f>J10-$J$14</f>
        <v>3.8850833333333332</v>
      </c>
      <c r="N10" s="20">
        <f>K10-$K$14</f>
        <v>-4.9999999999994493E-5</v>
      </c>
      <c r="P10" s="17">
        <f>M9</f>
        <v>2.0840083333333332</v>
      </c>
      <c r="Q10" s="17">
        <v>100</v>
      </c>
    </row>
    <row r="11" spans="5:17" x14ac:dyDescent="0.25">
      <c r="E11" s="21" t="s">
        <v>13</v>
      </c>
      <c r="F11">
        <v>0.32179999999999997</v>
      </c>
      <c r="G11">
        <v>3.8300000000000001E-2</v>
      </c>
      <c r="I11" s="26" t="s">
        <v>14</v>
      </c>
      <c r="J11" s="13">
        <f t="shared" ref="J11:K13" si="0">F6</f>
        <v>3.4700000000000002E-2</v>
      </c>
      <c r="K11" s="27">
        <f t="shared" si="0"/>
        <v>3.4099999999999998E-2</v>
      </c>
      <c r="M11" s="23"/>
      <c r="N11" s="28"/>
      <c r="P11" s="22">
        <f>M10</f>
        <v>3.8850833333333332</v>
      </c>
      <c r="Q11" s="22">
        <v>250</v>
      </c>
    </row>
    <row r="12" spans="5:17" x14ac:dyDescent="0.25">
      <c r="E12" s="11" t="s">
        <v>15</v>
      </c>
      <c r="F12">
        <v>0.50229999999999997</v>
      </c>
      <c r="G12">
        <v>3.8399999999999997E-2</v>
      </c>
      <c r="I12" s="29" t="s">
        <v>14</v>
      </c>
      <c r="J12" s="18">
        <f t="shared" si="0"/>
        <v>3.6799999999999999E-2</v>
      </c>
      <c r="K12" s="30">
        <f t="shared" si="0"/>
        <v>3.5700000000000003E-2</v>
      </c>
    </row>
    <row r="13" spans="5:17" x14ac:dyDescent="0.25">
      <c r="E13" s="16" t="s">
        <v>16</v>
      </c>
      <c r="F13">
        <v>0.54059999999999997</v>
      </c>
      <c r="G13">
        <v>3.8399999999999997E-2</v>
      </c>
      <c r="I13" s="31" t="s">
        <v>14</v>
      </c>
      <c r="J13" s="23">
        <f t="shared" si="0"/>
        <v>3.6799999999999999E-2</v>
      </c>
      <c r="K13" s="28">
        <f t="shared" si="0"/>
        <v>3.61E-2</v>
      </c>
    </row>
    <row r="14" spans="5:17" x14ac:dyDescent="0.25">
      <c r="E14" s="21" t="s">
        <v>17</v>
      </c>
      <c r="F14">
        <v>0.54630000000000001</v>
      </c>
      <c r="G14">
        <v>3.7699999999999997E-2</v>
      </c>
      <c r="I14" s="32" t="s">
        <v>18</v>
      </c>
      <c r="J14" s="33">
        <f>AVERAGE(J11:J13,G93:G95)</f>
        <v>3.6416666666666667E-2</v>
      </c>
      <c r="K14" s="34">
        <f>AVERAGE(K11:K13,H93:H95)</f>
        <v>3.5616666666666665E-2</v>
      </c>
    </row>
    <row r="15" spans="5:17" x14ac:dyDescent="0.25">
      <c r="E15" s="11" t="s">
        <v>19</v>
      </c>
      <c r="F15">
        <v>1.0035000000000001</v>
      </c>
      <c r="G15">
        <v>3.7699999999999997E-2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1.087</v>
      </c>
      <c r="G16">
        <v>3.6299999999999999E-2</v>
      </c>
      <c r="M16" s="18" t="s">
        <v>22</v>
      </c>
      <c r="O16" s="30"/>
    </row>
    <row r="17" spans="1:24" x14ac:dyDescent="0.25">
      <c r="E17" s="21" t="s">
        <v>23</v>
      </c>
      <c r="F17">
        <v>1.0169999999999999</v>
      </c>
      <c r="G17">
        <v>3.5900000000000001E-2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2.0893999999999999</v>
      </c>
      <c r="G18">
        <v>3.4599999999999999E-2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2.1316000000000002</v>
      </c>
      <c r="G19">
        <v>3.4500000000000003E-2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2.1214</v>
      </c>
      <c r="G20">
        <v>3.5400000000000001E-2</v>
      </c>
      <c r="U20" s="37"/>
      <c r="V20" s="37"/>
    </row>
    <row r="21" spans="1:24" x14ac:dyDescent="0.25">
      <c r="E21" s="11" t="s">
        <v>29</v>
      </c>
      <c r="F21" s="39" t="s">
        <v>122</v>
      </c>
      <c r="G21">
        <v>3.5700000000000003E-2</v>
      </c>
      <c r="U21" s="37"/>
      <c r="V21" s="37"/>
    </row>
    <row r="22" spans="1:24" x14ac:dyDescent="0.25">
      <c r="E22" s="16" t="s">
        <v>30</v>
      </c>
      <c r="F22">
        <v>3.9215</v>
      </c>
      <c r="G22">
        <v>3.56E-2</v>
      </c>
      <c r="U22" s="37"/>
      <c r="V22" s="37"/>
    </row>
    <row r="23" spans="1:24" x14ac:dyDescent="0.25">
      <c r="E23" s="21" t="s">
        <v>31</v>
      </c>
      <c r="F23" s="39" t="s">
        <v>122</v>
      </c>
      <c r="G23">
        <v>3.5400000000000001E-2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97</v>
      </c>
      <c r="B27" s="30">
        <v>10</v>
      </c>
      <c r="D27" s="78">
        <f>A27</f>
        <v>97</v>
      </c>
      <c r="E27" s="12" t="s">
        <v>50</v>
      </c>
      <c r="F27" s="12">
        <f>B27</f>
        <v>10</v>
      </c>
      <c r="G27">
        <v>0.37690000000000001</v>
      </c>
      <c r="H27">
        <v>0.04</v>
      </c>
      <c r="I27" s="56"/>
      <c r="J27" s="57">
        <f t="shared" ref="J27:J65" si="1">G27-$J$14</f>
        <v>0.34048333333333336</v>
      </c>
      <c r="K27" s="58">
        <f t="shared" ref="K27:K65" si="2">H27-$K$14</f>
        <v>4.3833333333333363E-3</v>
      </c>
      <c r="L27" s="56"/>
      <c r="M27" s="59">
        <f>J27-(0.25*K27)</f>
        <v>0.33938750000000001</v>
      </c>
      <c r="N27" s="56">
        <f>M27*64.861</f>
        <v>22.013012637500001</v>
      </c>
      <c r="O27" s="58">
        <f>N27*2</f>
        <v>44.026025275000002</v>
      </c>
      <c r="P27" s="56">
        <f>O27/F27</f>
        <v>4.4026025275</v>
      </c>
      <c r="Q27" s="57">
        <f>AVERAGE(P27:P29)</f>
        <v>4.3533081674999998</v>
      </c>
      <c r="R27" s="56">
        <f>STDEV(P27:P29)</f>
        <v>5.0295512987912711E-2</v>
      </c>
      <c r="S27" s="58">
        <f>R27/Q27*100</f>
        <v>1.1553400552572461</v>
      </c>
      <c r="T27" s="60">
        <f>D27</f>
        <v>97</v>
      </c>
      <c r="U27" s="61">
        <f>Q27</f>
        <v>4.3533081674999998</v>
      </c>
      <c r="V27" s="37"/>
    </row>
    <row r="28" spans="1:24" ht="14.45" customHeight="1" x14ac:dyDescent="0.25">
      <c r="A28" s="18">
        <v>98</v>
      </c>
      <c r="B28" s="30">
        <v>10</v>
      </c>
      <c r="D28" s="79"/>
      <c r="E28" s="17" t="s">
        <v>51</v>
      </c>
      <c r="F28" s="17">
        <f>F27</f>
        <v>10</v>
      </c>
      <c r="G28">
        <v>0.36899999999999999</v>
      </c>
      <c r="H28">
        <v>3.9399999999999998E-2</v>
      </c>
      <c r="I28" s="56"/>
      <c r="J28" s="57">
        <f t="shared" si="1"/>
        <v>0.33258333333333334</v>
      </c>
      <c r="K28" s="58">
        <f t="shared" si="2"/>
        <v>3.783333333333333E-3</v>
      </c>
      <c r="L28" s="56"/>
      <c r="M28" s="62">
        <f t="shared" ref="M28:M91" si="3">J28-(0.25*K28)</f>
        <v>0.33163750000000003</v>
      </c>
      <c r="N28" s="56">
        <f t="shared" ref="N28:N91" si="4">M28*64.861</f>
        <v>21.510339887500002</v>
      </c>
      <c r="O28" s="58">
        <f t="shared" ref="O28:O91" si="5">N28*2</f>
        <v>43.020679775000005</v>
      </c>
      <c r="P28" s="56">
        <f t="shared" ref="P28:P65" si="6">O28/F28</f>
        <v>4.3020679775000001</v>
      </c>
      <c r="Q28" s="57"/>
      <c r="R28" s="56"/>
      <c r="S28" s="58"/>
      <c r="T28" s="63">
        <f>D30</f>
        <v>98</v>
      </c>
      <c r="U28" s="64">
        <f>Q30</f>
        <v>0.42867715916666665</v>
      </c>
    </row>
    <row r="29" spans="1:24" ht="14.45" customHeight="1" x14ac:dyDescent="0.25">
      <c r="A29" s="18">
        <v>99</v>
      </c>
      <c r="B29" s="30">
        <v>10</v>
      </c>
      <c r="D29" s="80"/>
      <c r="E29" s="22" t="s">
        <v>52</v>
      </c>
      <c r="F29" s="22">
        <f>F27</f>
        <v>10</v>
      </c>
      <c r="G29">
        <v>0.37290000000000001</v>
      </c>
      <c r="H29">
        <v>3.8600000000000002E-2</v>
      </c>
      <c r="I29" s="56"/>
      <c r="J29" s="57">
        <f t="shared" si="1"/>
        <v>0.33648333333333336</v>
      </c>
      <c r="K29" s="58">
        <f t="shared" si="2"/>
        <v>2.9833333333333378E-3</v>
      </c>
      <c r="L29" s="56"/>
      <c r="M29" s="62">
        <f t="shared" si="3"/>
        <v>0.33573750000000002</v>
      </c>
      <c r="N29" s="56">
        <f t="shared" si="4"/>
        <v>21.776269987500005</v>
      </c>
      <c r="O29" s="58">
        <f t="shared" si="5"/>
        <v>43.552539975000009</v>
      </c>
      <c r="P29" s="56">
        <f t="shared" si="6"/>
        <v>4.3552539975000011</v>
      </c>
      <c r="Q29" s="57"/>
      <c r="R29" s="56"/>
      <c r="S29" s="58"/>
      <c r="T29" s="63">
        <f>D33</f>
        <v>99</v>
      </c>
      <c r="U29" s="64">
        <f>Q33</f>
        <v>3.5044938808333335</v>
      </c>
    </row>
    <row r="30" spans="1:24" ht="14.45" customHeight="1" x14ac:dyDescent="0.25">
      <c r="A30" s="18">
        <v>100</v>
      </c>
      <c r="B30" s="30">
        <v>10</v>
      </c>
      <c r="D30" s="78">
        <f>A28</f>
        <v>98</v>
      </c>
      <c r="E30" s="12" t="s">
        <v>53</v>
      </c>
      <c r="F30" s="12">
        <f>B28</f>
        <v>10</v>
      </c>
      <c r="G30">
        <v>6.7000000000000004E-2</v>
      </c>
      <c r="H30">
        <v>3.9800000000000002E-2</v>
      </c>
      <c r="I30" s="56"/>
      <c r="J30" s="57">
        <f t="shared" si="1"/>
        <v>3.0583333333333337E-2</v>
      </c>
      <c r="K30" s="58">
        <f t="shared" si="2"/>
        <v>4.1833333333333375E-3</v>
      </c>
      <c r="L30" s="56"/>
      <c r="M30" s="62">
        <f t="shared" si="3"/>
        <v>2.9537500000000001E-2</v>
      </c>
      <c r="N30" s="56">
        <f t="shared" si="4"/>
        <v>1.9158317875000002</v>
      </c>
      <c r="O30" s="58">
        <f t="shared" si="5"/>
        <v>3.8316635750000003</v>
      </c>
      <c r="P30" s="56">
        <f t="shared" si="6"/>
        <v>0.38316635750000005</v>
      </c>
      <c r="Q30" s="57">
        <f>AVERAGE(P30:P32)</f>
        <v>0.42867715916666665</v>
      </c>
      <c r="R30" s="56">
        <f>STDEV(P30:P32)</f>
        <v>3.9429851375405355E-2</v>
      </c>
      <c r="S30" s="58">
        <f>R30/Q30*100</f>
        <v>9.1980294569590786</v>
      </c>
      <c r="T30" s="63">
        <f>D36</f>
        <v>100</v>
      </c>
      <c r="U30" s="64">
        <f>Q36</f>
        <v>0.84605769416666676</v>
      </c>
    </row>
    <row r="31" spans="1:24" ht="14.45" customHeight="1" x14ac:dyDescent="0.25">
      <c r="A31" s="18">
        <v>101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7.2800000000000004E-2</v>
      </c>
      <c r="H31">
        <v>4.1599999999999998E-2</v>
      </c>
      <c r="I31" s="56"/>
      <c r="J31" s="57">
        <f t="shared" si="1"/>
        <v>3.6383333333333337E-2</v>
      </c>
      <c r="K31" s="58">
        <f t="shared" si="2"/>
        <v>5.9833333333333336E-3</v>
      </c>
      <c r="L31" s="56"/>
      <c r="M31" s="62">
        <f t="shared" si="3"/>
        <v>3.4887500000000002E-2</v>
      </c>
      <c r="N31" s="56">
        <f t="shared" si="4"/>
        <v>2.2628381375000002</v>
      </c>
      <c r="O31" s="58">
        <f t="shared" si="5"/>
        <v>4.5256762750000004</v>
      </c>
      <c r="P31" s="56">
        <f t="shared" si="6"/>
        <v>0.45256762750000001</v>
      </c>
      <c r="Q31" s="57"/>
      <c r="R31" s="56"/>
      <c r="S31" s="58"/>
      <c r="T31" s="63">
        <f>D39</f>
        <v>101</v>
      </c>
      <c r="U31" s="64">
        <f>Q39</f>
        <v>6.5045313341666677</v>
      </c>
    </row>
    <row r="32" spans="1:24" ht="14.45" customHeight="1" x14ac:dyDescent="0.25">
      <c r="A32" s="18">
        <v>102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7.2599999999999998E-2</v>
      </c>
      <c r="H32">
        <v>4.1500000000000002E-2</v>
      </c>
      <c r="I32" s="56"/>
      <c r="J32" s="57">
        <f t="shared" si="1"/>
        <v>3.6183333333333331E-2</v>
      </c>
      <c r="K32" s="58">
        <f t="shared" si="2"/>
        <v>5.8833333333333376E-3</v>
      </c>
      <c r="L32" s="56"/>
      <c r="M32" s="62">
        <f t="shared" si="3"/>
        <v>3.4712499999999993E-2</v>
      </c>
      <c r="N32" s="56">
        <f t="shared" si="4"/>
        <v>2.2514874624999996</v>
      </c>
      <c r="O32" s="58">
        <f t="shared" si="5"/>
        <v>4.5029749249999993</v>
      </c>
      <c r="P32" s="56">
        <f t="shared" si="6"/>
        <v>0.45029749249999995</v>
      </c>
      <c r="Q32" s="57"/>
      <c r="R32" s="56"/>
      <c r="S32" s="58"/>
      <c r="T32" s="63">
        <f>D42</f>
        <v>102</v>
      </c>
      <c r="U32" s="64">
        <f>Q42</f>
        <v>3.5023318475000003</v>
      </c>
    </row>
    <row r="33" spans="1:21" ht="14.45" customHeight="1" x14ac:dyDescent="0.25">
      <c r="A33" s="18">
        <v>103</v>
      </c>
      <c r="B33" s="30">
        <v>10</v>
      </c>
      <c r="D33" s="78">
        <f>A29</f>
        <v>99</v>
      </c>
      <c r="E33" s="12" t="s">
        <v>56</v>
      </c>
      <c r="F33" s="12">
        <f>B29</f>
        <v>10</v>
      </c>
      <c r="G33">
        <v>0.28710000000000002</v>
      </c>
      <c r="H33">
        <v>3.6999999999999998E-2</v>
      </c>
      <c r="I33" s="56"/>
      <c r="J33" s="57">
        <f t="shared" si="1"/>
        <v>0.25068333333333337</v>
      </c>
      <c r="K33" s="58">
        <f t="shared" si="2"/>
        <v>1.3833333333333336E-3</v>
      </c>
      <c r="L33" s="56"/>
      <c r="M33" s="62">
        <f t="shared" si="3"/>
        <v>0.25033750000000005</v>
      </c>
      <c r="N33" s="56">
        <f t="shared" si="4"/>
        <v>16.237140587500004</v>
      </c>
      <c r="O33" s="58">
        <f t="shared" si="5"/>
        <v>32.474281175000009</v>
      </c>
      <c r="P33" s="56">
        <f t="shared" si="6"/>
        <v>3.247428117500001</v>
      </c>
      <c r="Q33" s="57">
        <f>AVERAGE(P33:P35)</f>
        <v>3.5044938808333335</v>
      </c>
      <c r="R33" s="56">
        <f>STDEV(P33:P35)</f>
        <v>0.24321671438333325</v>
      </c>
      <c r="S33" s="58">
        <f>R33/Q33*100</f>
        <v>6.9401380813796365</v>
      </c>
      <c r="T33" s="63">
        <f>D45</f>
        <v>103</v>
      </c>
      <c r="U33" s="64">
        <f>Q45</f>
        <v>0.34197962249999997</v>
      </c>
    </row>
    <row r="34" spans="1:21" ht="14.45" customHeight="1" x14ac:dyDescent="0.25">
      <c r="A34" s="18">
        <v>104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0.30909999999999999</v>
      </c>
      <c r="H34">
        <v>3.6299999999999999E-2</v>
      </c>
      <c r="I34" s="56"/>
      <c r="J34" s="57">
        <f t="shared" si="1"/>
        <v>0.27268333333333333</v>
      </c>
      <c r="K34" s="58">
        <f t="shared" si="2"/>
        <v>6.833333333333344E-4</v>
      </c>
      <c r="L34" s="56"/>
      <c r="M34" s="62">
        <f t="shared" si="3"/>
        <v>0.27251249999999999</v>
      </c>
      <c r="N34" s="56">
        <f t="shared" si="4"/>
        <v>17.6754332625</v>
      </c>
      <c r="O34" s="58">
        <f t="shared" si="5"/>
        <v>35.350866525000001</v>
      </c>
      <c r="P34" s="56">
        <f t="shared" si="6"/>
        <v>3.5350866525</v>
      </c>
      <c r="Q34" s="57"/>
      <c r="R34" s="56"/>
      <c r="S34" s="58"/>
      <c r="T34" s="63">
        <f>D48</f>
        <v>104</v>
      </c>
      <c r="U34" s="64">
        <f>Q48</f>
        <v>1.0576126558333334</v>
      </c>
    </row>
    <row r="35" spans="1:21" ht="14.45" customHeight="1" x14ac:dyDescent="0.25">
      <c r="A35" s="18">
        <v>105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0.3246</v>
      </c>
      <c r="H35">
        <v>3.7900000000000003E-2</v>
      </c>
      <c r="I35" s="56"/>
      <c r="J35" s="57">
        <f t="shared" si="1"/>
        <v>0.28818333333333335</v>
      </c>
      <c r="K35" s="58">
        <f t="shared" si="2"/>
        <v>2.2833333333333386E-3</v>
      </c>
      <c r="L35" s="56"/>
      <c r="M35" s="62">
        <f t="shared" si="3"/>
        <v>0.28761249999999999</v>
      </c>
      <c r="N35" s="56">
        <f t="shared" si="4"/>
        <v>18.654834362500001</v>
      </c>
      <c r="O35" s="58">
        <f t="shared" si="5"/>
        <v>37.309668725000002</v>
      </c>
      <c r="P35" s="56">
        <f t="shared" si="6"/>
        <v>3.7309668725000003</v>
      </c>
      <c r="Q35" s="57"/>
      <c r="R35" s="56"/>
      <c r="S35" s="58"/>
      <c r="T35" s="63">
        <f>D51</f>
        <v>105</v>
      </c>
      <c r="U35" s="64">
        <f>Q51</f>
        <v>1.4708853275000002</v>
      </c>
    </row>
    <row r="36" spans="1:21" ht="14.45" customHeight="1" x14ac:dyDescent="0.25">
      <c r="A36" s="18">
        <v>106</v>
      </c>
      <c r="B36" s="30">
        <v>10</v>
      </c>
      <c r="D36" s="78">
        <f>A30</f>
        <v>100</v>
      </c>
      <c r="E36" s="12" t="s">
        <v>59</v>
      </c>
      <c r="F36" s="12">
        <f>B30</f>
        <v>10</v>
      </c>
      <c r="G36">
        <v>9.6000000000000002E-2</v>
      </c>
      <c r="H36">
        <v>3.5900000000000001E-2</v>
      </c>
      <c r="I36" s="56"/>
      <c r="J36" s="57">
        <f t="shared" si="1"/>
        <v>5.9583333333333335E-2</v>
      </c>
      <c r="K36" s="58">
        <f t="shared" si="2"/>
        <v>2.8333333333333682E-4</v>
      </c>
      <c r="L36" s="56"/>
      <c r="M36" s="62">
        <f t="shared" si="3"/>
        <v>5.9512500000000003E-2</v>
      </c>
      <c r="N36" s="56">
        <f t="shared" si="4"/>
        <v>3.8600402625000005</v>
      </c>
      <c r="O36" s="58">
        <f t="shared" si="5"/>
        <v>7.7200805250000011</v>
      </c>
      <c r="P36" s="56">
        <f t="shared" si="6"/>
        <v>0.77200805250000015</v>
      </c>
      <c r="Q36" s="57">
        <f>AVERAGE(P36:P38)</f>
        <v>0.84605769416666676</v>
      </c>
      <c r="R36" s="56">
        <f>STDEV(P36:P38)</f>
        <v>6.527183646326877E-2</v>
      </c>
      <c r="S36" s="58">
        <f>R36/Q36*100</f>
        <v>7.7148209765480518</v>
      </c>
      <c r="T36" s="63">
        <f>D54</f>
        <v>106</v>
      </c>
      <c r="U36" s="64">
        <f>Q54</f>
        <v>4.2084519341666669</v>
      </c>
    </row>
    <row r="37" spans="1:21" ht="14.45" customHeight="1" x14ac:dyDescent="0.25">
      <c r="A37" s="18">
        <v>107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0.1057</v>
      </c>
      <c r="H37">
        <v>3.6700000000000003E-2</v>
      </c>
      <c r="I37" s="56"/>
      <c r="J37" s="57">
        <f t="shared" si="1"/>
        <v>6.9283333333333336E-2</v>
      </c>
      <c r="K37" s="58">
        <f t="shared" si="2"/>
        <v>1.0833333333333389E-3</v>
      </c>
      <c r="L37" s="56"/>
      <c r="M37" s="62">
        <f t="shared" si="3"/>
        <v>6.9012500000000004E-2</v>
      </c>
      <c r="N37" s="56">
        <f t="shared" si="4"/>
        <v>4.4762197625000004</v>
      </c>
      <c r="O37" s="58">
        <f t="shared" si="5"/>
        <v>8.9524395250000008</v>
      </c>
      <c r="P37" s="56">
        <f t="shared" si="6"/>
        <v>0.89524395250000011</v>
      </c>
      <c r="Q37" s="57"/>
      <c r="R37" s="56"/>
      <c r="S37" s="58"/>
      <c r="T37" s="63">
        <f>D57</f>
        <v>107</v>
      </c>
      <c r="U37" s="64">
        <f>Q57</f>
        <v>2.5631445675000002</v>
      </c>
    </row>
    <row r="38" spans="1:21" ht="14.45" customHeight="1" x14ac:dyDescent="0.25">
      <c r="A38" s="18">
        <v>108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0.1038</v>
      </c>
      <c r="H38">
        <v>3.6600000000000001E-2</v>
      </c>
      <c r="I38" s="56"/>
      <c r="J38" s="57">
        <f t="shared" si="1"/>
        <v>6.7383333333333337E-2</v>
      </c>
      <c r="K38" s="58">
        <f t="shared" si="2"/>
        <v>9.8333333333333606E-4</v>
      </c>
      <c r="L38" s="56"/>
      <c r="M38" s="62">
        <f t="shared" si="3"/>
        <v>6.7137500000000003E-2</v>
      </c>
      <c r="N38" s="56">
        <f t="shared" si="4"/>
        <v>4.3546053875000004</v>
      </c>
      <c r="O38" s="58">
        <f t="shared" si="5"/>
        <v>8.7092107750000007</v>
      </c>
      <c r="P38" s="56">
        <f t="shared" si="6"/>
        <v>0.87092107750000003</v>
      </c>
      <c r="Q38" s="57"/>
      <c r="R38" s="56"/>
      <c r="S38" s="58"/>
      <c r="T38" s="63">
        <f>D60</f>
        <v>108</v>
      </c>
      <c r="U38" s="64">
        <f>Q60</f>
        <v>0.83589613750000014</v>
      </c>
    </row>
    <row r="39" spans="1:21" ht="14.45" customHeight="1" x14ac:dyDescent="0.25">
      <c r="A39" s="18">
        <v>109</v>
      </c>
      <c r="B39" s="30">
        <v>10</v>
      </c>
      <c r="D39" s="78">
        <f>A31</f>
        <v>101</v>
      </c>
      <c r="E39" s="12" t="s">
        <v>62</v>
      </c>
      <c r="F39" s="12">
        <f>B31</f>
        <v>10</v>
      </c>
      <c r="G39">
        <v>0.49659999999999999</v>
      </c>
      <c r="H39">
        <v>4.2299999999999997E-2</v>
      </c>
      <c r="I39" s="56"/>
      <c r="J39" s="57">
        <f t="shared" si="1"/>
        <v>0.46018333333333333</v>
      </c>
      <c r="K39" s="58">
        <f t="shared" si="2"/>
        <v>6.6833333333333328E-3</v>
      </c>
      <c r="L39" s="56"/>
      <c r="M39" s="62">
        <f t="shared" si="3"/>
        <v>0.45851249999999999</v>
      </c>
      <c r="N39" s="56">
        <f t="shared" si="4"/>
        <v>29.739579262500001</v>
      </c>
      <c r="O39" s="58">
        <f t="shared" si="5"/>
        <v>59.479158525000003</v>
      </c>
      <c r="P39" s="56">
        <f t="shared" si="6"/>
        <v>5.9479158525000004</v>
      </c>
      <c r="Q39" s="57">
        <f>AVERAGE(P39:P41)</f>
        <v>6.5045313341666677</v>
      </c>
      <c r="R39" s="56">
        <f>STDEV(P39:P41)</f>
        <v>0.4821197507645576</v>
      </c>
      <c r="S39" s="58">
        <f>R39/Q39*100</f>
        <v>7.4120597779597706</v>
      </c>
      <c r="T39" s="63">
        <f>D63</f>
        <v>109</v>
      </c>
      <c r="U39" s="64">
        <f>Q63</f>
        <v>1.2567359258333335</v>
      </c>
    </row>
    <row r="40" spans="1:21" ht="14.45" customHeight="1" x14ac:dyDescent="0.25">
      <c r="A40" s="18">
        <v>110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0.56120000000000003</v>
      </c>
      <c r="H40">
        <v>4.0599999999999997E-2</v>
      </c>
      <c r="I40" s="56"/>
      <c r="J40" s="57">
        <f t="shared" si="1"/>
        <v>0.52478333333333338</v>
      </c>
      <c r="K40" s="58">
        <f t="shared" si="2"/>
        <v>4.9833333333333327E-3</v>
      </c>
      <c r="L40" s="56"/>
      <c r="M40" s="62">
        <f t="shared" si="3"/>
        <v>0.5235375000000001</v>
      </c>
      <c r="N40" s="56">
        <f t="shared" si="4"/>
        <v>33.95716578750001</v>
      </c>
      <c r="O40" s="58">
        <f t="shared" si="5"/>
        <v>67.91433157500002</v>
      </c>
      <c r="P40" s="56">
        <f t="shared" si="6"/>
        <v>6.791433157500002</v>
      </c>
      <c r="Q40" s="57"/>
      <c r="R40" s="56"/>
      <c r="S40" s="58"/>
      <c r="T40" s="63">
        <f>D69</f>
        <v>110</v>
      </c>
      <c r="U40" s="64">
        <f>Q66</f>
        <v>0.49786222583333345</v>
      </c>
    </row>
    <row r="41" spans="1:21" ht="14.45" customHeight="1" x14ac:dyDescent="0.25">
      <c r="A41" s="18">
        <v>111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0.56030000000000002</v>
      </c>
      <c r="H41">
        <v>4.2299999999999997E-2</v>
      </c>
      <c r="I41" s="56"/>
      <c r="J41" s="57">
        <f t="shared" si="1"/>
        <v>0.52388333333333337</v>
      </c>
      <c r="K41" s="58">
        <f t="shared" si="2"/>
        <v>6.6833333333333328E-3</v>
      </c>
      <c r="L41" s="56"/>
      <c r="M41" s="62">
        <f t="shared" si="3"/>
        <v>0.52221250000000008</v>
      </c>
      <c r="N41" s="56">
        <f t="shared" si="4"/>
        <v>33.871224962500008</v>
      </c>
      <c r="O41" s="58">
        <f t="shared" si="5"/>
        <v>67.742449925000017</v>
      </c>
      <c r="P41" s="56">
        <f t="shared" si="6"/>
        <v>6.7742449925000017</v>
      </c>
      <c r="Q41" s="57"/>
      <c r="R41" s="56"/>
      <c r="S41" s="58"/>
      <c r="T41" s="63">
        <f>D72</f>
        <v>111</v>
      </c>
      <c r="U41" s="64">
        <f>Q69</f>
        <v>0.41019177416666669</v>
      </c>
    </row>
    <row r="42" spans="1:21" ht="14.45" customHeight="1" x14ac:dyDescent="0.25">
      <c r="A42" s="18">
        <v>112</v>
      </c>
      <c r="B42" s="30">
        <v>10</v>
      </c>
      <c r="D42" s="78">
        <f>A32</f>
        <v>102</v>
      </c>
      <c r="E42" s="12" t="s">
        <v>65</v>
      </c>
      <c r="F42" s="12">
        <f>B32</f>
        <v>10</v>
      </c>
      <c r="G42">
        <v>0.28420000000000001</v>
      </c>
      <c r="H42">
        <v>4.0500000000000001E-2</v>
      </c>
      <c r="I42" s="56"/>
      <c r="J42" s="57">
        <f t="shared" si="1"/>
        <v>0.24778333333333336</v>
      </c>
      <c r="K42" s="58">
        <f t="shared" si="2"/>
        <v>4.8833333333333367E-3</v>
      </c>
      <c r="L42" s="56"/>
      <c r="M42" s="62">
        <f t="shared" si="3"/>
        <v>0.24656250000000002</v>
      </c>
      <c r="N42" s="56">
        <f t="shared" si="4"/>
        <v>15.992290312500002</v>
      </c>
      <c r="O42" s="58">
        <f t="shared" si="5"/>
        <v>31.984580625000003</v>
      </c>
      <c r="P42" s="56">
        <f t="shared" si="6"/>
        <v>3.1984580625000003</v>
      </c>
      <c r="Q42" s="57">
        <f>AVERAGE(P42:P44)</f>
        <v>3.5023318475000003</v>
      </c>
      <c r="R42" s="56">
        <f>STDEV(P42:P44)</f>
        <v>0.27099889072743094</v>
      </c>
      <c r="S42" s="58">
        <f>R42/Q42*100</f>
        <v>7.7376702873222225</v>
      </c>
      <c r="T42" s="63">
        <f>D75</f>
        <v>112</v>
      </c>
      <c r="U42" s="64">
        <f>Q72</f>
        <v>0.61288239916666665</v>
      </c>
    </row>
    <row r="43" spans="1:21" ht="14.45" customHeight="1" x14ac:dyDescent="0.25">
      <c r="A43" s="18">
        <v>113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0.3145</v>
      </c>
      <c r="H43">
        <v>4.1099999999999998E-2</v>
      </c>
      <c r="I43" s="56"/>
      <c r="J43" s="57">
        <f t="shared" si="1"/>
        <v>0.27808333333333335</v>
      </c>
      <c r="K43" s="58">
        <f t="shared" si="2"/>
        <v>5.4833333333333331E-3</v>
      </c>
      <c r="L43" s="56"/>
      <c r="M43" s="62">
        <f t="shared" si="3"/>
        <v>0.27671250000000003</v>
      </c>
      <c r="N43" s="56">
        <f t="shared" si="4"/>
        <v>17.947849462500002</v>
      </c>
      <c r="O43" s="58">
        <f t="shared" si="5"/>
        <v>35.895698925000005</v>
      </c>
      <c r="P43" s="56">
        <f t="shared" si="6"/>
        <v>3.5895698925000006</v>
      </c>
      <c r="Q43" s="57"/>
      <c r="R43" s="56"/>
      <c r="S43" s="58"/>
      <c r="T43" s="63">
        <f>D78</f>
        <v>113</v>
      </c>
      <c r="U43" s="64">
        <f>Q75</f>
        <v>0.76130598750000011</v>
      </c>
    </row>
    <row r="44" spans="1:21" ht="14.45" customHeight="1" x14ac:dyDescent="0.25">
      <c r="A44" s="18">
        <v>114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0.3246</v>
      </c>
      <c r="H44">
        <v>4.1599999999999998E-2</v>
      </c>
      <c r="I44" s="56"/>
      <c r="J44" s="57">
        <f t="shared" si="1"/>
        <v>0.28818333333333335</v>
      </c>
      <c r="K44" s="58">
        <f t="shared" si="2"/>
        <v>5.9833333333333336E-3</v>
      </c>
      <c r="L44" s="56"/>
      <c r="M44" s="62">
        <f t="shared" si="3"/>
        <v>0.28668750000000004</v>
      </c>
      <c r="N44" s="56">
        <f t="shared" si="4"/>
        <v>18.594837937500003</v>
      </c>
      <c r="O44" s="58">
        <f t="shared" si="5"/>
        <v>37.189675875000006</v>
      </c>
      <c r="P44" s="56">
        <f t="shared" si="6"/>
        <v>3.7189675875000008</v>
      </c>
      <c r="Q44" s="57"/>
      <c r="R44" s="56"/>
      <c r="S44" s="58"/>
      <c r="T44" s="63">
        <f>D81</f>
        <v>114</v>
      </c>
      <c r="U44" s="64">
        <f>Q78</f>
        <v>0.63407032583333345</v>
      </c>
    </row>
    <row r="45" spans="1:21" ht="14.45" customHeight="1" x14ac:dyDescent="0.25">
      <c r="A45" s="18">
        <v>115</v>
      </c>
      <c r="B45" s="30">
        <v>10</v>
      </c>
      <c r="D45" s="78">
        <f>A33</f>
        <v>103</v>
      </c>
      <c r="E45" s="12" t="s">
        <v>68</v>
      </c>
      <c r="F45" s="12">
        <f>B33</f>
        <v>10</v>
      </c>
      <c r="G45">
        <v>6.0100000000000001E-2</v>
      </c>
      <c r="H45">
        <v>3.6200000000000003E-2</v>
      </c>
      <c r="I45" s="56"/>
      <c r="J45" s="57">
        <f t="shared" si="1"/>
        <v>2.3683333333333334E-2</v>
      </c>
      <c r="K45" s="58">
        <f t="shared" si="2"/>
        <v>5.8333333333333848E-4</v>
      </c>
      <c r="L45" s="56"/>
      <c r="M45" s="62">
        <f t="shared" si="3"/>
        <v>2.3537499999999999E-2</v>
      </c>
      <c r="N45" s="56">
        <f t="shared" si="4"/>
        <v>1.5266657875</v>
      </c>
      <c r="O45" s="58">
        <f t="shared" si="5"/>
        <v>3.0533315750000001</v>
      </c>
      <c r="P45" s="56">
        <f t="shared" si="6"/>
        <v>0.30533315750000001</v>
      </c>
      <c r="Q45" s="57">
        <f>AVERAGE(P45:P47)</f>
        <v>0.34197962249999997</v>
      </c>
      <c r="R45" s="56">
        <f>STDEV(P45:P47)</f>
        <v>3.1918927798614632E-2</v>
      </c>
      <c r="S45" s="58">
        <f>R45/Q45*100</f>
        <v>9.3335759497233308</v>
      </c>
      <c r="T45" s="63">
        <f>D84</f>
        <v>115</v>
      </c>
      <c r="U45" s="64">
        <f>Q81</f>
        <v>1.1715518125</v>
      </c>
    </row>
    <row r="46" spans="1:21" ht="14.45" customHeight="1" x14ac:dyDescent="0.25">
      <c r="A46" s="18">
        <v>116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6.4899999999999999E-2</v>
      </c>
      <c r="H46">
        <v>3.7400000000000003E-2</v>
      </c>
      <c r="I46" s="56"/>
      <c r="J46" s="57">
        <f t="shared" si="1"/>
        <v>2.8483333333333333E-2</v>
      </c>
      <c r="K46" s="58">
        <f t="shared" si="2"/>
        <v>1.7833333333333382E-3</v>
      </c>
      <c r="L46" s="56"/>
      <c r="M46" s="62">
        <f t="shared" si="3"/>
        <v>2.80375E-2</v>
      </c>
      <c r="N46" s="56">
        <f t="shared" si="4"/>
        <v>1.8185402875000001</v>
      </c>
      <c r="O46" s="58">
        <f t="shared" si="5"/>
        <v>3.6370805750000001</v>
      </c>
      <c r="P46" s="56">
        <f t="shared" si="6"/>
        <v>0.36370805750000001</v>
      </c>
      <c r="Q46" s="57"/>
      <c r="R46" s="56"/>
      <c r="S46" s="58"/>
      <c r="T46" s="63">
        <f>D87</f>
        <v>116</v>
      </c>
      <c r="U46" s="64">
        <f>Q84</f>
        <v>2.6401129541666664</v>
      </c>
    </row>
    <row r="47" spans="1:21" ht="14.45" customHeight="1" x14ac:dyDescent="0.25">
      <c r="A47" s="18">
        <v>117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6.4299999999999996E-2</v>
      </c>
      <c r="H47">
        <v>3.7100000000000001E-2</v>
      </c>
      <c r="I47" s="56"/>
      <c r="J47" s="57">
        <f t="shared" si="1"/>
        <v>2.7883333333333329E-2</v>
      </c>
      <c r="K47" s="58">
        <f t="shared" si="2"/>
        <v>1.4833333333333365E-3</v>
      </c>
      <c r="L47" s="56"/>
      <c r="M47" s="62">
        <f t="shared" si="3"/>
        <v>2.7512499999999995E-2</v>
      </c>
      <c r="N47" s="56">
        <f t="shared" si="4"/>
        <v>1.7844882624999998</v>
      </c>
      <c r="O47" s="58">
        <f t="shared" si="5"/>
        <v>3.5689765249999996</v>
      </c>
      <c r="P47" s="56">
        <f t="shared" si="6"/>
        <v>0.35689765249999994</v>
      </c>
      <c r="Q47" s="57"/>
      <c r="R47" s="56"/>
      <c r="S47" s="58"/>
      <c r="T47" s="63">
        <f>D90</f>
        <v>117</v>
      </c>
      <c r="U47" s="64">
        <f>Q87</f>
        <v>1.3037601508333334</v>
      </c>
    </row>
    <row r="48" spans="1:21" ht="14.45" customHeight="1" x14ac:dyDescent="0.25">
      <c r="A48" s="18">
        <v>118</v>
      </c>
      <c r="B48" s="30">
        <v>10</v>
      </c>
      <c r="D48" s="78">
        <f>A34</f>
        <v>104</v>
      </c>
      <c r="E48" s="12" t="s">
        <v>71</v>
      </c>
      <c r="F48" s="12">
        <f>B34</f>
        <v>10</v>
      </c>
      <c r="G48">
        <v>0.1207</v>
      </c>
      <c r="H48">
        <v>4.0099999999999997E-2</v>
      </c>
      <c r="I48" s="56"/>
      <c r="J48" s="57">
        <f t="shared" si="1"/>
        <v>8.4283333333333335E-2</v>
      </c>
      <c r="K48" s="58">
        <f t="shared" si="2"/>
        <v>4.4833333333333322E-3</v>
      </c>
      <c r="L48" s="56"/>
      <c r="M48" s="62">
        <f t="shared" si="3"/>
        <v>8.31625E-2</v>
      </c>
      <c r="N48" s="56">
        <f t="shared" si="4"/>
        <v>5.3940029125000004</v>
      </c>
      <c r="O48" s="58">
        <f t="shared" si="5"/>
        <v>10.788005825000001</v>
      </c>
      <c r="P48" s="56">
        <f t="shared" si="6"/>
        <v>1.0788005825</v>
      </c>
      <c r="Q48" s="57">
        <f>AVERAGE(P48:P50)</f>
        <v>1.0576126558333334</v>
      </c>
      <c r="R48" s="56">
        <f>STDEV(P48:P50)</f>
        <v>3.4476128187871345E-2</v>
      </c>
      <c r="S48" s="58">
        <f>R48/Q48*100</f>
        <v>3.2598066974440925</v>
      </c>
      <c r="T48" s="63">
        <f>D96</f>
        <v>118</v>
      </c>
      <c r="U48" s="64">
        <f>Q90</f>
        <v>0.92540431750000007</v>
      </c>
    </row>
    <row r="49" spans="1:22" ht="14.45" customHeight="1" x14ac:dyDescent="0.25">
      <c r="A49" s="18">
        <v>119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0.11509999999999999</v>
      </c>
      <c r="H49">
        <v>3.6499999999999998E-2</v>
      </c>
      <c r="I49" s="56"/>
      <c r="J49" s="57">
        <f t="shared" si="1"/>
        <v>7.8683333333333327E-2</v>
      </c>
      <c r="K49" s="58">
        <f t="shared" si="2"/>
        <v>8.8333333333333319E-4</v>
      </c>
      <c r="L49" s="56"/>
      <c r="M49" s="62">
        <f t="shared" si="3"/>
        <v>7.8462499999999991E-2</v>
      </c>
      <c r="N49" s="56">
        <f t="shared" si="4"/>
        <v>5.0891562124999998</v>
      </c>
      <c r="O49" s="58">
        <f t="shared" si="5"/>
        <v>10.178312425</v>
      </c>
      <c r="P49" s="56">
        <f t="shared" si="6"/>
        <v>1.0178312425</v>
      </c>
      <c r="Q49" s="57"/>
      <c r="R49" s="56"/>
      <c r="S49" s="58"/>
      <c r="T49" s="63">
        <f>D99</f>
        <v>119</v>
      </c>
      <c r="U49" s="64">
        <f>Q93</f>
        <v>2.4565563241666672</v>
      </c>
    </row>
    <row r="50" spans="1:22" ht="14.45" customHeight="1" x14ac:dyDescent="0.25">
      <c r="A50" s="18">
        <v>120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0.1198</v>
      </c>
      <c r="H50">
        <v>3.73E-2</v>
      </c>
      <c r="I50" s="56"/>
      <c r="J50" s="57">
        <f t="shared" si="1"/>
        <v>8.3383333333333337E-2</v>
      </c>
      <c r="K50" s="58">
        <f t="shared" si="2"/>
        <v>1.6833333333333353E-3</v>
      </c>
      <c r="L50" s="56"/>
      <c r="M50" s="62">
        <f t="shared" si="3"/>
        <v>8.2962500000000008E-2</v>
      </c>
      <c r="N50" s="56">
        <f t="shared" si="4"/>
        <v>5.3810307125000012</v>
      </c>
      <c r="O50" s="58">
        <f t="shared" si="5"/>
        <v>10.762061425000002</v>
      </c>
      <c r="P50" s="56">
        <f t="shared" si="6"/>
        <v>1.0762061425000002</v>
      </c>
      <c r="Q50" s="57"/>
      <c r="R50" s="56"/>
      <c r="S50" s="58"/>
      <c r="T50" s="67">
        <f>D102</f>
        <v>120</v>
      </c>
      <c r="U50" s="68">
        <f>Q96</f>
        <v>0.50142958083333333</v>
      </c>
    </row>
    <row r="51" spans="1:22" ht="14.45" customHeight="1" x14ac:dyDescent="0.25">
      <c r="D51" s="78">
        <f>A35</f>
        <v>105</v>
      </c>
      <c r="E51" s="12" t="s">
        <v>74</v>
      </c>
      <c r="F51" s="12">
        <f>B35</f>
        <v>10</v>
      </c>
      <c r="G51">
        <v>0.1439</v>
      </c>
      <c r="H51">
        <v>3.8100000000000002E-2</v>
      </c>
      <c r="I51" s="56"/>
      <c r="J51" s="57">
        <f t="shared" si="1"/>
        <v>0.10748333333333333</v>
      </c>
      <c r="K51" s="58">
        <f t="shared" si="2"/>
        <v>2.4833333333333374E-3</v>
      </c>
      <c r="L51" s="56"/>
      <c r="M51" s="62">
        <f t="shared" si="3"/>
        <v>0.1068625</v>
      </c>
      <c r="N51" s="56">
        <f t="shared" si="4"/>
        <v>6.9312086125000008</v>
      </c>
      <c r="O51" s="58">
        <f t="shared" si="5"/>
        <v>13.862417225000002</v>
      </c>
      <c r="P51" s="56">
        <f t="shared" si="6"/>
        <v>1.3862417225000001</v>
      </c>
      <c r="Q51" s="57">
        <f>AVERAGE(P51:P53)</f>
        <v>1.4708853275000002</v>
      </c>
      <c r="R51" s="56">
        <f>STDEV(P51:P53)</f>
        <v>7.6981974089780844E-2</v>
      </c>
      <c r="S51" s="58">
        <f>R51/Q51*100</f>
        <v>5.233716908484209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0.15190000000000001</v>
      </c>
      <c r="H52">
        <v>3.8199999999999998E-2</v>
      </c>
      <c r="I52" s="56"/>
      <c r="J52" s="57">
        <f t="shared" si="1"/>
        <v>0.11548333333333334</v>
      </c>
      <c r="K52" s="58">
        <f t="shared" si="2"/>
        <v>2.5833333333333333E-3</v>
      </c>
      <c r="L52" s="56"/>
      <c r="M52" s="62">
        <f t="shared" si="3"/>
        <v>0.11483750000000001</v>
      </c>
      <c r="N52" s="56">
        <f t="shared" si="4"/>
        <v>7.4484750875000012</v>
      </c>
      <c r="O52" s="58">
        <f t="shared" si="5"/>
        <v>14.896950175000002</v>
      </c>
      <c r="P52" s="56">
        <f t="shared" si="6"/>
        <v>1.4896950175000003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0.15540000000000001</v>
      </c>
      <c r="H53">
        <v>3.7699999999999997E-2</v>
      </c>
      <c r="I53" s="56"/>
      <c r="J53" s="57">
        <f t="shared" si="1"/>
        <v>0.11898333333333334</v>
      </c>
      <c r="K53" s="58">
        <f t="shared" si="2"/>
        <v>2.0833333333333329E-3</v>
      </c>
      <c r="L53" s="56"/>
      <c r="M53" s="62">
        <f t="shared" si="3"/>
        <v>0.11846250000000001</v>
      </c>
      <c r="N53" s="56">
        <f t="shared" si="4"/>
        <v>7.6835962125000012</v>
      </c>
      <c r="O53" s="58">
        <f t="shared" si="5"/>
        <v>15.367192425000002</v>
      </c>
      <c r="P53" s="56">
        <f t="shared" si="6"/>
        <v>1.5367192425000002</v>
      </c>
      <c r="Q53" s="57"/>
      <c r="R53" s="56"/>
      <c r="S53" s="58"/>
      <c r="T53" s="56"/>
    </row>
    <row r="54" spans="1:22" ht="14.45" customHeight="1" x14ac:dyDescent="0.25">
      <c r="D54" s="78">
        <f>A36</f>
        <v>106</v>
      </c>
      <c r="E54" s="12" t="s">
        <v>77</v>
      </c>
      <c r="F54" s="12">
        <f>B36</f>
        <v>10</v>
      </c>
      <c r="G54">
        <v>0.32679999999999998</v>
      </c>
      <c r="H54">
        <v>3.7600000000000001E-2</v>
      </c>
      <c r="I54" s="56"/>
      <c r="J54" s="57">
        <f t="shared" si="1"/>
        <v>0.29038333333333333</v>
      </c>
      <c r="K54" s="58">
        <f t="shared" si="2"/>
        <v>1.9833333333333369E-3</v>
      </c>
      <c r="L54" s="56"/>
      <c r="M54" s="62">
        <f t="shared" si="3"/>
        <v>0.28988749999999996</v>
      </c>
      <c r="N54" s="56">
        <f t="shared" si="4"/>
        <v>18.802393137499998</v>
      </c>
      <c r="O54" s="58">
        <f t="shared" si="5"/>
        <v>37.604786274999995</v>
      </c>
      <c r="P54" s="56">
        <f t="shared" si="6"/>
        <v>3.7604786274999995</v>
      </c>
      <c r="Q54" s="57">
        <f>AVERAGE(P54:P56)</f>
        <v>4.2084519341666669</v>
      </c>
      <c r="R54" s="56">
        <f>STDEV(P54:P56)</f>
        <v>0.38902846136714964</v>
      </c>
      <c r="S54" s="58">
        <f>R54/Q54*100</f>
        <v>9.2439801488236029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0.37659999999999999</v>
      </c>
      <c r="H55">
        <v>3.85E-2</v>
      </c>
      <c r="I55" s="56"/>
      <c r="J55" s="57">
        <f t="shared" si="1"/>
        <v>0.34018333333333334</v>
      </c>
      <c r="K55" s="58">
        <f t="shared" si="2"/>
        <v>2.883333333333335E-3</v>
      </c>
      <c r="L55" s="56"/>
      <c r="M55" s="62">
        <f t="shared" si="3"/>
        <v>0.3394625</v>
      </c>
      <c r="N55" s="56">
        <f t="shared" si="4"/>
        <v>22.0178772125</v>
      </c>
      <c r="O55" s="58">
        <f t="shared" si="5"/>
        <v>44.035754425</v>
      </c>
      <c r="P55" s="56">
        <f t="shared" si="6"/>
        <v>4.4035754425000002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0.38100000000000001</v>
      </c>
      <c r="H56">
        <v>3.8300000000000001E-2</v>
      </c>
      <c r="I56" s="56"/>
      <c r="J56" s="57">
        <f t="shared" si="1"/>
        <v>0.34458333333333335</v>
      </c>
      <c r="K56" s="58">
        <f t="shared" si="2"/>
        <v>2.6833333333333362E-3</v>
      </c>
      <c r="L56" s="56"/>
      <c r="M56" s="62">
        <f t="shared" si="3"/>
        <v>0.34391250000000001</v>
      </c>
      <c r="N56" s="56">
        <f t="shared" si="4"/>
        <v>22.306508662500001</v>
      </c>
      <c r="O56" s="58">
        <f t="shared" si="5"/>
        <v>44.613017325000001</v>
      </c>
      <c r="P56" s="56">
        <f t="shared" si="6"/>
        <v>4.4613017325</v>
      </c>
      <c r="Q56" s="57"/>
      <c r="R56" s="56"/>
      <c r="S56" s="58"/>
      <c r="T56" s="56"/>
    </row>
    <row r="57" spans="1:22" ht="14.45" customHeight="1" x14ac:dyDescent="0.25">
      <c r="D57" s="78">
        <f>A37</f>
        <v>107</v>
      </c>
      <c r="E57" s="12" t="s">
        <v>80</v>
      </c>
      <c r="F57" s="12">
        <f>B37</f>
        <v>10</v>
      </c>
      <c r="G57">
        <v>0.3856</v>
      </c>
      <c r="H57">
        <v>0.2525</v>
      </c>
      <c r="I57" s="56"/>
      <c r="J57" s="57">
        <f t="shared" si="1"/>
        <v>0.34918333333333335</v>
      </c>
      <c r="K57" s="58">
        <f t="shared" si="2"/>
        <v>0.21688333333333334</v>
      </c>
      <c r="L57" s="56"/>
      <c r="M57" s="62">
        <f t="shared" si="3"/>
        <v>0.29496250000000002</v>
      </c>
      <c r="N57" s="56">
        <f t="shared" si="4"/>
        <v>19.131562712500003</v>
      </c>
      <c r="O57" s="58">
        <f t="shared" si="5"/>
        <v>38.263125425000005</v>
      </c>
      <c r="P57" s="56">
        <f t="shared" si="6"/>
        <v>3.8263125425000006</v>
      </c>
      <c r="Q57" s="57">
        <f>AVERAGE(P57:P59)</f>
        <v>2.5631445675000002</v>
      </c>
      <c r="R57" s="56">
        <f>STDEV(P57:P59)</f>
        <v>1.094278742618366</v>
      </c>
      <c r="S57" s="58">
        <f>R57/Q57*100</f>
        <v>42.692821797628312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0.18790000000000001</v>
      </c>
      <c r="H58">
        <v>3.7499999999999999E-2</v>
      </c>
      <c r="I58" s="56"/>
      <c r="J58" s="57">
        <f t="shared" si="1"/>
        <v>0.15148333333333336</v>
      </c>
      <c r="K58" s="58">
        <f t="shared" si="2"/>
        <v>1.8833333333333341E-3</v>
      </c>
      <c r="L58" s="56"/>
      <c r="M58" s="62">
        <f t="shared" si="3"/>
        <v>0.15101250000000002</v>
      </c>
      <c r="N58" s="56">
        <f t="shared" si="4"/>
        <v>9.7948217625000016</v>
      </c>
      <c r="O58" s="58">
        <f t="shared" si="5"/>
        <v>19.589643525000003</v>
      </c>
      <c r="P58" s="56">
        <f t="shared" si="6"/>
        <v>1.9589643525000002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0.18329999999999999</v>
      </c>
      <c r="H59">
        <v>3.5999999999999997E-2</v>
      </c>
      <c r="I59" s="56"/>
      <c r="J59" s="57">
        <f t="shared" si="1"/>
        <v>0.14688333333333331</v>
      </c>
      <c r="K59" s="58">
        <f t="shared" si="2"/>
        <v>3.8333333333333275E-4</v>
      </c>
      <c r="L59" s="56"/>
      <c r="M59" s="62">
        <f t="shared" si="3"/>
        <v>0.14678749999999999</v>
      </c>
      <c r="N59" s="56">
        <f t="shared" si="4"/>
        <v>9.5207840375000004</v>
      </c>
      <c r="O59" s="58">
        <f t="shared" si="5"/>
        <v>19.041568075000001</v>
      </c>
      <c r="P59" s="56">
        <f t="shared" si="6"/>
        <v>1.9041568075000002</v>
      </c>
      <c r="Q59" s="57"/>
      <c r="R59" s="56"/>
      <c r="S59" s="58"/>
      <c r="T59" s="56"/>
    </row>
    <row r="60" spans="1:22" ht="14.45" customHeight="1" x14ac:dyDescent="0.25">
      <c r="D60" s="78">
        <f>A38</f>
        <v>108</v>
      </c>
      <c r="E60" s="12" t="s">
        <v>83</v>
      </c>
      <c r="F60" s="12">
        <f>B38</f>
        <v>10</v>
      </c>
      <c r="G60">
        <v>9.4299999999999995E-2</v>
      </c>
      <c r="H60">
        <v>3.6799999999999999E-2</v>
      </c>
      <c r="I60" s="56"/>
      <c r="J60" s="57">
        <f t="shared" si="1"/>
        <v>5.7883333333333328E-2</v>
      </c>
      <c r="K60" s="58">
        <f t="shared" si="2"/>
        <v>1.1833333333333348E-3</v>
      </c>
      <c r="L60" s="56"/>
      <c r="M60" s="62">
        <f t="shared" si="3"/>
        <v>5.7587499999999993E-2</v>
      </c>
      <c r="N60" s="56">
        <f t="shared" si="4"/>
        <v>3.7351828374999996</v>
      </c>
      <c r="O60" s="58">
        <f t="shared" si="5"/>
        <v>7.4703656749999992</v>
      </c>
      <c r="P60" s="56">
        <f t="shared" si="6"/>
        <v>0.74703656749999992</v>
      </c>
      <c r="Q60" s="57">
        <f>AVERAGE(P60:P62)</f>
        <v>0.83589613750000014</v>
      </c>
      <c r="R60" s="56">
        <f>STDEV(P60:P62)</f>
        <v>7.9376588641290699E-2</v>
      </c>
      <c r="S60" s="58">
        <f>R60/Q60*100</f>
        <v>9.4959870108612243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0.1033</v>
      </c>
      <c r="H61">
        <v>3.7699999999999997E-2</v>
      </c>
      <c r="I61" s="56"/>
      <c r="J61" s="57">
        <f t="shared" si="1"/>
        <v>6.6883333333333336E-2</v>
      </c>
      <c r="K61" s="58">
        <f t="shared" si="2"/>
        <v>2.0833333333333329E-3</v>
      </c>
      <c r="L61" s="56"/>
      <c r="M61" s="62">
        <f t="shared" si="3"/>
        <v>6.6362500000000005E-2</v>
      </c>
      <c r="N61" s="56">
        <f t="shared" si="4"/>
        <v>4.3043381125000009</v>
      </c>
      <c r="O61" s="58">
        <f t="shared" si="5"/>
        <v>8.6086762250000017</v>
      </c>
      <c r="P61" s="56">
        <f t="shared" si="6"/>
        <v>0.86086762250000015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0.1071</v>
      </c>
      <c r="H62">
        <v>4.0899999999999999E-2</v>
      </c>
      <c r="I62" s="56"/>
      <c r="J62" s="57">
        <f t="shared" si="1"/>
        <v>7.0683333333333334E-2</v>
      </c>
      <c r="K62" s="58">
        <f t="shared" si="2"/>
        <v>5.2833333333333343E-3</v>
      </c>
      <c r="L62" s="56"/>
      <c r="M62" s="62">
        <f t="shared" si="3"/>
        <v>6.9362499999999994E-2</v>
      </c>
      <c r="N62" s="56">
        <f t="shared" si="4"/>
        <v>4.4989211124999997</v>
      </c>
      <c r="O62" s="58">
        <f t="shared" si="5"/>
        <v>8.9978422249999994</v>
      </c>
      <c r="P62" s="56">
        <f t="shared" si="6"/>
        <v>0.8997842224999999</v>
      </c>
      <c r="Q62" s="57"/>
      <c r="R62" s="56"/>
      <c r="S62" s="58"/>
      <c r="T62" s="56"/>
    </row>
    <row r="63" spans="1:22" ht="14.45" customHeight="1" x14ac:dyDescent="0.25">
      <c r="D63" s="78">
        <f>A39</f>
        <v>109</v>
      </c>
      <c r="E63" s="12" t="s">
        <v>86</v>
      </c>
      <c r="F63" s="12">
        <f>B39</f>
        <v>10</v>
      </c>
      <c r="G63">
        <v>0.12759999999999999</v>
      </c>
      <c r="H63">
        <v>3.9100000000000003E-2</v>
      </c>
      <c r="I63" s="56"/>
      <c r="J63" s="57">
        <f t="shared" si="1"/>
        <v>9.1183333333333325E-2</v>
      </c>
      <c r="K63" s="58">
        <f t="shared" si="2"/>
        <v>3.4833333333333383E-3</v>
      </c>
      <c r="L63" s="56"/>
      <c r="M63" s="62">
        <f t="shared" si="3"/>
        <v>9.031249999999999E-2</v>
      </c>
      <c r="N63" s="56">
        <f t="shared" si="4"/>
        <v>5.8577590624999996</v>
      </c>
      <c r="O63" s="58">
        <f t="shared" si="5"/>
        <v>11.715518124999999</v>
      </c>
      <c r="P63" s="56">
        <f t="shared" si="6"/>
        <v>1.1715518125</v>
      </c>
      <c r="Q63" s="57">
        <f>AVERAGE(P63:P65)</f>
        <v>1.2567359258333335</v>
      </c>
      <c r="R63" s="56">
        <f>STDEV(P63:P65)</f>
        <v>7.384285508153203E-2</v>
      </c>
      <c r="S63" s="58">
        <f>R63/Q63*100</f>
        <v>5.8757654303999711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0.13769999999999999</v>
      </c>
      <c r="H64">
        <v>3.9100000000000003E-2</v>
      </c>
      <c r="I64" s="56"/>
      <c r="J64" s="57">
        <f t="shared" si="1"/>
        <v>0.10128333333333332</v>
      </c>
      <c r="K64" s="58">
        <f t="shared" si="2"/>
        <v>3.4833333333333383E-3</v>
      </c>
      <c r="L64" s="56"/>
      <c r="M64" s="62">
        <f t="shared" si="3"/>
        <v>0.10041249999999999</v>
      </c>
      <c r="N64" s="56">
        <f t="shared" si="4"/>
        <v>6.5128551624999993</v>
      </c>
      <c r="O64" s="58">
        <f t="shared" si="5"/>
        <v>13.025710324999999</v>
      </c>
      <c r="P64" s="56">
        <f t="shared" si="6"/>
        <v>1.3025710324999999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0.1371</v>
      </c>
      <c r="H65">
        <v>3.8699999999999998E-2</v>
      </c>
      <c r="I65" s="56"/>
      <c r="J65" s="57">
        <f t="shared" si="1"/>
        <v>0.10068333333333333</v>
      </c>
      <c r="K65" s="58">
        <f t="shared" si="2"/>
        <v>3.0833333333333338E-3</v>
      </c>
      <c r="L65" s="56"/>
      <c r="M65" s="62">
        <f t="shared" si="3"/>
        <v>9.9912500000000001E-2</v>
      </c>
      <c r="N65" s="56">
        <f t="shared" si="4"/>
        <v>6.4804246625000008</v>
      </c>
      <c r="O65" s="58">
        <f t="shared" si="5"/>
        <v>12.960849325000002</v>
      </c>
      <c r="P65" s="56">
        <f t="shared" si="6"/>
        <v>1.2960849325000001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0.28570000000000001</v>
      </c>
      <c r="H66">
        <v>3.6200000000000003E-2</v>
      </c>
      <c r="I66" s="56"/>
      <c r="J66" s="57">
        <f>G69-$J$14</f>
        <v>3.9483333333333329E-2</v>
      </c>
      <c r="K66" s="58">
        <f>H69-$K$14</f>
        <v>3.0833333333333338E-3</v>
      </c>
      <c r="L66" s="56"/>
      <c r="M66" s="62">
        <f t="shared" si="3"/>
        <v>3.8712499999999997E-2</v>
      </c>
      <c r="N66" s="56">
        <f t="shared" si="4"/>
        <v>2.5109314624999999</v>
      </c>
      <c r="O66" s="58">
        <f t="shared" si="5"/>
        <v>5.0218629249999998</v>
      </c>
      <c r="P66" s="56">
        <f>O66/F69</f>
        <v>0.50218629250000002</v>
      </c>
      <c r="Q66" s="57">
        <f>AVERAGE(P66:P68)</f>
        <v>0.49786222583333345</v>
      </c>
      <c r="R66" s="56">
        <f>STDEV(P66:P68)</f>
        <v>4.7478665501841507E-3</v>
      </c>
      <c r="S66" s="58">
        <f>R66/Q66*100</f>
        <v>0.95365068965356048</v>
      </c>
      <c r="T66" s="56"/>
    </row>
    <row r="67" spans="4:20" ht="14.45" customHeight="1" x14ac:dyDescent="0.25">
      <c r="D67" s="71"/>
      <c r="E67" s="17" t="s">
        <v>126</v>
      </c>
      <c r="F67" s="17"/>
      <c r="G67">
        <v>1.1175999999999999</v>
      </c>
      <c r="H67">
        <v>3.6700000000000003E-2</v>
      </c>
      <c r="I67" s="56"/>
      <c r="J67" s="57">
        <f>G70-$J$14</f>
        <v>3.8883333333333339E-2</v>
      </c>
      <c r="K67" s="58">
        <f>H70-$K$14</f>
        <v>3.5833333333333342E-3</v>
      </c>
      <c r="L67" s="56"/>
      <c r="M67" s="62">
        <f t="shared" si="3"/>
        <v>3.7987500000000007E-2</v>
      </c>
      <c r="N67" s="56">
        <f t="shared" si="4"/>
        <v>2.4639072375000008</v>
      </c>
      <c r="O67" s="58">
        <f t="shared" si="5"/>
        <v>4.9278144750000017</v>
      </c>
      <c r="P67" s="56">
        <f>O67/F70</f>
        <v>0.49278144750000019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2.1393</v>
      </c>
      <c r="H68">
        <v>3.5900000000000001E-2</v>
      </c>
      <c r="I68" s="56"/>
      <c r="J68" s="57">
        <f>G71-$J$14</f>
        <v>3.8883333333333339E-2</v>
      </c>
      <c r="K68" s="58">
        <f>H71-$K$14</f>
        <v>1.7833333333333382E-3</v>
      </c>
      <c r="L68" s="56"/>
      <c r="M68" s="62">
        <f t="shared" si="3"/>
        <v>3.8437500000000006E-2</v>
      </c>
      <c r="N68" s="56">
        <f t="shared" si="4"/>
        <v>2.4930946875000006</v>
      </c>
      <c r="O68" s="58">
        <f t="shared" si="5"/>
        <v>4.9861893750000013</v>
      </c>
      <c r="P68" s="56">
        <f>O68/F71</f>
        <v>0.49861893750000014</v>
      </c>
      <c r="Q68" s="57"/>
      <c r="R68" s="56"/>
      <c r="S68" s="58"/>
      <c r="T68" s="56"/>
    </row>
    <row r="69" spans="4:20" ht="14.45" customHeight="1" x14ac:dyDescent="0.25">
      <c r="D69" s="78">
        <f>A40</f>
        <v>110</v>
      </c>
      <c r="E69" s="12" t="s">
        <v>89</v>
      </c>
      <c r="F69" s="12">
        <f>B40</f>
        <v>10</v>
      </c>
      <c r="G69">
        <v>7.5899999999999995E-2</v>
      </c>
      <c r="H69">
        <v>3.8699999999999998E-2</v>
      </c>
      <c r="I69" s="56"/>
      <c r="J69" s="57">
        <f>G72-$J$14</f>
        <v>2.9683333333333339E-2</v>
      </c>
      <c r="K69" s="58">
        <f>H72-$K$14</f>
        <v>8.8333333333333319E-4</v>
      </c>
      <c r="L69" s="56"/>
      <c r="M69" s="62">
        <f t="shared" si="3"/>
        <v>2.9462500000000006E-2</v>
      </c>
      <c r="N69" s="56">
        <f t="shared" si="4"/>
        <v>1.9109672125000006</v>
      </c>
      <c r="O69" s="58">
        <f t="shared" si="5"/>
        <v>3.8219344250000011</v>
      </c>
      <c r="P69" s="56">
        <f>O69/F72</f>
        <v>0.38219344250000009</v>
      </c>
      <c r="Q69" s="57">
        <f>AVERAGE(P69:P71)</f>
        <v>0.41019177416666669</v>
      </c>
      <c r="R69" s="56">
        <f>STDEV(P69:P71)</f>
        <v>2.4338724746950223E-2</v>
      </c>
      <c r="S69" s="58">
        <f>R69/Q69*100</f>
        <v>5.9334989826151556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7.5300000000000006E-2</v>
      </c>
      <c r="H70">
        <v>3.9199999999999999E-2</v>
      </c>
      <c r="I70" s="56"/>
      <c r="J70" s="57">
        <f>G73-$J$14</f>
        <v>3.2783333333333331E-2</v>
      </c>
      <c r="K70" s="58">
        <f>H73-$K$14</f>
        <v>9.8333333333333606E-4</v>
      </c>
      <c r="L70" s="56"/>
      <c r="M70" s="62">
        <f t="shared" si="3"/>
        <v>3.2537499999999997E-2</v>
      </c>
      <c r="N70" s="56">
        <f t="shared" si="4"/>
        <v>2.1104147874999999</v>
      </c>
      <c r="O70" s="58">
        <f t="shared" si="5"/>
        <v>4.2208295749999998</v>
      </c>
      <c r="P70" s="56">
        <f>O70/F73</f>
        <v>0.42208295749999997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7.5300000000000006E-2</v>
      </c>
      <c r="H71">
        <v>3.7400000000000003E-2</v>
      </c>
      <c r="I71" s="56"/>
      <c r="J71" s="57">
        <f>G74-$J$14</f>
        <v>3.308333333333334E-2</v>
      </c>
      <c r="K71" s="58">
        <f>H74-$K$14</f>
        <v>8.8333333333333319E-4</v>
      </c>
      <c r="L71" s="56"/>
      <c r="M71" s="62">
        <f t="shared" si="3"/>
        <v>3.2862500000000003E-2</v>
      </c>
      <c r="N71" s="56">
        <f t="shared" si="4"/>
        <v>2.1314946125000005</v>
      </c>
      <c r="O71" s="58">
        <f t="shared" si="5"/>
        <v>4.262989225000001</v>
      </c>
      <c r="P71" s="56">
        <f>O71/F74</f>
        <v>0.42629892250000012</v>
      </c>
      <c r="Q71" s="57"/>
      <c r="R71" s="56"/>
      <c r="S71" s="58"/>
      <c r="T71" s="56"/>
    </row>
    <row r="72" spans="4:20" ht="14.45" customHeight="1" x14ac:dyDescent="0.25">
      <c r="D72" s="78">
        <f>A41</f>
        <v>111</v>
      </c>
      <c r="E72" s="12" t="s">
        <v>92</v>
      </c>
      <c r="F72" s="12">
        <f>B41</f>
        <v>10</v>
      </c>
      <c r="G72">
        <v>6.6100000000000006E-2</v>
      </c>
      <c r="H72">
        <v>3.6499999999999998E-2</v>
      </c>
      <c r="I72" s="56"/>
      <c r="J72" s="57">
        <f>G75-$J$14</f>
        <v>4.5883333333333332E-2</v>
      </c>
      <c r="K72" s="58">
        <f>H75-$K$14</f>
        <v>1.8833333333333341E-3</v>
      </c>
      <c r="L72" s="56"/>
      <c r="M72" s="62">
        <f t="shared" si="3"/>
        <v>4.5412499999999995E-2</v>
      </c>
      <c r="N72" s="56">
        <f t="shared" si="4"/>
        <v>2.9455001624999997</v>
      </c>
      <c r="O72" s="58">
        <f t="shared" si="5"/>
        <v>5.8910003249999994</v>
      </c>
      <c r="P72" s="56">
        <f>O72/F75</f>
        <v>0.58910003249999998</v>
      </c>
      <c r="Q72" s="57">
        <f>AVERAGE(P72:P74)</f>
        <v>0.61288239916666665</v>
      </c>
      <c r="R72" s="56">
        <f>STDEV(P72:P74)</f>
        <v>2.0598686776924842E-2</v>
      </c>
      <c r="S72" s="58">
        <f>R72/Q72*100</f>
        <v>3.3609525750670568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6.9199999999999998E-2</v>
      </c>
      <c r="H73">
        <v>3.6600000000000001E-2</v>
      </c>
      <c r="I73" s="56"/>
      <c r="J73" s="57">
        <f>G76-$J$14</f>
        <v>4.8683333333333328E-2</v>
      </c>
      <c r="K73" s="58">
        <f>H76-$K$14</f>
        <v>1.9833333333333369E-3</v>
      </c>
      <c r="L73" s="56"/>
      <c r="M73" s="62">
        <f t="shared" si="3"/>
        <v>4.8187499999999994E-2</v>
      </c>
      <c r="N73" s="56">
        <f t="shared" si="4"/>
        <v>3.1254894374999997</v>
      </c>
      <c r="O73" s="58">
        <f t="shared" si="5"/>
        <v>6.2509788749999995</v>
      </c>
      <c r="P73" s="56">
        <f>O73/F76</f>
        <v>0.62509788749999995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6.9500000000000006E-2</v>
      </c>
      <c r="H74">
        <v>3.6499999999999998E-2</v>
      </c>
      <c r="I74" s="56"/>
      <c r="J74" s="57">
        <f>G77-$J$14</f>
        <v>4.8883333333333334E-2</v>
      </c>
      <c r="K74" s="58">
        <f>H77-$K$14</f>
        <v>2.9833333333333378E-3</v>
      </c>
      <c r="L74" s="56"/>
      <c r="M74" s="62">
        <f t="shared" si="3"/>
        <v>4.81375E-2</v>
      </c>
      <c r="N74" s="56">
        <f t="shared" si="4"/>
        <v>3.1222463875000002</v>
      </c>
      <c r="O74" s="58">
        <f t="shared" si="5"/>
        <v>6.2444927750000003</v>
      </c>
      <c r="P74" s="56">
        <f>O74/F77</f>
        <v>0.62444927750000001</v>
      </c>
      <c r="Q74" s="57"/>
      <c r="R74" s="56"/>
      <c r="S74" s="58"/>
      <c r="T74" s="56"/>
    </row>
    <row r="75" spans="4:20" ht="14.45" customHeight="1" x14ac:dyDescent="0.25">
      <c r="D75" s="78">
        <f>A42</f>
        <v>112</v>
      </c>
      <c r="E75" s="12" t="s">
        <v>95</v>
      </c>
      <c r="F75" s="12">
        <f>B42</f>
        <v>10</v>
      </c>
      <c r="G75">
        <v>8.2299999999999998E-2</v>
      </c>
      <c r="H75">
        <v>3.7499999999999999E-2</v>
      </c>
      <c r="I75" s="56"/>
      <c r="J75" s="57">
        <f>G78-$J$14</f>
        <v>6.3483333333333336E-2</v>
      </c>
      <c r="K75" s="58">
        <f>H78-$K$14</f>
        <v>3.1833333333333366E-3</v>
      </c>
      <c r="L75" s="56"/>
      <c r="M75" s="62">
        <f t="shared" si="3"/>
        <v>6.2687500000000007E-2</v>
      </c>
      <c r="N75" s="56">
        <f t="shared" si="4"/>
        <v>4.0659739375000008</v>
      </c>
      <c r="O75" s="58">
        <f t="shared" si="5"/>
        <v>8.1319478750000016</v>
      </c>
      <c r="P75" s="56">
        <f>O75/F78</f>
        <v>0.81319478750000018</v>
      </c>
      <c r="Q75" s="57">
        <f>AVERAGE(P75:P77)</f>
        <v>0.76130598750000011</v>
      </c>
      <c r="R75" s="56">
        <f>STDEV(P75:P77)</f>
        <v>4.5235607100318681E-2</v>
      </c>
      <c r="S75" s="58">
        <f>R75/Q75*100</f>
        <v>5.9418430753270117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8.5099999999999995E-2</v>
      </c>
      <c r="H76">
        <v>3.7600000000000001E-2</v>
      </c>
      <c r="I76" s="56"/>
      <c r="J76" s="57">
        <f>G79-$J$14</f>
        <v>5.8083333333333334E-2</v>
      </c>
      <c r="K76" s="58">
        <f>H79-$K$14</f>
        <v>3.9833333333333387E-3</v>
      </c>
      <c r="L76" s="56"/>
      <c r="M76" s="62">
        <f t="shared" si="3"/>
        <v>5.7087499999999999E-2</v>
      </c>
      <c r="N76" s="56">
        <f t="shared" si="4"/>
        <v>3.7027523375000002</v>
      </c>
      <c r="O76" s="58">
        <f t="shared" si="5"/>
        <v>7.4055046750000004</v>
      </c>
      <c r="P76" s="56">
        <f>O76/F79</f>
        <v>0.74055046750000009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8.5300000000000001E-2</v>
      </c>
      <c r="H77">
        <v>3.8600000000000002E-2</v>
      </c>
      <c r="I77" s="56"/>
      <c r="J77" s="57">
        <f>G80-$J$14</f>
        <v>5.7283333333333339E-2</v>
      </c>
      <c r="K77" s="58">
        <f>H80-$K$14</f>
        <v>3.9833333333333387E-3</v>
      </c>
      <c r="L77" s="56"/>
      <c r="M77" s="62">
        <f t="shared" si="3"/>
        <v>5.6287500000000004E-2</v>
      </c>
      <c r="N77" s="56">
        <f t="shared" si="4"/>
        <v>3.6508635375000007</v>
      </c>
      <c r="O77" s="58">
        <f t="shared" si="5"/>
        <v>7.3017270750000014</v>
      </c>
      <c r="P77" s="56">
        <f>O77/F80</f>
        <v>0.73017270750000018</v>
      </c>
      <c r="Q77" s="57"/>
      <c r="R77" s="56"/>
      <c r="S77" s="58"/>
      <c r="T77" s="56"/>
    </row>
    <row r="78" spans="4:20" ht="14.45" customHeight="1" x14ac:dyDescent="0.25">
      <c r="D78" s="78">
        <f>A43</f>
        <v>113</v>
      </c>
      <c r="E78" s="12" t="s">
        <v>98</v>
      </c>
      <c r="F78" s="12">
        <f>B43</f>
        <v>10</v>
      </c>
      <c r="G78">
        <v>9.9900000000000003E-2</v>
      </c>
      <c r="H78">
        <v>3.8800000000000001E-2</v>
      </c>
      <c r="I78" s="56"/>
      <c r="J78" s="57">
        <f>G81-$J$14</f>
        <v>4.5983333333333334E-2</v>
      </c>
      <c r="K78" s="58">
        <f>H81-$K$14</f>
        <v>2.5833333333333333E-3</v>
      </c>
      <c r="L78" s="56"/>
      <c r="M78" s="62">
        <f t="shared" si="3"/>
        <v>4.5337500000000003E-2</v>
      </c>
      <c r="N78" s="56">
        <f t="shared" si="4"/>
        <v>2.9406355875000005</v>
      </c>
      <c r="O78" s="58">
        <f t="shared" si="5"/>
        <v>5.8812711750000011</v>
      </c>
      <c r="P78" s="56">
        <f>O78/F81</f>
        <v>0.58812711750000013</v>
      </c>
      <c r="Q78" s="57">
        <f>AVERAGE(P78:P80)</f>
        <v>0.63407032583333345</v>
      </c>
      <c r="R78" s="56">
        <f>STDEV(P78:P80)</f>
        <v>4.0705553036248683E-2</v>
      </c>
      <c r="S78" s="58">
        <f>R78/Q78*100</f>
        <v>6.4197221314135762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9.4500000000000001E-2</v>
      </c>
      <c r="H79">
        <v>3.9600000000000003E-2</v>
      </c>
      <c r="I79" s="56"/>
      <c r="J79" s="57">
        <f>G82-$J$14</f>
        <v>5.2283333333333334E-2</v>
      </c>
      <c r="K79" s="58">
        <f>H82-$K$14</f>
        <v>3.8833333333333359E-3</v>
      </c>
      <c r="L79" s="56"/>
      <c r="M79" s="62">
        <f t="shared" si="3"/>
        <v>5.1312499999999997E-2</v>
      </c>
      <c r="N79" s="56">
        <f t="shared" si="4"/>
        <v>3.3281800625</v>
      </c>
      <c r="O79" s="58">
        <f t="shared" si="5"/>
        <v>6.656360125</v>
      </c>
      <c r="P79" s="56">
        <f>O79/F82</f>
        <v>0.66563601250000004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9.3700000000000006E-2</v>
      </c>
      <c r="H80">
        <v>3.9600000000000003E-2</v>
      </c>
      <c r="I80" s="56"/>
      <c r="J80" s="57">
        <f>G83-$J$14</f>
        <v>5.0783333333333333E-2</v>
      </c>
      <c r="K80" s="58">
        <f>H83-$K$14</f>
        <v>3.1833333333333366E-3</v>
      </c>
      <c r="L80" s="56"/>
      <c r="M80" s="62">
        <f t="shared" si="3"/>
        <v>4.9987499999999997E-2</v>
      </c>
      <c r="N80" s="56">
        <f t="shared" si="4"/>
        <v>3.2422392375000002</v>
      </c>
      <c r="O80" s="58">
        <f t="shared" si="5"/>
        <v>6.4844784750000004</v>
      </c>
      <c r="P80" s="56">
        <f>O80/F83</f>
        <v>0.64844784750000006</v>
      </c>
      <c r="Q80" s="57"/>
      <c r="R80" s="56"/>
      <c r="S80" s="58"/>
      <c r="T80" s="56"/>
    </row>
    <row r="81" spans="4:20" ht="14.45" customHeight="1" x14ac:dyDescent="0.25">
      <c r="D81" s="78">
        <f>A44</f>
        <v>114</v>
      </c>
      <c r="E81" s="12" t="s">
        <v>101</v>
      </c>
      <c r="F81" s="12">
        <f>B44</f>
        <v>10</v>
      </c>
      <c r="G81">
        <v>8.2400000000000001E-2</v>
      </c>
      <c r="H81">
        <v>3.8199999999999998E-2</v>
      </c>
      <c r="I81" s="56"/>
      <c r="J81" s="57">
        <f>G84-$J$14</f>
        <v>8.638333333333334E-2</v>
      </c>
      <c r="K81" s="58">
        <f>H84-$K$14</f>
        <v>2.883333333333335E-3</v>
      </c>
      <c r="L81" s="56"/>
      <c r="M81" s="62">
        <f t="shared" si="3"/>
        <v>8.5662500000000003E-2</v>
      </c>
      <c r="N81" s="56">
        <f t="shared" si="4"/>
        <v>5.5561554125000008</v>
      </c>
      <c r="O81" s="58">
        <f t="shared" si="5"/>
        <v>11.112310825000002</v>
      </c>
      <c r="P81" s="56">
        <f>O81/F84</f>
        <v>1.1112310825000002</v>
      </c>
      <c r="Q81" s="57">
        <f>AVERAGE(P81:P83)</f>
        <v>1.1715518125</v>
      </c>
      <c r="R81" s="56">
        <f>STDEV(P81:P83)</f>
        <v>5.281593434771422E-2</v>
      </c>
      <c r="S81" s="58">
        <f>R81/Q81*100</f>
        <v>4.5082030332921557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8.8700000000000001E-2</v>
      </c>
      <c r="H82">
        <v>3.95E-2</v>
      </c>
      <c r="I82" s="56"/>
      <c r="J82" s="57">
        <f>G85-$J$14</f>
        <v>9.2783333333333343E-2</v>
      </c>
      <c r="K82" s="58">
        <f>H85-$K$14</f>
        <v>2.9833333333333378E-3</v>
      </c>
      <c r="L82" s="56"/>
      <c r="M82" s="62">
        <f t="shared" si="3"/>
        <v>9.2037500000000008E-2</v>
      </c>
      <c r="N82" s="56">
        <f t="shared" si="4"/>
        <v>5.9696442875000013</v>
      </c>
      <c r="O82" s="58">
        <f t="shared" si="5"/>
        <v>11.939288575000003</v>
      </c>
      <c r="P82" s="56">
        <f>O82/F85</f>
        <v>1.1939288575000002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8.72E-2</v>
      </c>
      <c r="H83">
        <v>3.8800000000000001E-2</v>
      </c>
      <c r="I83" s="56"/>
      <c r="J83" s="57">
        <f>G86-$J$14</f>
        <v>9.3683333333333327E-2</v>
      </c>
      <c r="K83" s="58">
        <f>H86-$K$14</f>
        <v>1.7833333333333382E-3</v>
      </c>
      <c r="L83" s="56"/>
      <c r="M83" s="62">
        <f t="shared" si="3"/>
        <v>9.3237499999999987E-2</v>
      </c>
      <c r="N83" s="56">
        <f t="shared" si="4"/>
        <v>6.0474774874999992</v>
      </c>
      <c r="O83" s="58">
        <f t="shared" si="5"/>
        <v>12.094954974999998</v>
      </c>
      <c r="P83" s="56">
        <f>O83/F86</f>
        <v>1.2094954974999998</v>
      </c>
      <c r="Q83" s="57"/>
      <c r="R83" s="56"/>
      <c r="S83" s="58"/>
      <c r="T83" s="56"/>
    </row>
    <row r="84" spans="4:20" ht="14.45" customHeight="1" x14ac:dyDescent="0.25">
      <c r="D84" s="78">
        <f>A45</f>
        <v>115</v>
      </c>
      <c r="E84" s="12" t="s">
        <v>104</v>
      </c>
      <c r="F84" s="12">
        <f>B45</f>
        <v>10</v>
      </c>
      <c r="G84">
        <v>0.12280000000000001</v>
      </c>
      <c r="H84">
        <v>3.85E-2</v>
      </c>
      <c r="I84" s="56"/>
      <c r="J84" s="57">
        <f>G87-$J$14</f>
        <v>0.19518333333333332</v>
      </c>
      <c r="K84" s="58">
        <f>H87-$K$14</f>
        <v>6.9833333333333344E-3</v>
      </c>
      <c r="L84" s="56"/>
      <c r="M84" s="62">
        <f t="shared" si="3"/>
        <v>0.19343749999999998</v>
      </c>
      <c r="N84" s="56">
        <f t="shared" si="4"/>
        <v>12.546549687500001</v>
      </c>
      <c r="O84" s="58">
        <f t="shared" si="5"/>
        <v>25.093099375000001</v>
      </c>
      <c r="P84" s="56">
        <f>O84/F87</f>
        <v>2.5093099375000003</v>
      </c>
      <c r="Q84" s="57">
        <f>AVERAGE(P84:P86)</f>
        <v>2.6401129541666664</v>
      </c>
      <c r="R84" s="56">
        <f>STDEV(P84:P86)</f>
        <v>0.1165845276952769</v>
      </c>
      <c r="S84" s="58">
        <f>R84/Q84*100</f>
        <v>4.4158916576384142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0.12920000000000001</v>
      </c>
      <c r="H85">
        <v>3.8600000000000002E-2</v>
      </c>
      <c r="I85" s="56"/>
      <c r="J85" s="57">
        <f>G88-$J$14</f>
        <v>0.20698333333333335</v>
      </c>
      <c r="K85" s="58">
        <f>H88-$K$14</f>
        <v>2.1833333333333357E-3</v>
      </c>
      <c r="L85" s="56"/>
      <c r="M85" s="62">
        <f t="shared" si="3"/>
        <v>0.20643750000000002</v>
      </c>
      <c r="N85" s="56">
        <f t="shared" si="4"/>
        <v>13.389742687500002</v>
      </c>
      <c r="O85" s="58">
        <f t="shared" si="5"/>
        <v>26.779485375000004</v>
      </c>
      <c r="P85" s="56">
        <f>O85/F88</f>
        <v>2.6779485375000003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0.13009999999999999</v>
      </c>
      <c r="H86">
        <v>3.7400000000000003E-2</v>
      </c>
      <c r="I86" s="56"/>
      <c r="J86" s="57">
        <f>G89-$J$14</f>
        <v>0.21138333333333331</v>
      </c>
      <c r="K86" s="58">
        <f>H89-$K$14</f>
        <v>2.7833333333333321E-3</v>
      </c>
      <c r="L86" s="56"/>
      <c r="M86" s="62">
        <f t="shared" si="3"/>
        <v>0.21068749999999997</v>
      </c>
      <c r="N86" s="56">
        <f t="shared" si="4"/>
        <v>13.665401937499999</v>
      </c>
      <c r="O86" s="58">
        <f t="shared" si="5"/>
        <v>27.330803874999997</v>
      </c>
      <c r="P86" s="56">
        <f>O86/F89</f>
        <v>2.7330803874999998</v>
      </c>
      <c r="Q86" s="57"/>
      <c r="R86" s="56"/>
      <c r="S86" s="58"/>
      <c r="T86" s="56"/>
    </row>
    <row r="87" spans="4:20" ht="14.45" customHeight="1" x14ac:dyDescent="0.25">
      <c r="D87" s="78">
        <f>A46</f>
        <v>116</v>
      </c>
      <c r="E87" s="12" t="s">
        <v>107</v>
      </c>
      <c r="F87" s="12">
        <f>B46</f>
        <v>10</v>
      </c>
      <c r="G87">
        <v>0.2316</v>
      </c>
      <c r="H87">
        <v>4.2599999999999999E-2</v>
      </c>
      <c r="I87" s="56"/>
      <c r="J87" s="57">
        <f>G90-$J$14</f>
        <v>9.718333333333333E-2</v>
      </c>
      <c r="K87" s="58">
        <f>H90-$K$14</f>
        <v>6.833333333333344E-4</v>
      </c>
      <c r="L87" s="56"/>
      <c r="M87" s="62">
        <f t="shared" si="3"/>
        <v>9.7012500000000002E-2</v>
      </c>
      <c r="N87" s="56">
        <f t="shared" si="4"/>
        <v>6.2923277625000003</v>
      </c>
      <c r="O87" s="58">
        <f t="shared" si="5"/>
        <v>12.584655525000001</v>
      </c>
      <c r="P87" s="56">
        <f>O87/F90</f>
        <v>1.2584655525000001</v>
      </c>
      <c r="Q87" s="57">
        <f>AVERAGE(P87:P89)</f>
        <v>1.3037601508333334</v>
      </c>
      <c r="R87" s="56">
        <f>STDEV(P87:P89)</f>
        <v>4.9579789694706361E-2</v>
      </c>
      <c r="S87" s="58">
        <f>R87/Q87*100</f>
        <v>3.8028305791533898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0.24340000000000001</v>
      </c>
      <c r="H88">
        <v>3.78E-2</v>
      </c>
      <c r="I88" s="56"/>
      <c r="J88" s="57">
        <f>G91-$J$14</f>
        <v>0.10018333333333333</v>
      </c>
      <c r="K88" s="58">
        <f>H91-$K$14</f>
        <v>1.0833333333333389E-3</v>
      </c>
      <c r="L88" s="56"/>
      <c r="M88" s="62">
        <f t="shared" si="3"/>
        <v>9.9912500000000001E-2</v>
      </c>
      <c r="N88" s="56">
        <f t="shared" si="4"/>
        <v>6.4804246625000008</v>
      </c>
      <c r="O88" s="58">
        <f t="shared" si="5"/>
        <v>12.960849325000002</v>
      </c>
      <c r="P88" s="56">
        <f>O88/F91</f>
        <v>1.2960849325000001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0.24779999999999999</v>
      </c>
      <c r="H89">
        <v>3.8399999999999997E-2</v>
      </c>
      <c r="I89" s="56"/>
      <c r="J89" s="57">
        <f>G92-$J$14</f>
        <v>0.10518333333333334</v>
      </c>
      <c r="K89" s="58">
        <f>H92-$K$14</f>
        <v>2.3833333333333345E-3</v>
      </c>
      <c r="L89" s="56"/>
      <c r="M89" s="62">
        <f t="shared" si="3"/>
        <v>0.1045875</v>
      </c>
      <c r="N89" s="56">
        <f t="shared" si="4"/>
        <v>6.7836498375000005</v>
      </c>
      <c r="O89" s="58">
        <f t="shared" si="5"/>
        <v>13.567299675000001</v>
      </c>
      <c r="P89" s="56">
        <f>O89/F92</f>
        <v>1.3567299675000002</v>
      </c>
      <c r="Q89" s="57"/>
      <c r="R89" s="56"/>
      <c r="S89" s="58"/>
      <c r="T89" s="56"/>
    </row>
    <row r="90" spans="4:20" ht="14.45" customHeight="1" x14ac:dyDescent="0.25">
      <c r="D90" s="78">
        <f>A47</f>
        <v>117</v>
      </c>
      <c r="E90" s="12" t="s">
        <v>110</v>
      </c>
      <c r="F90" s="12">
        <f>B47</f>
        <v>10</v>
      </c>
      <c r="G90">
        <v>0.1336</v>
      </c>
      <c r="H90">
        <v>3.6299999999999999E-2</v>
      </c>
      <c r="I90" s="56"/>
      <c r="J90" s="57">
        <f>G96-$J$14</f>
        <v>6.7783333333333334E-2</v>
      </c>
      <c r="K90" s="58">
        <f>H96-$K$14</f>
        <v>3.783333333333333E-3</v>
      </c>
      <c r="L90" s="56"/>
      <c r="M90" s="62">
        <f t="shared" si="3"/>
        <v>6.6837499999999994E-2</v>
      </c>
      <c r="N90" s="56">
        <f t="shared" si="4"/>
        <v>4.3351470875000002</v>
      </c>
      <c r="O90" s="58">
        <f t="shared" si="5"/>
        <v>8.6702941750000004</v>
      </c>
      <c r="P90" s="56">
        <f>O90/F96</f>
        <v>0.86702941750000007</v>
      </c>
      <c r="Q90" s="57">
        <f>AVERAGE(P90:P92)</f>
        <v>0.92540431750000007</v>
      </c>
      <c r="R90" s="56">
        <f>STDEV(P90:P92)</f>
        <v>5.4898620142626524E-2</v>
      </c>
      <c r="S90" s="58">
        <f>R90/Q90*100</f>
        <v>5.9323929124230093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0.1366</v>
      </c>
      <c r="H91">
        <v>3.6700000000000003E-2</v>
      </c>
      <c r="I91" s="56"/>
      <c r="J91" s="57">
        <f>G97-$J$14</f>
        <v>7.6383333333333331E-2</v>
      </c>
      <c r="K91" s="58">
        <f>H97-$K$14</f>
        <v>4.5833333333333351E-3</v>
      </c>
      <c r="L91" s="56"/>
      <c r="M91" s="62">
        <f t="shared" si="3"/>
        <v>7.5237499999999999E-2</v>
      </c>
      <c r="N91" s="56">
        <f t="shared" si="4"/>
        <v>4.8799794875</v>
      </c>
      <c r="O91" s="58">
        <f t="shared" si="5"/>
        <v>9.759958975</v>
      </c>
      <c r="P91" s="56">
        <f>O91/F97</f>
        <v>0.97599589750000004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0.1416</v>
      </c>
      <c r="H92">
        <v>3.7999999999999999E-2</v>
      </c>
      <c r="I92" s="56"/>
      <c r="J92" s="57">
        <f>G98-$J$14</f>
        <v>7.3083333333333333E-2</v>
      </c>
      <c r="K92" s="58">
        <f>H98-$K$14</f>
        <v>4.5833333333333351E-3</v>
      </c>
      <c r="L92" s="56"/>
      <c r="M92" s="62">
        <f t="shared" ref="M92:M98" si="47">J92-(0.25*K92)</f>
        <v>7.1937500000000001E-2</v>
      </c>
      <c r="N92" s="56">
        <f t="shared" ref="N92:N98" si="48">M92*64.861</f>
        <v>4.6659381875000001</v>
      </c>
      <c r="O92" s="58">
        <f t="shared" ref="O92:O98" si="49">N92*2</f>
        <v>9.3318763750000002</v>
      </c>
      <c r="P92" s="56">
        <f>O92/F98</f>
        <v>0.9331876375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3.6600000000000001E-2</v>
      </c>
      <c r="H93">
        <v>3.5400000000000001E-2</v>
      </c>
      <c r="I93" s="56"/>
      <c r="J93" s="57">
        <f>G99-$J$14</f>
        <v>0.43418333333333337</v>
      </c>
      <c r="K93" s="58">
        <f>H99-$K$14</f>
        <v>0.12428333333333333</v>
      </c>
      <c r="L93" s="56"/>
      <c r="M93" s="62">
        <f t="shared" si="47"/>
        <v>0.40311250000000004</v>
      </c>
      <c r="N93" s="56">
        <f t="shared" si="48"/>
        <v>26.146279862500005</v>
      </c>
      <c r="O93" s="58">
        <f t="shared" si="49"/>
        <v>52.292559725000011</v>
      </c>
      <c r="P93" s="56">
        <f>O93/F99</f>
        <v>5.2292559725000007</v>
      </c>
      <c r="Q93" s="57">
        <f>AVERAGE(P93:P95)</f>
        <v>2.4565563241666672</v>
      </c>
      <c r="R93" s="56">
        <f>STDEV(P93:P95)</f>
        <v>2.4012798462100062</v>
      </c>
      <c r="S93" s="58">
        <f>R93/Q93*100</f>
        <v>97.749838771744336</v>
      </c>
      <c r="T93" s="56"/>
    </row>
    <row r="94" spans="4:20" ht="14.45" customHeight="1" x14ac:dyDescent="0.25">
      <c r="D94" s="71"/>
      <c r="E94" s="17" t="s">
        <v>129</v>
      </c>
      <c r="F94" s="17"/>
      <c r="G94">
        <v>3.61E-2</v>
      </c>
      <c r="H94">
        <v>3.56E-2</v>
      </c>
      <c r="I94" s="56"/>
      <c r="J94" s="57">
        <f>G100-$J$14</f>
        <v>8.6483333333333329E-2</v>
      </c>
      <c r="K94" s="58">
        <f>H100-$K$14</f>
        <v>1.1083333333333334E-2</v>
      </c>
      <c r="L94" s="56"/>
      <c r="M94" s="62">
        <f t="shared" si="47"/>
        <v>8.3712499999999995E-2</v>
      </c>
      <c r="N94" s="56">
        <f t="shared" si="48"/>
        <v>5.4296764624999998</v>
      </c>
      <c r="O94" s="58">
        <f t="shared" si="49"/>
        <v>10.859352925</v>
      </c>
      <c r="P94" s="56">
        <f>O94/F100</f>
        <v>1.0859352924999999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3.7499999999999999E-2</v>
      </c>
      <c r="H95">
        <v>3.6799999999999999E-2</v>
      </c>
      <c r="I95" s="56"/>
      <c r="J95" s="57">
        <f>G101-$J$14</f>
        <v>8.2383333333333336E-2</v>
      </c>
      <c r="K95" s="58">
        <f>H101-$K$14</f>
        <v>4.3833333333333363E-3</v>
      </c>
      <c r="L95" s="56"/>
      <c r="M95" s="62">
        <f t="shared" si="47"/>
        <v>8.1287499999999999E-2</v>
      </c>
      <c r="N95" s="56">
        <f t="shared" si="48"/>
        <v>5.2723885375000004</v>
      </c>
      <c r="O95" s="58">
        <f t="shared" si="49"/>
        <v>10.544777075000001</v>
      </c>
      <c r="P95" s="56">
        <f>O95/F101</f>
        <v>1.0544777075</v>
      </c>
      <c r="Q95" s="57"/>
      <c r="R95" s="56"/>
      <c r="S95" s="58"/>
      <c r="T95" s="56"/>
    </row>
    <row r="96" spans="4:20" ht="14.45" customHeight="1" x14ac:dyDescent="0.25">
      <c r="D96" s="78">
        <f>A48</f>
        <v>118</v>
      </c>
      <c r="E96" s="12" t="s">
        <v>113</v>
      </c>
      <c r="F96" s="12">
        <f>B48</f>
        <v>10</v>
      </c>
      <c r="G96">
        <v>0.1042</v>
      </c>
      <c r="H96">
        <v>3.9399999999999998E-2</v>
      </c>
      <c r="I96" s="56"/>
      <c r="J96" s="57">
        <f>G102-$J$14</f>
        <v>3.9983333333333329E-2</v>
      </c>
      <c r="K96" s="58">
        <f>H102-$K$14</f>
        <v>4.3833333333333363E-3</v>
      </c>
      <c r="L96" s="56"/>
      <c r="M96" s="62">
        <f t="shared" si="47"/>
        <v>3.8887499999999992E-2</v>
      </c>
      <c r="N96" s="56">
        <f t="shared" si="48"/>
        <v>2.5222821374999995</v>
      </c>
      <c r="O96" s="58">
        <f t="shared" si="49"/>
        <v>5.044564274999999</v>
      </c>
      <c r="P96" s="56">
        <f>O96/F102</f>
        <v>0.50445642749999986</v>
      </c>
      <c r="Q96" s="57">
        <f>AVERAGE(P96:P98)</f>
        <v>0.50142958083333333</v>
      </c>
      <c r="R96" s="56">
        <f>STDEV(P96:P98)</f>
        <v>1.8670318935568794E-2</v>
      </c>
      <c r="S96" s="58">
        <f>R96/Q96*100</f>
        <v>3.7234179332899173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0.1128</v>
      </c>
      <c r="H97">
        <v>4.02E-2</v>
      </c>
      <c r="I97" s="56"/>
      <c r="J97" s="57">
        <f>G103-$J$14</f>
        <v>3.8183333333333333E-2</v>
      </c>
      <c r="K97" s="58">
        <f>H103-$K$14</f>
        <v>4.2833333333333334E-3</v>
      </c>
      <c r="L97" s="56"/>
      <c r="M97" s="62">
        <f t="shared" si="47"/>
        <v>3.71125E-2</v>
      </c>
      <c r="N97" s="56">
        <f t="shared" si="48"/>
        <v>2.4071538625</v>
      </c>
      <c r="O97" s="58">
        <f t="shared" si="49"/>
        <v>4.8143077249999999</v>
      </c>
      <c r="P97" s="56">
        <f>O97/F103</f>
        <v>0.48143077249999999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0.1095</v>
      </c>
      <c r="H98">
        <v>4.02E-2</v>
      </c>
      <c r="I98" s="56"/>
      <c r="J98" s="65">
        <f>G104-$J$14</f>
        <v>4.1083333333333333E-2</v>
      </c>
      <c r="K98" s="66">
        <f>H104-$K$14</f>
        <v>4.4833333333333322E-3</v>
      </c>
      <c r="L98" s="56"/>
      <c r="M98" s="69">
        <f t="shared" si="47"/>
        <v>3.9962499999999998E-2</v>
      </c>
      <c r="N98" s="56">
        <f t="shared" si="48"/>
        <v>2.5920077125000001</v>
      </c>
      <c r="O98" s="66">
        <f t="shared" si="49"/>
        <v>5.1840154250000001</v>
      </c>
      <c r="P98" s="70">
        <f>O98/F104</f>
        <v>0.51840154250000003</v>
      </c>
      <c r="Q98" s="65"/>
      <c r="R98" s="70"/>
      <c r="S98" s="66"/>
      <c r="T98" s="56"/>
    </row>
    <row r="99" spans="4:20" x14ac:dyDescent="0.25">
      <c r="D99" s="78">
        <f>A49</f>
        <v>119</v>
      </c>
      <c r="E99" s="12" t="s">
        <v>116</v>
      </c>
      <c r="F99" s="12">
        <f>B49</f>
        <v>10</v>
      </c>
      <c r="G99">
        <v>0.47060000000000002</v>
      </c>
      <c r="H99">
        <v>0.15989999999999999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0.1229</v>
      </c>
      <c r="H100">
        <v>4.6699999999999998E-2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0.1188</v>
      </c>
      <c r="H101">
        <v>0.04</v>
      </c>
    </row>
    <row r="102" spans="4:20" x14ac:dyDescent="0.25">
      <c r="D102" s="78">
        <f>A50</f>
        <v>120</v>
      </c>
      <c r="E102" s="12" t="s">
        <v>119</v>
      </c>
      <c r="F102" s="12">
        <f>B50</f>
        <v>10</v>
      </c>
      <c r="G102">
        <v>7.6399999999999996E-2</v>
      </c>
      <c r="H102">
        <v>0.04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7.46E-2</v>
      </c>
      <c r="H103">
        <v>3.9899999999999998E-2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7.7499999999999999E-2</v>
      </c>
      <c r="H104">
        <v>4.0099999999999997E-2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EE07-E0C7-41C4-AA5D-D668BBBD4C40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3.8800000000000001E-2</v>
      </c>
      <c r="G6">
        <v>3.7999999999999999E-2</v>
      </c>
      <c r="I6" s="13">
        <v>12.5</v>
      </c>
      <c r="J6" s="14">
        <f>AVERAGE(F9:F11,G66)</f>
        <v>0.28079999999999999</v>
      </c>
      <c r="K6" s="15">
        <f>AVERAGE(G9:G11,H66)</f>
        <v>3.7825000000000004E-2</v>
      </c>
      <c r="M6" s="14">
        <f>J6-$J$14</f>
        <v>0.24186666666666667</v>
      </c>
      <c r="N6" s="15">
        <f>K6-$K$14</f>
        <v>-9.166666666666351E-5</v>
      </c>
      <c r="P6" s="1" t="s">
        <v>5</v>
      </c>
      <c r="Q6" s="7" t="s">
        <v>7</v>
      </c>
    </row>
    <row r="7" spans="5:17" x14ac:dyDescent="0.25">
      <c r="E7" s="16" t="s">
        <v>9</v>
      </c>
      <c r="F7">
        <v>4.2799999999999998E-2</v>
      </c>
      <c r="G7">
        <v>4.0800000000000003E-2</v>
      </c>
      <c r="I7" s="18">
        <v>25</v>
      </c>
      <c r="J7" s="19">
        <f>AVERAGE(F12:F14)</f>
        <v>0.47793333333333327</v>
      </c>
      <c r="K7" s="20">
        <f>AVERAGE(G12:G14)</f>
        <v>3.663333333333333E-2</v>
      </c>
      <c r="M7" s="19">
        <f>J7-$J$14</f>
        <v>0.43899999999999995</v>
      </c>
      <c r="N7" s="20">
        <f>K7-$K$14</f>
        <v>-1.2833333333333377E-3</v>
      </c>
      <c r="P7" s="17">
        <f>M6</f>
        <v>0.24186666666666667</v>
      </c>
      <c r="Q7" s="12">
        <v>12.5</v>
      </c>
    </row>
    <row r="8" spans="5:17" x14ac:dyDescent="0.25">
      <c r="E8" s="21" t="s">
        <v>10</v>
      </c>
      <c r="F8">
        <v>3.9800000000000002E-2</v>
      </c>
      <c r="G8">
        <v>3.78E-2</v>
      </c>
      <c r="I8" s="18">
        <v>50</v>
      </c>
      <c r="J8" s="19">
        <f>AVERAGE(F15:F17,G67)</f>
        <v>0.96230000000000004</v>
      </c>
      <c r="K8" s="20">
        <f>AVERAGE(G15:G17,H67)</f>
        <v>3.6799999999999999E-2</v>
      </c>
      <c r="M8" s="19">
        <f>J8-$J$14</f>
        <v>0.92336666666666667</v>
      </c>
      <c r="N8" s="20">
        <f>K8-$K$14</f>
        <v>-1.1166666666666686E-3</v>
      </c>
      <c r="P8" s="17">
        <f>M7</f>
        <v>0.43899999999999995</v>
      </c>
      <c r="Q8" s="17">
        <v>25</v>
      </c>
    </row>
    <row r="9" spans="5:17" x14ac:dyDescent="0.25">
      <c r="E9" s="11" t="s">
        <v>11</v>
      </c>
      <c r="F9">
        <v>0.29020000000000001</v>
      </c>
      <c r="G9">
        <v>3.6400000000000002E-2</v>
      </c>
      <c r="I9" s="18">
        <v>100</v>
      </c>
      <c r="J9" s="19">
        <f>AVERAGE(F18:F20,G68)</f>
        <v>1.8562750000000001</v>
      </c>
      <c r="K9" s="20">
        <f>AVERAGE(G18:G20,H68)</f>
        <v>3.5499999999999997E-2</v>
      </c>
      <c r="M9" s="19">
        <f>J9-$J$14</f>
        <v>1.8173416666666669</v>
      </c>
      <c r="N9" s="20">
        <f>K9-$K$14</f>
        <v>-2.4166666666666711E-3</v>
      </c>
      <c r="P9" s="17">
        <f>M8</f>
        <v>0.92336666666666667</v>
      </c>
      <c r="Q9" s="17">
        <v>50</v>
      </c>
    </row>
    <row r="10" spans="5:17" x14ac:dyDescent="0.25">
      <c r="E10" s="16" t="s">
        <v>12</v>
      </c>
      <c r="F10">
        <v>0.29089999999999999</v>
      </c>
      <c r="G10">
        <v>3.6600000000000001E-2</v>
      </c>
      <c r="I10" s="23">
        <v>250</v>
      </c>
      <c r="J10" s="24">
        <f>AVERAGE(F21:F23)</f>
        <v>3.7119666666666666</v>
      </c>
      <c r="K10" s="25">
        <f>AVERAGE(G21:G23)</f>
        <v>3.85E-2</v>
      </c>
      <c r="M10" s="19">
        <f>J10-$J$14</f>
        <v>3.6730333333333332</v>
      </c>
      <c r="N10" s="20">
        <f>K10-$K$14</f>
        <v>5.8333333333333154E-4</v>
      </c>
      <c r="P10" s="17">
        <f>M9</f>
        <v>1.8173416666666669</v>
      </c>
      <c r="Q10" s="17">
        <v>100</v>
      </c>
    </row>
    <row r="11" spans="5:17" x14ac:dyDescent="0.25">
      <c r="E11" s="21" t="s">
        <v>13</v>
      </c>
      <c r="F11">
        <v>0.26939999999999997</v>
      </c>
      <c r="G11">
        <v>3.9E-2</v>
      </c>
      <c r="I11" s="26" t="s">
        <v>14</v>
      </c>
      <c r="J11" s="13">
        <f t="shared" ref="J11:K13" si="0">F6</f>
        <v>3.8800000000000001E-2</v>
      </c>
      <c r="K11" s="27">
        <f t="shared" si="0"/>
        <v>3.7999999999999999E-2</v>
      </c>
      <c r="M11" s="23"/>
      <c r="N11" s="28"/>
      <c r="P11" s="22">
        <f>M10</f>
        <v>3.6730333333333332</v>
      </c>
      <c r="Q11" s="22">
        <v>250</v>
      </c>
    </row>
    <row r="12" spans="5:17" x14ac:dyDescent="0.25">
      <c r="E12" s="11" t="s">
        <v>15</v>
      </c>
      <c r="F12">
        <v>0.42709999999999998</v>
      </c>
      <c r="G12">
        <v>3.5400000000000001E-2</v>
      </c>
      <c r="I12" s="29" t="s">
        <v>14</v>
      </c>
      <c r="J12" s="18">
        <f t="shared" si="0"/>
        <v>4.2799999999999998E-2</v>
      </c>
      <c r="K12" s="30">
        <f t="shared" si="0"/>
        <v>4.0800000000000003E-2</v>
      </c>
    </row>
    <row r="13" spans="5:17" x14ac:dyDescent="0.25">
      <c r="E13" s="16" t="s">
        <v>16</v>
      </c>
      <c r="F13">
        <v>0.50329999999999997</v>
      </c>
      <c r="G13">
        <v>3.7199999999999997E-2</v>
      </c>
      <c r="I13" s="31" t="s">
        <v>14</v>
      </c>
      <c r="J13" s="23">
        <f t="shared" si="0"/>
        <v>3.9800000000000002E-2</v>
      </c>
      <c r="K13" s="28">
        <f t="shared" si="0"/>
        <v>3.78E-2</v>
      </c>
    </row>
    <row r="14" spans="5:17" x14ac:dyDescent="0.25">
      <c r="E14" s="21" t="s">
        <v>17</v>
      </c>
      <c r="F14">
        <v>0.50339999999999996</v>
      </c>
      <c r="G14">
        <v>3.73E-2</v>
      </c>
      <c r="I14" s="32" t="s">
        <v>18</v>
      </c>
      <c r="J14" s="33">
        <f>AVERAGE(J11:J13,G93:G95)</f>
        <v>3.8933333333333334E-2</v>
      </c>
      <c r="K14" s="34">
        <f>AVERAGE(K11:K13,H93:H95)</f>
        <v>3.7916666666666668E-2</v>
      </c>
    </row>
    <row r="15" spans="5:17" x14ac:dyDescent="0.25">
      <c r="E15" s="11" t="s">
        <v>19</v>
      </c>
      <c r="F15">
        <v>0.99750000000000005</v>
      </c>
      <c r="G15">
        <v>3.6400000000000002E-2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0.93689999999999996</v>
      </c>
      <c r="G16">
        <v>3.6299999999999999E-2</v>
      </c>
      <c r="M16" s="18" t="s">
        <v>22</v>
      </c>
      <c r="O16" s="30"/>
    </row>
    <row r="17" spans="1:24" x14ac:dyDescent="0.25">
      <c r="E17" s="21" t="s">
        <v>23</v>
      </c>
      <c r="F17">
        <v>0.96109999999999995</v>
      </c>
      <c r="G17">
        <v>3.5900000000000001E-2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1.8691</v>
      </c>
      <c r="G18">
        <v>3.5999999999999997E-2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1.8544</v>
      </c>
      <c r="G19">
        <v>3.4599999999999999E-2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1.9079999999999999</v>
      </c>
      <c r="G20">
        <v>3.44E-2</v>
      </c>
      <c r="U20" s="37"/>
      <c r="V20" s="37"/>
    </row>
    <row r="21" spans="1:24" x14ac:dyDescent="0.25">
      <c r="E21" s="11" t="s">
        <v>29</v>
      </c>
      <c r="F21">
        <v>3.7682000000000002</v>
      </c>
      <c r="G21">
        <v>3.6999999999999998E-2</v>
      </c>
      <c r="U21" s="37"/>
      <c r="V21" s="37"/>
    </row>
    <row r="22" spans="1:24" x14ac:dyDescent="0.25">
      <c r="E22" s="16" t="s">
        <v>30</v>
      </c>
      <c r="F22">
        <v>3.8569</v>
      </c>
      <c r="G22">
        <v>3.73E-2</v>
      </c>
      <c r="U22" s="37"/>
      <c r="V22" s="37"/>
    </row>
    <row r="23" spans="1:24" x14ac:dyDescent="0.25">
      <c r="E23" s="21" t="s">
        <v>31</v>
      </c>
      <c r="F23">
        <v>3.5108000000000001</v>
      </c>
      <c r="G23">
        <v>4.1200000000000001E-2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121</v>
      </c>
      <c r="B27" s="30">
        <v>10</v>
      </c>
      <c r="D27" s="78">
        <f>A27</f>
        <v>121</v>
      </c>
      <c r="E27" s="12" t="s">
        <v>50</v>
      </c>
      <c r="F27" s="12">
        <f>B27</f>
        <v>10</v>
      </c>
      <c r="G27">
        <v>9.1200000000000003E-2</v>
      </c>
      <c r="H27">
        <v>4.4200000000000003E-2</v>
      </c>
      <c r="I27" s="56"/>
      <c r="J27" s="57">
        <f t="shared" ref="J27:J65" si="1">G27-$J$14</f>
        <v>5.226666666666667E-2</v>
      </c>
      <c r="K27" s="58">
        <f t="shared" ref="K27:K65" si="2">H27-$K$14</f>
        <v>6.2833333333333352E-3</v>
      </c>
      <c r="L27" s="56"/>
      <c r="M27" s="59">
        <f>J27-(0.25*K27)</f>
        <v>5.0695833333333336E-2</v>
      </c>
      <c r="N27" s="56">
        <f>M27*68.877</f>
        <v>3.4917769124999998</v>
      </c>
      <c r="O27" s="58">
        <f>N27*2</f>
        <v>6.9835538249999995</v>
      </c>
      <c r="P27" s="56">
        <f>O27/F27</f>
        <v>0.69835538249999995</v>
      </c>
      <c r="Q27" s="57">
        <f>AVERAGE(P27:P29)</f>
        <v>0.69376358249999992</v>
      </c>
      <c r="R27" s="56">
        <f>STDEV(P27:P29)</f>
        <v>1.8680571691306085E-2</v>
      </c>
      <c r="S27" s="58">
        <f>R27/Q27*100</f>
        <v>2.692642300996837</v>
      </c>
      <c r="T27" s="60">
        <f>D27</f>
        <v>121</v>
      </c>
      <c r="U27" s="61">
        <f>Q27</f>
        <v>0.69376358249999992</v>
      </c>
      <c r="V27" s="37"/>
    </row>
    <row r="28" spans="1:24" ht="14.45" customHeight="1" x14ac:dyDescent="0.25">
      <c r="A28" s="18">
        <v>122</v>
      </c>
      <c r="B28" s="30">
        <v>10</v>
      </c>
      <c r="D28" s="79"/>
      <c r="E28" s="17" t="s">
        <v>51</v>
      </c>
      <c r="F28" s="17">
        <f>F27</f>
        <v>10</v>
      </c>
      <c r="G28">
        <v>8.8099999999999998E-2</v>
      </c>
      <c r="H28">
        <v>3.9100000000000003E-2</v>
      </c>
      <c r="I28" s="56"/>
      <c r="J28" s="57">
        <f t="shared" si="1"/>
        <v>4.9166666666666664E-2</v>
      </c>
      <c r="K28" s="58">
        <f t="shared" si="2"/>
        <v>1.1833333333333348E-3</v>
      </c>
      <c r="L28" s="56"/>
      <c r="M28" s="62">
        <f t="shared" ref="M28:M91" si="3">J28-(0.25*K28)</f>
        <v>4.8870833333333329E-2</v>
      </c>
      <c r="N28" s="56">
        <f t="shared" ref="N28:N91" si="4">M28*68.877</f>
        <v>3.3660763874999993</v>
      </c>
      <c r="O28" s="58">
        <f t="shared" ref="O28:O91" si="5">N28*2</f>
        <v>6.7321527749999985</v>
      </c>
      <c r="P28" s="56">
        <f t="shared" ref="P28:P65" si="6">O28/F28</f>
        <v>0.67321527749999988</v>
      </c>
      <c r="Q28" s="57"/>
      <c r="R28" s="56"/>
      <c r="S28" s="58"/>
      <c r="T28" s="63">
        <f>D30</f>
        <v>122</v>
      </c>
      <c r="U28" s="64">
        <f>Q30</f>
        <v>1.6315239374999997</v>
      </c>
    </row>
    <row r="29" spans="1:24" ht="14.45" customHeight="1" x14ac:dyDescent="0.25">
      <c r="A29" s="18">
        <v>123</v>
      </c>
      <c r="B29" s="30">
        <v>10</v>
      </c>
      <c r="D29" s="80"/>
      <c r="E29" s="22" t="s">
        <v>52</v>
      </c>
      <c r="F29" s="22">
        <f>F27</f>
        <v>10</v>
      </c>
      <c r="G29">
        <v>9.0800000000000006E-2</v>
      </c>
      <c r="H29">
        <v>3.9300000000000002E-2</v>
      </c>
      <c r="I29" s="56"/>
      <c r="J29" s="57">
        <f t="shared" si="1"/>
        <v>5.1866666666666672E-2</v>
      </c>
      <c r="K29" s="58">
        <f t="shared" si="2"/>
        <v>1.3833333333333336E-3</v>
      </c>
      <c r="L29" s="56"/>
      <c r="M29" s="62">
        <f t="shared" si="3"/>
        <v>5.1520833333333335E-2</v>
      </c>
      <c r="N29" s="56">
        <f t="shared" si="4"/>
        <v>3.5486004374999998</v>
      </c>
      <c r="O29" s="58">
        <f t="shared" si="5"/>
        <v>7.0972008749999995</v>
      </c>
      <c r="P29" s="56">
        <f t="shared" si="6"/>
        <v>0.70972008749999993</v>
      </c>
      <c r="Q29" s="57"/>
      <c r="R29" s="56"/>
      <c r="S29" s="58"/>
      <c r="T29" s="63">
        <f>D33</f>
        <v>123</v>
      </c>
      <c r="U29" s="64">
        <f>Q33</f>
        <v>1.2471902774999999</v>
      </c>
    </row>
    <row r="30" spans="1:24" ht="14.45" customHeight="1" x14ac:dyDescent="0.25">
      <c r="A30" s="18">
        <v>124</v>
      </c>
      <c r="B30" s="30">
        <v>10</v>
      </c>
      <c r="D30" s="78">
        <f>A28</f>
        <v>122</v>
      </c>
      <c r="E30" s="12" t="s">
        <v>53</v>
      </c>
      <c r="F30" s="12">
        <f>B28</f>
        <v>10</v>
      </c>
      <c r="G30">
        <v>0.14149999999999999</v>
      </c>
      <c r="H30">
        <v>3.6999999999999998E-2</v>
      </c>
      <c r="I30" s="56"/>
      <c r="J30" s="57">
        <f t="shared" si="1"/>
        <v>0.10256666666666665</v>
      </c>
      <c r="K30" s="58">
        <f t="shared" si="2"/>
        <v>-9.1666666666666979E-4</v>
      </c>
      <c r="L30" s="56"/>
      <c r="M30" s="62">
        <f t="shared" si="3"/>
        <v>0.10279583333333332</v>
      </c>
      <c r="N30" s="56">
        <f t="shared" si="4"/>
        <v>7.0802686124999985</v>
      </c>
      <c r="O30" s="58">
        <f t="shared" si="5"/>
        <v>14.160537224999997</v>
      </c>
      <c r="P30" s="56">
        <f t="shared" si="6"/>
        <v>1.4160537224999996</v>
      </c>
      <c r="Q30" s="57">
        <f>AVERAGE(P30:P32)</f>
        <v>1.6315239374999997</v>
      </c>
      <c r="R30" s="56">
        <f>STDEV(P30:P32)</f>
        <v>0.18953892104050282</v>
      </c>
      <c r="S30" s="58">
        <f>R30/Q30*100</f>
        <v>11.617293297635289</v>
      </c>
      <c r="T30" s="63">
        <f>D36</f>
        <v>124</v>
      </c>
      <c r="U30" s="64">
        <f>Q36</f>
        <v>0.50251511249999992</v>
      </c>
    </row>
    <row r="31" spans="1:24" ht="14.45" customHeight="1" x14ac:dyDescent="0.25">
      <c r="A31" s="18">
        <v>125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0.1696</v>
      </c>
      <c r="H31">
        <v>4.5900000000000003E-2</v>
      </c>
      <c r="I31" s="56"/>
      <c r="J31" s="57">
        <f t="shared" si="1"/>
        <v>0.13066666666666665</v>
      </c>
      <c r="K31" s="58">
        <f t="shared" si="2"/>
        <v>7.9833333333333353E-3</v>
      </c>
      <c r="L31" s="56"/>
      <c r="M31" s="62">
        <f t="shared" si="3"/>
        <v>0.12867083333333332</v>
      </c>
      <c r="N31" s="56">
        <f t="shared" si="4"/>
        <v>8.8624609874999987</v>
      </c>
      <c r="O31" s="58">
        <f t="shared" si="5"/>
        <v>17.724921974999997</v>
      </c>
      <c r="P31" s="56">
        <f t="shared" si="6"/>
        <v>1.7724921974999996</v>
      </c>
      <c r="Q31" s="57"/>
      <c r="R31" s="56"/>
      <c r="S31" s="58"/>
      <c r="T31" s="63">
        <f>D39</f>
        <v>125</v>
      </c>
      <c r="U31" s="64">
        <f>Q39</f>
        <v>3.1025070674999999</v>
      </c>
    </row>
    <row r="32" spans="1:24" ht="14.45" customHeight="1" x14ac:dyDescent="0.25">
      <c r="A32" s="18">
        <v>126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0.1633</v>
      </c>
      <c r="H32">
        <v>0.04</v>
      </c>
      <c r="I32" s="56"/>
      <c r="J32" s="57">
        <f t="shared" si="1"/>
        <v>0.12436666666666667</v>
      </c>
      <c r="K32" s="58">
        <f t="shared" si="2"/>
        <v>2.0833333333333329E-3</v>
      </c>
      <c r="L32" s="56"/>
      <c r="M32" s="62">
        <f t="shared" si="3"/>
        <v>0.12384583333333334</v>
      </c>
      <c r="N32" s="56">
        <f t="shared" si="4"/>
        <v>8.5301294624999997</v>
      </c>
      <c r="O32" s="58">
        <f t="shared" si="5"/>
        <v>17.060258924999999</v>
      </c>
      <c r="P32" s="56">
        <f t="shared" si="6"/>
        <v>1.7060258925</v>
      </c>
      <c r="Q32" s="57"/>
      <c r="R32" s="56"/>
      <c r="S32" s="58"/>
      <c r="T32" s="63">
        <f>D42</f>
        <v>126</v>
      </c>
      <c r="U32" s="64">
        <f>Q42</f>
        <v>0.87915750749999988</v>
      </c>
    </row>
    <row r="33" spans="1:21" ht="14.45" customHeight="1" x14ac:dyDescent="0.25">
      <c r="A33" s="18">
        <v>127</v>
      </c>
      <c r="B33" s="30">
        <v>10</v>
      </c>
      <c r="D33" s="78">
        <f>A29</f>
        <v>123</v>
      </c>
      <c r="E33" s="12" t="s">
        <v>56</v>
      </c>
      <c r="F33" s="12">
        <f>B29</f>
        <v>10</v>
      </c>
      <c r="G33">
        <v>0.12180000000000001</v>
      </c>
      <c r="H33">
        <v>3.61E-2</v>
      </c>
      <c r="I33" s="56"/>
      <c r="J33" s="57">
        <f t="shared" si="1"/>
        <v>8.2866666666666672E-2</v>
      </c>
      <c r="K33" s="58">
        <f t="shared" si="2"/>
        <v>-1.8166666666666678E-3</v>
      </c>
      <c r="L33" s="56"/>
      <c r="M33" s="62">
        <f t="shared" si="3"/>
        <v>8.3320833333333344E-2</v>
      </c>
      <c r="N33" s="56">
        <f t="shared" si="4"/>
        <v>5.7388890374999999</v>
      </c>
      <c r="O33" s="58">
        <f t="shared" si="5"/>
        <v>11.477778075</v>
      </c>
      <c r="P33" s="56">
        <f t="shared" si="6"/>
        <v>1.1477778075</v>
      </c>
      <c r="Q33" s="57">
        <f>AVERAGE(P33:P35)</f>
        <v>1.2471902774999999</v>
      </c>
      <c r="R33" s="56">
        <f>STDEV(P33:P35)</f>
        <v>8.7300295574611608E-2</v>
      </c>
      <c r="S33" s="58">
        <f>R33/Q33*100</f>
        <v>6.9997575469883833</v>
      </c>
      <c r="T33" s="63">
        <f>D45</f>
        <v>127</v>
      </c>
      <c r="U33" s="64">
        <f>Q45</f>
        <v>0.72980921250000008</v>
      </c>
    </row>
    <row r="34" spans="1:21" ht="14.45" customHeight="1" x14ac:dyDescent="0.25">
      <c r="A34" s="18">
        <v>128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0.1318</v>
      </c>
      <c r="H34">
        <v>3.6999999999999998E-2</v>
      </c>
      <c r="I34" s="56"/>
      <c r="J34" s="57">
        <f t="shared" si="1"/>
        <v>9.2866666666666667E-2</v>
      </c>
      <c r="K34" s="58">
        <f t="shared" si="2"/>
        <v>-9.1666666666666979E-4</v>
      </c>
      <c r="L34" s="56"/>
      <c r="M34" s="62">
        <f t="shared" si="3"/>
        <v>9.3095833333333336E-2</v>
      </c>
      <c r="N34" s="56">
        <f t="shared" si="4"/>
        <v>6.4121617124999997</v>
      </c>
      <c r="O34" s="58">
        <f t="shared" si="5"/>
        <v>12.824323424999999</v>
      </c>
      <c r="P34" s="56">
        <f t="shared" si="6"/>
        <v>1.2824323424999999</v>
      </c>
      <c r="Q34" s="57"/>
      <c r="R34" s="56"/>
      <c r="S34" s="58"/>
      <c r="T34" s="63">
        <f>D48</f>
        <v>128</v>
      </c>
      <c r="U34" s="64">
        <f>Q48</f>
        <v>3.4106168475</v>
      </c>
    </row>
    <row r="35" spans="1:21" ht="14.45" customHeight="1" x14ac:dyDescent="0.25">
      <c r="A35" s="18">
        <v>129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0.13389999999999999</v>
      </c>
      <c r="H35">
        <v>3.6999999999999998E-2</v>
      </c>
      <c r="I35" s="56"/>
      <c r="J35" s="57">
        <f t="shared" si="1"/>
        <v>9.4966666666666658E-2</v>
      </c>
      <c r="K35" s="58">
        <f t="shared" si="2"/>
        <v>-9.1666666666666979E-4</v>
      </c>
      <c r="L35" s="56"/>
      <c r="M35" s="62">
        <f t="shared" si="3"/>
        <v>9.5195833333333327E-2</v>
      </c>
      <c r="N35" s="56">
        <f t="shared" si="4"/>
        <v>6.556803412499999</v>
      </c>
      <c r="O35" s="58">
        <f t="shared" si="5"/>
        <v>13.113606824999998</v>
      </c>
      <c r="P35" s="56">
        <f t="shared" si="6"/>
        <v>1.3113606824999997</v>
      </c>
      <c r="Q35" s="57"/>
      <c r="R35" s="56"/>
      <c r="S35" s="58"/>
      <c r="T35" s="63">
        <f>D51</f>
        <v>129</v>
      </c>
      <c r="U35" s="64">
        <f>Q51</f>
        <v>1.8398768624999999</v>
      </c>
    </row>
    <row r="36" spans="1:21" ht="14.45" customHeight="1" x14ac:dyDescent="0.25">
      <c r="A36" s="18">
        <v>130</v>
      </c>
      <c r="B36" s="30">
        <v>10</v>
      </c>
      <c r="D36" s="78">
        <f>A30</f>
        <v>124</v>
      </c>
      <c r="E36" s="12" t="s">
        <v>59</v>
      </c>
      <c r="F36" s="12">
        <f>B30</f>
        <v>10</v>
      </c>
      <c r="G36">
        <v>7.4800000000000005E-2</v>
      </c>
      <c r="H36">
        <v>3.8699999999999998E-2</v>
      </c>
      <c r="I36" s="56"/>
      <c r="J36" s="57">
        <f t="shared" si="1"/>
        <v>3.5866666666666672E-2</v>
      </c>
      <c r="K36" s="58">
        <f t="shared" si="2"/>
        <v>7.8333333333333033E-4</v>
      </c>
      <c r="L36" s="56"/>
      <c r="M36" s="62">
        <f t="shared" si="3"/>
        <v>3.5670833333333339E-2</v>
      </c>
      <c r="N36" s="56">
        <f t="shared" si="4"/>
        <v>2.4568999875000004</v>
      </c>
      <c r="O36" s="58">
        <f t="shared" si="5"/>
        <v>4.9137999750000008</v>
      </c>
      <c r="P36" s="56">
        <f t="shared" si="6"/>
        <v>0.49137999750000005</v>
      </c>
      <c r="Q36" s="57">
        <f>AVERAGE(P36:P38)</f>
        <v>0.50251511249999992</v>
      </c>
      <c r="R36" s="56">
        <f>STDEV(P36:P38)</f>
        <v>2.1408267252103139E-2</v>
      </c>
      <c r="S36" s="58">
        <f>R36/Q36*100</f>
        <v>4.2602235673266726</v>
      </c>
      <c r="T36" s="63">
        <f>D54</f>
        <v>130</v>
      </c>
      <c r="U36" s="64">
        <f>Q54</f>
        <v>0.72716892749999984</v>
      </c>
    </row>
    <row r="37" spans="1:21" ht="14.45" customHeight="1" x14ac:dyDescent="0.25">
      <c r="A37" s="18">
        <v>131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7.46E-2</v>
      </c>
      <c r="H37">
        <v>3.8600000000000002E-2</v>
      </c>
      <c r="I37" s="56"/>
      <c r="J37" s="57">
        <f t="shared" si="1"/>
        <v>3.5666666666666666E-2</v>
      </c>
      <c r="K37" s="58">
        <f t="shared" si="2"/>
        <v>6.833333333333344E-4</v>
      </c>
      <c r="L37" s="56"/>
      <c r="M37" s="62">
        <f t="shared" si="3"/>
        <v>3.5495833333333331E-2</v>
      </c>
      <c r="N37" s="56">
        <f t="shared" si="4"/>
        <v>2.4448465124999998</v>
      </c>
      <c r="O37" s="58">
        <f t="shared" si="5"/>
        <v>4.8896930249999997</v>
      </c>
      <c r="P37" s="56">
        <f t="shared" si="6"/>
        <v>0.48896930249999998</v>
      </c>
      <c r="Q37" s="57"/>
      <c r="R37" s="56"/>
      <c r="S37" s="58"/>
      <c r="T37" s="63">
        <f>D57</f>
        <v>131</v>
      </c>
      <c r="U37" s="64">
        <f>Q57</f>
        <v>11.325846892499998</v>
      </c>
    </row>
    <row r="38" spans="1:21" ht="14.45" customHeight="1" x14ac:dyDescent="0.25">
      <c r="A38" s="18">
        <v>132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7.7499999999999999E-2</v>
      </c>
      <c r="H38">
        <v>3.9100000000000003E-2</v>
      </c>
      <c r="I38" s="56"/>
      <c r="J38" s="57">
        <f t="shared" si="1"/>
        <v>3.8566666666666666E-2</v>
      </c>
      <c r="K38" s="58">
        <f t="shared" si="2"/>
        <v>1.1833333333333348E-3</v>
      </c>
      <c r="L38" s="56"/>
      <c r="M38" s="62">
        <f t="shared" si="3"/>
        <v>3.827083333333333E-2</v>
      </c>
      <c r="N38" s="56">
        <f t="shared" si="4"/>
        <v>2.6359801874999995</v>
      </c>
      <c r="O38" s="58">
        <f t="shared" si="5"/>
        <v>5.271960374999999</v>
      </c>
      <c r="P38" s="56">
        <f t="shared" si="6"/>
        <v>0.52719603749999988</v>
      </c>
      <c r="Q38" s="57"/>
      <c r="R38" s="56"/>
      <c r="S38" s="58"/>
      <c r="T38" s="63">
        <f>D60</f>
        <v>132</v>
      </c>
      <c r="U38" s="64">
        <f>Q60</f>
        <v>0.82704057750000004</v>
      </c>
    </row>
    <row r="39" spans="1:21" ht="14.45" customHeight="1" x14ac:dyDescent="0.25">
      <c r="A39" s="18">
        <v>133</v>
      </c>
      <c r="B39" s="30">
        <v>10</v>
      </c>
      <c r="D39" s="78">
        <f>A31</f>
        <v>125</v>
      </c>
      <c r="E39" s="12" t="s">
        <v>62</v>
      </c>
      <c r="F39" s="12">
        <f>B31</f>
        <v>10</v>
      </c>
      <c r="G39">
        <v>0.2442</v>
      </c>
      <c r="H39">
        <v>3.85E-2</v>
      </c>
      <c r="I39" s="56"/>
      <c r="J39" s="57">
        <f t="shared" si="1"/>
        <v>0.20526666666666665</v>
      </c>
      <c r="K39" s="58">
        <f t="shared" si="2"/>
        <v>5.8333333333333154E-4</v>
      </c>
      <c r="L39" s="56"/>
      <c r="M39" s="62">
        <f t="shared" si="3"/>
        <v>0.20512083333333331</v>
      </c>
      <c r="N39" s="56">
        <f t="shared" si="4"/>
        <v>14.128107637499998</v>
      </c>
      <c r="O39" s="58">
        <f t="shared" si="5"/>
        <v>28.256215274999995</v>
      </c>
      <c r="P39" s="56">
        <f t="shared" si="6"/>
        <v>2.8256215274999996</v>
      </c>
      <c r="Q39" s="57">
        <f>AVERAGE(P39:P41)</f>
        <v>3.1025070674999999</v>
      </c>
      <c r="R39" s="56">
        <f>STDEV(P39:P41)</f>
        <v>0.25548353896400527</v>
      </c>
      <c r="S39" s="58">
        <f>R39/Q39*100</f>
        <v>8.2347447856057236</v>
      </c>
      <c r="T39" s="63">
        <f>D63</f>
        <v>133</v>
      </c>
      <c r="U39" s="64">
        <f>Q63</f>
        <v>0.72693933750000006</v>
      </c>
    </row>
    <row r="40" spans="1:21" ht="14.45" customHeight="1" x14ac:dyDescent="0.25">
      <c r="A40" s="18">
        <v>134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0.2681</v>
      </c>
      <c r="H40">
        <v>3.9100000000000003E-2</v>
      </c>
      <c r="I40" s="56"/>
      <c r="J40" s="57">
        <f t="shared" si="1"/>
        <v>0.22916666666666669</v>
      </c>
      <c r="K40" s="58">
        <f t="shared" si="2"/>
        <v>1.1833333333333348E-3</v>
      </c>
      <c r="L40" s="56"/>
      <c r="M40" s="62">
        <f t="shared" si="3"/>
        <v>0.22887083333333336</v>
      </c>
      <c r="N40" s="56">
        <f t="shared" si="4"/>
        <v>15.763936387500001</v>
      </c>
      <c r="O40" s="58">
        <f t="shared" si="5"/>
        <v>31.527872775000002</v>
      </c>
      <c r="P40" s="56">
        <f t="shared" si="6"/>
        <v>3.1527872775000003</v>
      </c>
      <c r="Q40" s="57"/>
      <c r="R40" s="56"/>
      <c r="S40" s="58"/>
      <c r="T40" s="63">
        <f>D69</f>
        <v>134</v>
      </c>
      <c r="U40" s="64">
        <f>Q66</f>
        <v>1.6943168024999997</v>
      </c>
    </row>
    <row r="41" spans="1:21" ht="14.45" customHeight="1" x14ac:dyDescent="0.25">
      <c r="A41" s="18">
        <v>135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0.28139999999999998</v>
      </c>
      <c r="H41">
        <v>4.1099999999999998E-2</v>
      </c>
      <c r="I41" s="56"/>
      <c r="J41" s="57">
        <f t="shared" si="1"/>
        <v>0.24246666666666666</v>
      </c>
      <c r="K41" s="58">
        <f t="shared" si="2"/>
        <v>3.1833333333333297E-3</v>
      </c>
      <c r="L41" s="56"/>
      <c r="M41" s="62">
        <f t="shared" si="3"/>
        <v>0.24167083333333333</v>
      </c>
      <c r="N41" s="56">
        <f t="shared" si="4"/>
        <v>16.645561987499999</v>
      </c>
      <c r="O41" s="58">
        <f t="shared" si="5"/>
        <v>33.291123974999998</v>
      </c>
      <c r="P41" s="56">
        <f t="shared" si="6"/>
        <v>3.3291123974999999</v>
      </c>
      <c r="Q41" s="57"/>
      <c r="R41" s="56"/>
      <c r="S41" s="58"/>
      <c r="T41" s="63">
        <f>D72</f>
        <v>135</v>
      </c>
      <c r="U41" s="64">
        <f>Q69</f>
        <v>1.1878412625000001</v>
      </c>
    </row>
    <row r="42" spans="1:21" ht="14.45" customHeight="1" x14ac:dyDescent="0.25">
      <c r="A42" s="18">
        <v>136</v>
      </c>
      <c r="B42" s="30">
        <v>10</v>
      </c>
      <c r="D42" s="78">
        <f>A32</f>
        <v>126</v>
      </c>
      <c r="E42" s="12" t="s">
        <v>65</v>
      </c>
      <c r="F42" s="12">
        <f>B32</f>
        <v>10</v>
      </c>
      <c r="G42">
        <v>9.74E-2</v>
      </c>
      <c r="H42">
        <v>3.9899999999999998E-2</v>
      </c>
      <c r="I42" s="56"/>
      <c r="J42" s="57">
        <f t="shared" si="1"/>
        <v>5.8466666666666667E-2</v>
      </c>
      <c r="K42" s="58">
        <f t="shared" si="2"/>
        <v>1.98333333333333E-3</v>
      </c>
      <c r="L42" s="56"/>
      <c r="M42" s="62">
        <f t="shared" si="3"/>
        <v>5.7970833333333333E-2</v>
      </c>
      <c r="N42" s="56">
        <f t="shared" si="4"/>
        <v>3.9928570874999996</v>
      </c>
      <c r="O42" s="58">
        <f t="shared" si="5"/>
        <v>7.9857141749999991</v>
      </c>
      <c r="P42" s="56">
        <f t="shared" si="6"/>
        <v>0.79857141749999994</v>
      </c>
      <c r="Q42" s="57">
        <f>AVERAGE(P42:P44)</f>
        <v>0.87915750749999988</v>
      </c>
      <c r="R42" s="56">
        <f>STDEV(P42:P44)</f>
        <v>7.5547582894965395E-2</v>
      </c>
      <c r="S42" s="58">
        <f>R42/Q42*100</f>
        <v>8.5931795213573157</v>
      </c>
      <c r="T42" s="63">
        <f>D75</f>
        <v>136</v>
      </c>
      <c r="U42" s="64">
        <f>Q72</f>
        <v>0.59974647749999999</v>
      </c>
    </row>
    <row r="43" spans="1:21" ht="14.45" customHeight="1" x14ac:dyDescent="0.25">
      <c r="A43" s="18">
        <v>137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0.10979999999999999</v>
      </c>
      <c r="H43">
        <v>4.5999999999999999E-2</v>
      </c>
      <c r="I43" s="56"/>
      <c r="J43" s="57">
        <f t="shared" si="1"/>
        <v>7.0866666666666661E-2</v>
      </c>
      <c r="K43" s="58">
        <f t="shared" si="2"/>
        <v>8.0833333333333313E-3</v>
      </c>
      <c r="L43" s="56"/>
      <c r="M43" s="62">
        <f t="shared" si="3"/>
        <v>6.8845833333333328E-2</v>
      </c>
      <c r="N43" s="56">
        <f t="shared" si="4"/>
        <v>4.7418944624999995</v>
      </c>
      <c r="O43" s="58">
        <f t="shared" si="5"/>
        <v>9.4837889249999989</v>
      </c>
      <c r="P43" s="56">
        <f t="shared" si="6"/>
        <v>0.94837889249999985</v>
      </c>
      <c r="Q43" s="57"/>
      <c r="R43" s="56"/>
      <c r="S43" s="58"/>
      <c r="T43" s="63">
        <f>D78</f>
        <v>137</v>
      </c>
      <c r="U43" s="64">
        <f>Q75</f>
        <v>0.91348121250000014</v>
      </c>
    </row>
    <row r="44" spans="1:21" ht="14.45" customHeight="1" x14ac:dyDescent="0.25">
      <c r="A44" s="18">
        <v>138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0.10489999999999999</v>
      </c>
      <c r="H44">
        <v>4.3200000000000002E-2</v>
      </c>
      <c r="I44" s="56"/>
      <c r="J44" s="57">
        <f t="shared" si="1"/>
        <v>6.596666666666666E-2</v>
      </c>
      <c r="K44" s="58">
        <f t="shared" si="2"/>
        <v>5.2833333333333343E-3</v>
      </c>
      <c r="L44" s="56"/>
      <c r="M44" s="62">
        <f t="shared" si="3"/>
        <v>6.4645833333333319E-2</v>
      </c>
      <c r="N44" s="56">
        <f t="shared" si="4"/>
        <v>4.4526110624999991</v>
      </c>
      <c r="O44" s="58">
        <f t="shared" si="5"/>
        <v>8.9052221249999981</v>
      </c>
      <c r="P44" s="56">
        <f t="shared" si="6"/>
        <v>0.89052221249999985</v>
      </c>
      <c r="Q44" s="57"/>
      <c r="R44" s="56"/>
      <c r="S44" s="58"/>
      <c r="T44" s="63">
        <f>D81</f>
        <v>138</v>
      </c>
      <c r="U44" s="64">
        <f>Q78</f>
        <v>0.4490206424999999</v>
      </c>
    </row>
    <row r="45" spans="1:21" ht="14.45" customHeight="1" x14ac:dyDescent="0.25">
      <c r="A45" s="18">
        <v>139</v>
      </c>
      <c r="B45" s="30">
        <v>10</v>
      </c>
      <c r="D45" s="78">
        <f>A33</f>
        <v>127</v>
      </c>
      <c r="E45" s="12" t="s">
        <v>68</v>
      </c>
      <c r="F45" s="12">
        <f>B33</f>
        <v>10</v>
      </c>
      <c r="G45">
        <v>8.4900000000000003E-2</v>
      </c>
      <c r="H45">
        <v>3.9199999999999999E-2</v>
      </c>
      <c r="I45" s="56"/>
      <c r="J45" s="57">
        <f t="shared" si="1"/>
        <v>4.596666666666667E-2</v>
      </c>
      <c r="K45" s="58">
        <f t="shared" si="2"/>
        <v>1.2833333333333308E-3</v>
      </c>
      <c r="L45" s="56"/>
      <c r="M45" s="62">
        <f t="shared" si="3"/>
        <v>4.5645833333333337E-2</v>
      </c>
      <c r="N45" s="56">
        <f t="shared" si="4"/>
        <v>3.1439480625000003</v>
      </c>
      <c r="O45" s="58">
        <f t="shared" si="5"/>
        <v>6.2878961250000005</v>
      </c>
      <c r="P45" s="56">
        <f t="shared" si="6"/>
        <v>0.62878961250000009</v>
      </c>
      <c r="Q45" s="57">
        <f>AVERAGE(P45:P47)</f>
        <v>0.72980921250000008</v>
      </c>
      <c r="R45" s="56">
        <f>STDEV(P45:P47)</f>
        <v>0.11307021965684204</v>
      </c>
      <c r="S45" s="58">
        <f>R45/Q45*100</f>
        <v>15.493120355320539</v>
      </c>
      <c r="T45" s="63">
        <f>D84</f>
        <v>139</v>
      </c>
      <c r="U45" s="64">
        <f>Q81</f>
        <v>1.4949178874999998</v>
      </c>
    </row>
    <row r="46" spans="1:21" ht="14.45" customHeight="1" x14ac:dyDescent="0.25">
      <c r="A46" s="18">
        <v>140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9.0800000000000006E-2</v>
      </c>
      <c r="H46">
        <v>3.9600000000000003E-2</v>
      </c>
      <c r="I46" s="56"/>
      <c r="J46" s="57">
        <f t="shared" si="1"/>
        <v>5.1866666666666672E-2</v>
      </c>
      <c r="K46" s="58">
        <f t="shared" si="2"/>
        <v>1.6833333333333353E-3</v>
      </c>
      <c r="L46" s="56"/>
      <c r="M46" s="62">
        <f t="shared" si="3"/>
        <v>5.1445833333333336E-2</v>
      </c>
      <c r="N46" s="56">
        <f t="shared" si="4"/>
        <v>3.5434346625000002</v>
      </c>
      <c r="O46" s="58">
        <f t="shared" si="5"/>
        <v>7.0868693250000003</v>
      </c>
      <c r="P46" s="56">
        <f t="shared" si="6"/>
        <v>0.70868693250000003</v>
      </c>
      <c r="Q46" s="57"/>
      <c r="R46" s="56"/>
      <c r="S46" s="58"/>
      <c r="T46" s="63">
        <f>D87</f>
        <v>140</v>
      </c>
      <c r="U46" s="64">
        <f>Q84</f>
        <v>0.46463276249999991</v>
      </c>
    </row>
    <row r="47" spans="1:21" ht="14.45" customHeight="1" x14ac:dyDescent="0.25">
      <c r="A47" s="18">
        <v>141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0.1048</v>
      </c>
      <c r="H47">
        <v>5.3999999999999999E-2</v>
      </c>
      <c r="I47" s="56"/>
      <c r="J47" s="57">
        <f t="shared" si="1"/>
        <v>6.5866666666666671E-2</v>
      </c>
      <c r="K47" s="58">
        <f t="shared" si="2"/>
        <v>1.6083333333333331E-2</v>
      </c>
      <c r="L47" s="56"/>
      <c r="M47" s="62">
        <f t="shared" si="3"/>
        <v>6.1845833333333336E-2</v>
      </c>
      <c r="N47" s="56">
        <f t="shared" si="4"/>
        <v>4.2597554625000003</v>
      </c>
      <c r="O47" s="58">
        <f t="shared" si="5"/>
        <v>8.5195109250000005</v>
      </c>
      <c r="P47" s="56">
        <f t="shared" si="6"/>
        <v>0.85195109250000001</v>
      </c>
      <c r="Q47" s="57"/>
      <c r="R47" s="56"/>
      <c r="S47" s="58"/>
      <c r="T47" s="63">
        <f>D90</f>
        <v>141</v>
      </c>
      <c r="U47" s="64">
        <f>Q87</f>
        <v>6.1343578124999993</v>
      </c>
    </row>
    <row r="48" spans="1:21" ht="14.45" customHeight="1" x14ac:dyDescent="0.25">
      <c r="A48" s="18">
        <v>142</v>
      </c>
      <c r="B48" s="30">
        <v>10</v>
      </c>
      <c r="D48" s="78">
        <f>A34</f>
        <v>128</v>
      </c>
      <c r="E48" s="12" t="s">
        <v>71</v>
      </c>
      <c r="F48" s="12">
        <f>B34</f>
        <v>10</v>
      </c>
      <c r="G48">
        <v>0.27150000000000002</v>
      </c>
      <c r="H48">
        <v>4.53E-2</v>
      </c>
      <c r="I48" s="56"/>
      <c r="J48" s="57">
        <f t="shared" si="1"/>
        <v>0.2325666666666667</v>
      </c>
      <c r="K48" s="58">
        <f t="shared" si="2"/>
        <v>7.383333333333332E-3</v>
      </c>
      <c r="L48" s="56"/>
      <c r="M48" s="62">
        <f t="shared" si="3"/>
        <v>0.23072083333333337</v>
      </c>
      <c r="N48" s="56">
        <f t="shared" si="4"/>
        <v>15.891358837500002</v>
      </c>
      <c r="O48" s="58">
        <f t="shared" si="5"/>
        <v>31.782717675000004</v>
      </c>
      <c r="P48" s="56">
        <f t="shared" si="6"/>
        <v>3.1782717675000005</v>
      </c>
      <c r="Q48" s="57">
        <f>AVERAGE(P48:P50)</f>
        <v>3.4106168475</v>
      </c>
      <c r="R48" s="56">
        <f>STDEV(P48:P50)</f>
        <v>0.20853424118046152</v>
      </c>
      <c r="S48" s="58">
        <f>R48/Q48*100</f>
        <v>6.1142676091956272</v>
      </c>
      <c r="T48" s="63">
        <f>D96</f>
        <v>142</v>
      </c>
      <c r="U48" s="64">
        <f>Q90</f>
        <v>0.65048586749999993</v>
      </c>
    </row>
    <row r="49" spans="1:22" ht="14.45" customHeight="1" x14ac:dyDescent="0.25">
      <c r="A49" s="18">
        <v>143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0.30080000000000001</v>
      </c>
      <c r="H49">
        <v>4.5400000000000003E-2</v>
      </c>
      <c r="I49" s="56"/>
      <c r="J49" s="57">
        <f t="shared" si="1"/>
        <v>0.26186666666666669</v>
      </c>
      <c r="K49" s="58">
        <f t="shared" si="2"/>
        <v>7.4833333333333349E-3</v>
      </c>
      <c r="L49" s="56"/>
      <c r="M49" s="62">
        <f t="shared" si="3"/>
        <v>0.25999583333333337</v>
      </c>
      <c r="N49" s="56">
        <f t="shared" si="4"/>
        <v>17.9077330125</v>
      </c>
      <c r="O49" s="58">
        <f t="shared" si="5"/>
        <v>35.815466024999999</v>
      </c>
      <c r="P49" s="56">
        <f t="shared" si="6"/>
        <v>3.5815466025</v>
      </c>
      <c r="Q49" s="57"/>
      <c r="R49" s="56"/>
      <c r="S49" s="58"/>
      <c r="T49" s="63">
        <f>D99</f>
        <v>143</v>
      </c>
      <c r="U49" s="64">
        <f>Q93</f>
        <v>0.55417286249999986</v>
      </c>
    </row>
    <row r="50" spans="1:22" ht="14.45" customHeight="1" x14ac:dyDescent="0.25">
      <c r="A50" s="18">
        <v>144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0.29270000000000002</v>
      </c>
      <c r="H50">
        <v>4.48E-2</v>
      </c>
      <c r="I50" s="56"/>
      <c r="J50" s="57">
        <f t="shared" si="1"/>
        <v>0.2537666666666667</v>
      </c>
      <c r="K50" s="58">
        <f t="shared" si="2"/>
        <v>6.8833333333333316E-3</v>
      </c>
      <c r="L50" s="56"/>
      <c r="M50" s="62">
        <f t="shared" si="3"/>
        <v>0.25204583333333336</v>
      </c>
      <c r="N50" s="56">
        <f t="shared" si="4"/>
        <v>17.360160862499999</v>
      </c>
      <c r="O50" s="58">
        <f t="shared" si="5"/>
        <v>34.720321724999998</v>
      </c>
      <c r="P50" s="56">
        <f t="shared" si="6"/>
        <v>3.4720321724999996</v>
      </c>
      <c r="Q50" s="57"/>
      <c r="R50" s="56"/>
      <c r="S50" s="58"/>
      <c r="T50" s="67">
        <f>D102</f>
        <v>144</v>
      </c>
      <c r="U50" s="68">
        <f>Q96</f>
        <v>0.80132649749999996</v>
      </c>
    </row>
    <row r="51" spans="1:22" ht="14.45" customHeight="1" x14ac:dyDescent="0.25">
      <c r="D51" s="78">
        <f>A35</f>
        <v>129</v>
      </c>
      <c r="E51" s="12" t="s">
        <v>74</v>
      </c>
      <c r="F51" s="12">
        <f>B35</f>
        <v>10</v>
      </c>
      <c r="G51">
        <v>0.16539999999999999</v>
      </c>
      <c r="H51">
        <v>3.9399999999999998E-2</v>
      </c>
      <c r="I51" s="56"/>
      <c r="J51" s="57">
        <f t="shared" si="1"/>
        <v>0.12646666666666667</v>
      </c>
      <c r="K51" s="58">
        <f t="shared" si="2"/>
        <v>1.4833333333333296E-3</v>
      </c>
      <c r="L51" s="56"/>
      <c r="M51" s="62">
        <f t="shared" si="3"/>
        <v>0.12609583333333335</v>
      </c>
      <c r="N51" s="56">
        <f t="shared" si="4"/>
        <v>8.6851027125000009</v>
      </c>
      <c r="O51" s="58">
        <f t="shared" si="5"/>
        <v>17.370205425000002</v>
      </c>
      <c r="P51" s="56">
        <f t="shared" si="6"/>
        <v>1.7370205425000003</v>
      </c>
      <c r="Q51" s="57">
        <f>AVERAGE(P51:P53)</f>
        <v>1.8398768624999999</v>
      </c>
      <c r="R51" s="56">
        <f>STDEV(P51:P53)</f>
        <v>8.9078848932109919E-2</v>
      </c>
      <c r="S51" s="58">
        <f>R51/Q51*100</f>
        <v>4.8415657997389445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0.17660000000000001</v>
      </c>
      <c r="H52">
        <v>3.9199999999999999E-2</v>
      </c>
      <c r="I52" s="56"/>
      <c r="J52" s="57">
        <f t="shared" si="1"/>
        <v>0.13766666666666666</v>
      </c>
      <c r="K52" s="58">
        <f t="shared" si="2"/>
        <v>1.2833333333333308E-3</v>
      </c>
      <c r="L52" s="56"/>
      <c r="M52" s="62">
        <f t="shared" si="3"/>
        <v>0.13734583333333333</v>
      </c>
      <c r="N52" s="56">
        <f t="shared" si="4"/>
        <v>9.4599689624999996</v>
      </c>
      <c r="O52" s="58">
        <f t="shared" si="5"/>
        <v>18.919937924999999</v>
      </c>
      <c r="P52" s="56">
        <f t="shared" si="6"/>
        <v>1.8919937924999999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0.17649999999999999</v>
      </c>
      <c r="H53">
        <v>3.9199999999999999E-2</v>
      </c>
      <c r="I53" s="56"/>
      <c r="J53" s="57">
        <f t="shared" si="1"/>
        <v>0.13756666666666667</v>
      </c>
      <c r="K53" s="58">
        <f t="shared" si="2"/>
        <v>1.2833333333333308E-3</v>
      </c>
      <c r="L53" s="56"/>
      <c r="M53" s="62">
        <f t="shared" si="3"/>
        <v>0.13724583333333334</v>
      </c>
      <c r="N53" s="56">
        <f t="shared" si="4"/>
        <v>9.4530812624999996</v>
      </c>
      <c r="O53" s="58">
        <f t="shared" si="5"/>
        <v>18.906162524999999</v>
      </c>
      <c r="P53" s="56">
        <f t="shared" si="6"/>
        <v>1.8906162524999999</v>
      </c>
      <c r="Q53" s="57"/>
      <c r="R53" s="56"/>
      <c r="S53" s="58"/>
      <c r="T53" s="56"/>
    </row>
    <row r="54" spans="1:22" ht="14.45" customHeight="1" x14ac:dyDescent="0.25">
      <c r="D54" s="78">
        <f>A36</f>
        <v>130</v>
      </c>
      <c r="E54" s="12" t="s">
        <v>77</v>
      </c>
      <c r="F54" s="12">
        <f>B36</f>
        <v>10</v>
      </c>
      <c r="G54">
        <v>8.5699999999999998E-2</v>
      </c>
      <c r="H54">
        <v>3.9800000000000002E-2</v>
      </c>
      <c r="I54" s="56"/>
      <c r="J54" s="57">
        <f t="shared" si="1"/>
        <v>4.6766666666666665E-2</v>
      </c>
      <c r="K54" s="58">
        <f t="shared" si="2"/>
        <v>1.8833333333333341E-3</v>
      </c>
      <c r="L54" s="56"/>
      <c r="M54" s="62">
        <f t="shared" si="3"/>
        <v>4.6295833333333328E-2</v>
      </c>
      <c r="N54" s="56">
        <f t="shared" si="4"/>
        <v>3.1887181124999993</v>
      </c>
      <c r="O54" s="58">
        <f t="shared" si="5"/>
        <v>6.3774362249999985</v>
      </c>
      <c r="P54" s="56">
        <f t="shared" si="6"/>
        <v>0.63774362249999983</v>
      </c>
      <c r="Q54" s="57">
        <f>AVERAGE(P54:P56)</f>
        <v>0.72716892749999984</v>
      </c>
      <c r="R54" s="56">
        <f>STDEV(P54:P56)</f>
        <v>8.6749708798409139E-2</v>
      </c>
      <c r="S54" s="58">
        <f>R54/Q54*100</f>
        <v>11.929787634993405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9.4399999999999998E-2</v>
      </c>
      <c r="H55">
        <v>4.7E-2</v>
      </c>
      <c r="I55" s="56"/>
      <c r="J55" s="57">
        <f t="shared" si="1"/>
        <v>5.5466666666666664E-2</v>
      </c>
      <c r="K55" s="58">
        <f t="shared" si="2"/>
        <v>9.0833333333333321E-3</v>
      </c>
      <c r="L55" s="56"/>
      <c r="M55" s="62">
        <f t="shared" si="3"/>
        <v>5.3195833333333331E-2</v>
      </c>
      <c r="N55" s="56">
        <f t="shared" si="4"/>
        <v>3.6639694124999997</v>
      </c>
      <c r="O55" s="58">
        <f t="shared" si="5"/>
        <v>7.3279388249999995</v>
      </c>
      <c r="P55" s="56">
        <f t="shared" si="6"/>
        <v>0.73279388249999999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0.1027</v>
      </c>
      <c r="H56">
        <v>5.7500000000000002E-2</v>
      </c>
      <c r="I56" s="56"/>
      <c r="J56" s="57">
        <f t="shared" si="1"/>
        <v>6.3766666666666666E-2</v>
      </c>
      <c r="K56" s="58">
        <f t="shared" si="2"/>
        <v>1.9583333333333335E-2</v>
      </c>
      <c r="L56" s="56"/>
      <c r="M56" s="62">
        <f t="shared" si="3"/>
        <v>5.8870833333333331E-2</v>
      </c>
      <c r="N56" s="56">
        <f t="shared" si="4"/>
        <v>4.0548463874999996</v>
      </c>
      <c r="O56" s="58">
        <f t="shared" si="5"/>
        <v>8.1096927749999992</v>
      </c>
      <c r="P56" s="56">
        <f t="shared" si="6"/>
        <v>0.81096927749999992</v>
      </c>
      <c r="Q56" s="57"/>
      <c r="R56" s="56"/>
      <c r="S56" s="58"/>
      <c r="T56" s="56"/>
    </row>
    <row r="57" spans="1:22" ht="14.45" customHeight="1" x14ac:dyDescent="0.25">
      <c r="D57" s="78">
        <f>A37</f>
        <v>131</v>
      </c>
      <c r="E57" s="12" t="s">
        <v>80</v>
      </c>
      <c r="F57" s="12">
        <f>B37</f>
        <v>10</v>
      </c>
      <c r="G57">
        <v>0.75390000000000001</v>
      </c>
      <c r="H57">
        <v>3.8899999999999997E-2</v>
      </c>
      <c r="I57" s="56"/>
      <c r="J57" s="57">
        <f t="shared" si="1"/>
        <v>0.71496666666666664</v>
      </c>
      <c r="K57" s="58">
        <f t="shared" si="2"/>
        <v>9.8333333333332912E-4</v>
      </c>
      <c r="L57" s="56"/>
      <c r="M57" s="62">
        <f t="shared" si="3"/>
        <v>0.71472083333333336</v>
      </c>
      <c r="N57" s="56">
        <f t="shared" si="4"/>
        <v>49.227826837499997</v>
      </c>
      <c r="O57" s="58">
        <f t="shared" si="5"/>
        <v>98.455653674999994</v>
      </c>
      <c r="P57" s="56">
        <f t="shared" si="6"/>
        <v>9.845565367499999</v>
      </c>
      <c r="Q57" s="57">
        <f>AVERAGE(P57:P59)</f>
        <v>11.325846892499998</v>
      </c>
      <c r="R57" s="56">
        <f>STDEV(P57:P59)</f>
        <v>1.2982073162627228</v>
      </c>
      <c r="S57" s="58">
        <f>R57/Q57*100</f>
        <v>11.462342097546795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0.90039999999999998</v>
      </c>
      <c r="H58">
        <v>3.9600000000000003E-2</v>
      </c>
      <c r="I58" s="56"/>
      <c r="J58" s="57">
        <f t="shared" si="1"/>
        <v>0.8614666666666666</v>
      </c>
      <c r="K58" s="58">
        <f t="shared" si="2"/>
        <v>1.6833333333333353E-3</v>
      </c>
      <c r="L58" s="56"/>
      <c r="M58" s="62">
        <f t="shared" si="3"/>
        <v>0.86104583333333329</v>
      </c>
      <c r="N58" s="56">
        <f t="shared" si="4"/>
        <v>59.306253862499993</v>
      </c>
      <c r="O58" s="58">
        <f t="shared" si="5"/>
        <v>118.61250772499999</v>
      </c>
      <c r="P58" s="56">
        <f t="shared" si="6"/>
        <v>11.861250772499998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0.9304</v>
      </c>
      <c r="H59">
        <v>4.07E-2</v>
      </c>
      <c r="I59" s="56"/>
      <c r="J59" s="57">
        <f t="shared" si="1"/>
        <v>0.89146666666666663</v>
      </c>
      <c r="K59" s="58">
        <f t="shared" si="2"/>
        <v>2.7833333333333321E-3</v>
      </c>
      <c r="L59" s="56"/>
      <c r="M59" s="62">
        <f t="shared" si="3"/>
        <v>0.89077083333333329</v>
      </c>
      <c r="N59" s="56">
        <f t="shared" si="4"/>
        <v>61.353622687499993</v>
      </c>
      <c r="O59" s="58">
        <f t="shared" si="5"/>
        <v>122.70724537499999</v>
      </c>
      <c r="P59" s="56">
        <f t="shared" si="6"/>
        <v>12.270724537499998</v>
      </c>
      <c r="Q59" s="57"/>
      <c r="R59" s="56"/>
      <c r="S59" s="58"/>
      <c r="T59" s="56"/>
    </row>
    <row r="60" spans="1:22" ht="14.45" customHeight="1" x14ac:dyDescent="0.25">
      <c r="D60" s="78">
        <f>A38</f>
        <v>132</v>
      </c>
      <c r="E60" s="12" t="s">
        <v>83</v>
      </c>
      <c r="F60" s="12">
        <f>B38</f>
        <v>10</v>
      </c>
      <c r="G60">
        <v>0.10349999999999999</v>
      </c>
      <c r="H60">
        <v>4.6100000000000002E-2</v>
      </c>
      <c r="I60" s="56"/>
      <c r="J60" s="57">
        <f t="shared" si="1"/>
        <v>6.4566666666666661E-2</v>
      </c>
      <c r="K60" s="58">
        <f t="shared" si="2"/>
        <v>8.1833333333333341E-3</v>
      </c>
      <c r="L60" s="56"/>
      <c r="M60" s="62">
        <f t="shared" si="3"/>
        <v>6.2520833333333331E-2</v>
      </c>
      <c r="N60" s="56">
        <f t="shared" si="4"/>
        <v>4.3062474374999997</v>
      </c>
      <c r="O60" s="58">
        <f t="shared" si="5"/>
        <v>8.6124948749999994</v>
      </c>
      <c r="P60" s="56">
        <f t="shared" si="6"/>
        <v>0.86124948749999997</v>
      </c>
      <c r="Q60" s="57">
        <f>AVERAGE(P60:P62)</f>
        <v>0.82704057750000004</v>
      </c>
      <c r="R60" s="56">
        <f>STDEV(P60:P62)</f>
        <v>2.9723704226157593E-2</v>
      </c>
      <c r="S60" s="58">
        <f>R60/Q60*100</f>
        <v>3.5939837820300404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9.74E-2</v>
      </c>
      <c r="H61">
        <v>3.73E-2</v>
      </c>
      <c r="I61" s="56"/>
      <c r="J61" s="57">
        <f t="shared" si="1"/>
        <v>5.8466666666666667E-2</v>
      </c>
      <c r="K61" s="58">
        <f t="shared" si="2"/>
        <v>-6.1666666666666814E-4</v>
      </c>
      <c r="L61" s="56"/>
      <c r="M61" s="62">
        <f t="shared" si="3"/>
        <v>5.862083333333333E-2</v>
      </c>
      <c r="N61" s="56">
        <f t="shared" si="4"/>
        <v>4.0376271374999995</v>
      </c>
      <c r="O61" s="58">
        <f t="shared" si="5"/>
        <v>8.0752542749999989</v>
      </c>
      <c r="P61" s="56">
        <f t="shared" si="6"/>
        <v>0.80752542749999989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9.7600000000000006E-2</v>
      </c>
      <c r="H62">
        <v>3.6700000000000003E-2</v>
      </c>
      <c r="I62" s="56"/>
      <c r="J62" s="57">
        <f t="shared" si="1"/>
        <v>5.8666666666666673E-2</v>
      </c>
      <c r="K62" s="58">
        <f t="shared" si="2"/>
        <v>-1.2166666666666645E-3</v>
      </c>
      <c r="L62" s="56"/>
      <c r="M62" s="62">
        <f t="shared" si="3"/>
        <v>5.897083333333334E-2</v>
      </c>
      <c r="N62" s="56">
        <f t="shared" si="4"/>
        <v>4.0617340875000005</v>
      </c>
      <c r="O62" s="58">
        <f t="shared" si="5"/>
        <v>8.1234681750000011</v>
      </c>
      <c r="P62" s="56">
        <f t="shared" si="6"/>
        <v>0.81234681750000015</v>
      </c>
      <c r="Q62" s="57"/>
      <c r="R62" s="56"/>
      <c r="S62" s="58"/>
      <c r="T62" s="56"/>
    </row>
    <row r="63" spans="1:22" ht="14.45" customHeight="1" x14ac:dyDescent="0.25">
      <c r="D63" s="78">
        <f>A39</f>
        <v>133</v>
      </c>
      <c r="E63" s="12" t="s">
        <v>86</v>
      </c>
      <c r="F63" s="12">
        <f>B39</f>
        <v>10</v>
      </c>
      <c r="G63">
        <v>0.11609999999999999</v>
      </c>
      <c r="H63">
        <v>0.04</v>
      </c>
      <c r="I63" s="56"/>
      <c r="J63" s="57">
        <f t="shared" si="1"/>
        <v>7.7166666666666661E-2</v>
      </c>
      <c r="K63" s="58">
        <f t="shared" si="2"/>
        <v>2.0833333333333329E-3</v>
      </c>
      <c r="L63" s="56"/>
      <c r="M63" s="62">
        <f t="shared" si="3"/>
        <v>7.664583333333333E-2</v>
      </c>
      <c r="N63" s="56">
        <f t="shared" si="4"/>
        <v>5.2791350624999991</v>
      </c>
      <c r="O63" s="58">
        <f t="shared" si="5"/>
        <v>10.558270124999998</v>
      </c>
      <c r="P63" s="56">
        <f t="shared" si="6"/>
        <v>1.0558270124999998</v>
      </c>
      <c r="Q63" s="57">
        <f>AVERAGE(P63:P65)</f>
        <v>0.72693933750000006</v>
      </c>
      <c r="R63" s="56">
        <f>STDEV(P63:P65)</f>
        <v>0.28630782047817455</v>
      </c>
      <c r="S63" s="58">
        <f>R63/Q63*100</f>
        <v>39.385380004720751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7.8200000000000006E-2</v>
      </c>
      <c r="H64">
        <v>4.0099999999999997E-2</v>
      </c>
      <c r="I64" s="56"/>
      <c r="J64" s="57">
        <f t="shared" si="1"/>
        <v>3.9266666666666672E-2</v>
      </c>
      <c r="K64" s="58">
        <f t="shared" si="2"/>
        <v>2.1833333333333288E-3</v>
      </c>
      <c r="L64" s="56"/>
      <c r="M64" s="62">
        <f t="shared" si="3"/>
        <v>3.8720833333333343E-2</v>
      </c>
      <c r="N64" s="56">
        <f t="shared" si="4"/>
        <v>2.6669748375000006</v>
      </c>
      <c r="O64" s="58">
        <f t="shared" si="5"/>
        <v>5.3339496750000013</v>
      </c>
      <c r="P64" s="56">
        <f t="shared" si="6"/>
        <v>0.53339496750000015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8.2900000000000001E-2</v>
      </c>
      <c r="H65">
        <v>4.2000000000000003E-2</v>
      </c>
      <c r="I65" s="56"/>
      <c r="J65" s="57">
        <f t="shared" si="1"/>
        <v>4.3966666666666668E-2</v>
      </c>
      <c r="K65" s="58">
        <f t="shared" si="2"/>
        <v>4.0833333333333346E-3</v>
      </c>
      <c r="L65" s="56"/>
      <c r="M65" s="62">
        <f t="shared" si="3"/>
        <v>4.2945833333333336E-2</v>
      </c>
      <c r="N65" s="56">
        <f t="shared" si="4"/>
        <v>2.9579801625000002</v>
      </c>
      <c r="O65" s="58">
        <f t="shared" si="5"/>
        <v>5.9159603250000004</v>
      </c>
      <c r="P65" s="56">
        <f t="shared" si="6"/>
        <v>0.59159603250000004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0.2727</v>
      </c>
      <c r="H66">
        <v>3.9300000000000002E-2</v>
      </c>
      <c r="I66" s="56"/>
      <c r="J66" s="57">
        <f>G69-$J$14</f>
        <v>0.12536666666666668</v>
      </c>
      <c r="K66" s="58">
        <f>H69-$K$14</f>
        <v>2.9583333333333336E-2</v>
      </c>
      <c r="L66" s="56"/>
      <c r="M66" s="62">
        <f t="shared" si="3"/>
        <v>0.11797083333333334</v>
      </c>
      <c r="N66" s="56">
        <f t="shared" si="4"/>
        <v>8.1254770875000002</v>
      </c>
      <c r="O66" s="58">
        <f t="shared" si="5"/>
        <v>16.250954175</v>
      </c>
      <c r="P66" s="56">
        <f>O66/F69</f>
        <v>1.6250954175000001</v>
      </c>
      <c r="Q66" s="57">
        <f>AVERAGE(P66:P68)</f>
        <v>1.6943168024999997</v>
      </c>
      <c r="R66" s="56">
        <f>STDEV(P66:P68)</f>
        <v>6.0538338044421929E-2</v>
      </c>
      <c r="S66" s="58">
        <f>R66/Q66*100</f>
        <v>3.5730235310832277</v>
      </c>
      <c r="T66" s="56"/>
    </row>
    <row r="67" spans="4:20" ht="14.45" customHeight="1" x14ac:dyDescent="0.25">
      <c r="D67" s="71"/>
      <c r="E67" s="17" t="s">
        <v>126</v>
      </c>
      <c r="F67" s="17"/>
      <c r="G67">
        <v>0.95369999999999999</v>
      </c>
      <c r="H67">
        <v>3.8600000000000002E-2</v>
      </c>
      <c r="I67" s="56"/>
      <c r="J67" s="57">
        <f>G70-$J$14</f>
        <v>0.12666666666666665</v>
      </c>
      <c r="K67" s="58">
        <f>H70-$K$14</f>
        <v>2.1833333333333288E-3</v>
      </c>
      <c r="L67" s="56"/>
      <c r="M67" s="62">
        <f t="shared" si="3"/>
        <v>0.12612083333333332</v>
      </c>
      <c r="N67" s="56">
        <f t="shared" si="4"/>
        <v>8.6868246374999991</v>
      </c>
      <c r="O67" s="58">
        <f t="shared" si="5"/>
        <v>17.373649274999998</v>
      </c>
      <c r="P67" s="56">
        <f>O67/F70</f>
        <v>1.7373649274999998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1.7936000000000001</v>
      </c>
      <c r="H68">
        <v>3.6999999999999998E-2</v>
      </c>
      <c r="I68" s="56"/>
      <c r="J68" s="57">
        <f>G71-$J$14</f>
        <v>0.12516666666666665</v>
      </c>
      <c r="K68" s="58">
        <f>H71-$K$14</f>
        <v>1.083333333333332E-3</v>
      </c>
      <c r="L68" s="56"/>
      <c r="M68" s="62">
        <f t="shared" si="3"/>
        <v>0.12489583333333332</v>
      </c>
      <c r="N68" s="56">
        <f t="shared" si="4"/>
        <v>8.6024503124999985</v>
      </c>
      <c r="O68" s="58">
        <f t="shared" si="5"/>
        <v>17.204900624999997</v>
      </c>
      <c r="P68" s="56">
        <f>O68/F71</f>
        <v>1.7204900624999997</v>
      </c>
      <c r="Q68" s="57"/>
      <c r="R68" s="56"/>
      <c r="S68" s="58"/>
      <c r="T68" s="56"/>
    </row>
    <row r="69" spans="4:20" ht="14.45" customHeight="1" x14ac:dyDescent="0.25">
      <c r="D69" s="78">
        <f>A40</f>
        <v>134</v>
      </c>
      <c r="E69" s="12" t="s">
        <v>89</v>
      </c>
      <c r="F69" s="12">
        <f>B40</f>
        <v>10</v>
      </c>
      <c r="G69">
        <v>0.1643</v>
      </c>
      <c r="H69">
        <v>6.7500000000000004E-2</v>
      </c>
      <c r="I69" s="56"/>
      <c r="J69" s="57">
        <f>G72-$J$14</f>
        <v>0.20136666666666669</v>
      </c>
      <c r="K69" s="58">
        <f>H72-$K$14</f>
        <v>0.16458333333333336</v>
      </c>
      <c r="L69" s="56"/>
      <c r="M69" s="62">
        <f t="shared" si="3"/>
        <v>0.16022083333333337</v>
      </c>
      <c r="N69" s="56">
        <f t="shared" si="4"/>
        <v>11.035530337500001</v>
      </c>
      <c r="O69" s="58">
        <f t="shared" si="5"/>
        <v>22.071060675000002</v>
      </c>
      <c r="P69" s="56">
        <f>O69/F72</f>
        <v>2.2071060675000003</v>
      </c>
      <c r="Q69" s="57">
        <f>AVERAGE(P69:P71)</f>
        <v>1.1878412625000001</v>
      </c>
      <c r="R69" s="56">
        <f>STDEV(P69:P71)</f>
        <v>0.88341474353021521</v>
      </c>
      <c r="S69" s="58">
        <f>R69/Q69*100</f>
        <v>74.371447719447715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0.1656</v>
      </c>
      <c r="H70">
        <v>4.0099999999999997E-2</v>
      </c>
      <c r="I70" s="56"/>
      <c r="J70" s="57">
        <f>G73-$J$14</f>
        <v>4.696666666666667E-2</v>
      </c>
      <c r="K70" s="58">
        <f>H73-$K$14</f>
        <v>1.1833333333333348E-3</v>
      </c>
      <c r="L70" s="56"/>
      <c r="M70" s="62">
        <f t="shared" si="3"/>
        <v>4.6670833333333335E-2</v>
      </c>
      <c r="N70" s="56">
        <f t="shared" si="4"/>
        <v>3.2145469874999999</v>
      </c>
      <c r="O70" s="58">
        <f t="shared" si="5"/>
        <v>6.4290939749999998</v>
      </c>
      <c r="P70" s="56">
        <f>O70/F73</f>
        <v>0.64290939749999998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0.1641</v>
      </c>
      <c r="H71">
        <v>3.9E-2</v>
      </c>
      <c r="I71" s="56"/>
      <c r="J71" s="57">
        <f>G74-$J$14</f>
        <v>5.3066666666666665E-2</v>
      </c>
      <c r="K71" s="58">
        <f>H74-$K$14</f>
        <v>5.0833333333333286E-3</v>
      </c>
      <c r="L71" s="56"/>
      <c r="M71" s="62">
        <f t="shared" si="3"/>
        <v>5.1795833333333333E-2</v>
      </c>
      <c r="N71" s="56">
        <f t="shared" si="4"/>
        <v>3.5675416124999999</v>
      </c>
      <c r="O71" s="58">
        <f t="shared" si="5"/>
        <v>7.1350832249999998</v>
      </c>
      <c r="P71" s="56">
        <f>O71/F74</f>
        <v>0.71350832249999996</v>
      </c>
      <c r="Q71" s="57"/>
      <c r="R71" s="56"/>
      <c r="S71" s="58"/>
      <c r="T71" s="56"/>
    </row>
    <row r="72" spans="4:20" ht="14.45" customHeight="1" x14ac:dyDescent="0.25">
      <c r="D72" s="78">
        <f>A41</f>
        <v>135</v>
      </c>
      <c r="E72" s="12" t="s">
        <v>92</v>
      </c>
      <c r="F72" s="12">
        <f>B41</f>
        <v>10</v>
      </c>
      <c r="G72">
        <v>0.24030000000000001</v>
      </c>
      <c r="H72">
        <v>0.20250000000000001</v>
      </c>
      <c r="I72" s="56"/>
      <c r="J72" s="57">
        <f>G75-$J$14</f>
        <v>3.9566666666666667E-2</v>
      </c>
      <c r="K72" s="58">
        <f>H75-$K$14</f>
        <v>1.6833333333333353E-3</v>
      </c>
      <c r="L72" s="56"/>
      <c r="M72" s="62">
        <f t="shared" si="3"/>
        <v>3.9145833333333331E-2</v>
      </c>
      <c r="N72" s="56">
        <f t="shared" si="4"/>
        <v>2.6962475624999995</v>
      </c>
      <c r="O72" s="58">
        <f t="shared" si="5"/>
        <v>5.3924951249999991</v>
      </c>
      <c r="P72" s="56">
        <f>O72/F75</f>
        <v>0.53924951249999986</v>
      </c>
      <c r="Q72" s="57">
        <f>AVERAGE(P72:P74)</f>
        <v>0.59974647749999999</v>
      </c>
      <c r="R72" s="56">
        <f>STDEV(P72:P74)</f>
        <v>5.2699157589023056E-2</v>
      </c>
      <c r="S72" s="58">
        <f>R72/Q72*100</f>
        <v>8.7869057286831769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8.5900000000000004E-2</v>
      </c>
      <c r="H73">
        <v>3.9100000000000003E-2</v>
      </c>
      <c r="I73" s="56"/>
      <c r="J73" s="57">
        <f>G76-$J$14</f>
        <v>4.7366666666666668E-2</v>
      </c>
      <c r="K73" s="58">
        <f>H76-$K$14</f>
        <v>4.8833333333333298E-3</v>
      </c>
      <c r="L73" s="56"/>
      <c r="M73" s="62">
        <f t="shared" si="3"/>
        <v>4.6145833333333337E-2</v>
      </c>
      <c r="N73" s="56">
        <f t="shared" si="4"/>
        <v>3.1783865625000001</v>
      </c>
      <c r="O73" s="58">
        <f t="shared" si="5"/>
        <v>6.3567731250000001</v>
      </c>
      <c r="P73" s="56">
        <f>O73/F76</f>
        <v>0.63567731250000004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9.1999999999999998E-2</v>
      </c>
      <c r="H74">
        <v>4.2999999999999997E-2</v>
      </c>
      <c r="I74" s="56"/>
      <c r="J74" s="57">
        <f>G77-$J$14</f>
        <v>4.596666666666667E-2</v>
      </c>
      <c r="K74" s="58">
        <f>H77-$K$14</f>
        <v>2.5833333333333333E-3</v>
      </c>
      <c r="L74" s="56"/>
      <c r="M74" s="62">
        <f t="shared" si="3"/>
        <v>4.5320833333333338E-2</v>
      </c>
      <c r="N74" s="56">
        <f t="shared" si="4"/>
        <v>3.1215630375000001</v>
      </c>
      <c r="O74" s="58">
        <f t="shared" si="5"/>
        <v>6.2431260750000002</v>
      </c>
      <c r="P74" s="56">
        <f>O74/F77</f>
        <v>0.62431260750000006</v>
      </c>
      <c r="Q74" s="57"/>
      <c r="R74" s="56"/>
      <c r="S74" s="58"/>
      <c r="T74" s="56"/>
    </row>
    <row r="75" spans="4:20" ht="14.45" customHeight="1" x14ac:dyDescent="0.25">
      <c r="D75" s="78">
        <f>A42</f>
        <v>136</v>
      </c>
      <c r="E75" s="12" t="s">
        <v>95</v>
      </c>
      <c r="F75" s="12">
        <f>B42</f>
        <v>10</v>
      </c>
      <c r="G75">
        <v>7.85E-2</v>
      </c>
      <c r="H75">
        <v>3.9600000000000003E-2</v>
      </c>
      <c r="I75" s="56"/>
      <c r="J75" s="57">
        <f>G78-$J$14</f>
        <v>6.2666666666666662E-2</v>
      </c>
      <c r="K75" s="58">
        <f>H78-$K$14</f>
        <v>-5.1666666666666528E-4</v>
      </c>
      <c r="L75" s="56"/>
      <c r="M75" s="62">
        <f t="shared" si="3"/>
        <v>6.2795833333333329E-2</v>
      </c>
      <c r="N75" s="56">
        <f t="shared" si="4"/>
        <v>4.325188612499999</v>
      </c>
      <c r="O75" s="58">
        <f t="shared" si="5"/>
        <v>8.6503772249999979</v>
      </c>
      <c r="P75" s="56">
        <f>O75/F78</f>
        <v>0.86503772249999977</v>
      </c>
      <c r="Q75" s="57">
        <f>AVERAGE(P75:P77)</f>
        <v>0.91348121250000014</v>
      </c>
      <c r="R75" s="56">
        <f>STDEV(P75:P77)</f>
        <v>4.2229428057542887E-2</v>
      </c>
      <c r="S75" s="58">
        <f>R75/Q75*100</f>
        <v>4.6229115037812427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8.6300000000000002E-2</v>
      </c>
      <c r="H76">
        <v>4.2799999999999998E-2</v>
      </c>
      <c r="I76" s="56"/>
      <c r="J76" s="57">
        <f>G79-$J$14</f>
        <v>6.876666666666667E-2</v>
      </c>
      <c r="K76" s="58">
        <f>H79-$K$14</f>
        <v>1.3833333333333336E-3</v>
      </c>
      <c r="L76" s="56"/>
      <c r="M76" s="62">
        <f t="shared" si="3"/>
        <v>6.8420833333333334E-2</v>
      </c>
      <c r="N76" s="56">
        <f t="shared" si="4"/>
        <v>4.7126217375000001</v>
      </c>
      <c r="O76" s="58">
        <f t="shared" si="5"/>
        <v>9.4252434750000003</v>
      </c>
      <c r="P76" s="56">
        <f>O76/F79</f>
        <v>0.94252434750000003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8.4900000000000003E-2</v>
      </c>
      <c r="H77">
        <v>4.0500000000000001E-2</v>
      </c>
      <c r="I77" s="56"/>
      <c r="J77" s="57">
        <f>G80-$J$14</f>
        <v>6.8166666666666667E-2</v>
      </c>
      <c r="K77" s="58">
        <f>H80-$K$14</f>
        <v>1.7833333333333312E-3</v>
      </c>
      <c r="L77" s="56"/>
      <c r="M77" s="62">
        <f t="shared" si="3"/>
        <v>6.7720833333333341E-2</v>
      </c>
      <c r="N77" s="56">
        <f t="shared" si="4"/>
        <v>4.6644078375000007</v>
      </c>
      <c r="O77" s="58">
        <f t="shared" si="5"/>
        <v>9.3288156750000013</v>
      </c>
      <c r="P77" s="56">
        <f>O77/F80</f>
        <v>0.93288156750000018</v>
      </c>
      <c r="Q77" s="57"/>
      <c r="R77" s="56"/>
      <c r="S77" s="58"/>
      <c r="T77" s="56"/>
    </row>
    <row r="78" spans="4:20" ht="14.45" customHeight="1" x14ac:dyDescent="0.25">
      <c r="D78" s="78">
        <f>A43</f>
        <v>137</v>
      </c>
      <c r="E78" s="12" t="s">
        <v>98</v>
      </c>
      <c r="F78" s="12">
        <f>B43</f>
        <v>10</v>
      </c>
      <c r="G78">
        <v>0.1016</v>
      </c>
      <c r="H78">
        <v>3.7400000000000003E-2</v>
      </c>
      <c r="I78" s="56"/>
      <c r="J78" s="57">
        <f>G81-$J$14</f>
        <v>2.8966666666666668E-2</v>
      </c>
      <c r="K78" s="58">
        <f>H81-$K$14</f>
        <v>8.8333333333333319E-4</v>
      </c>
      <c r="L78" s="56"/>
      <c r="M78" s="62">
        <f t="shared" si="3"/>
        <v>2.8745833333333335E-2</v>
      </c>
      <c r="N78" s="56">
        <f t="shared" si="4"/>
        <v>1.9799267624999999</v>
      </c>
      <c r="O78" s="58">
        <f t="shared" si="5"/>
        <v>3.9598535249999998</v>
      </c>
      <c r="P78" s="56">
        <f>O78/F81</f>
        <v>0.3959853525</v>
      </c>
      <c r="Q78" s="57">
        <f>AVERAGE(P78:P80)</f>
        <v>0.4490206424999999</v>
      </c>
      <c r="R78" s="56">
        <f>STDEV(P78:P80)</f>
        <v>4.6058838368553873E-2</v>
      </c>
      <c r="S78" s="58">
        <f>R78/Q78*100</f>
        <v>10.257621589981552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0.1077</v>
      </c>
      <c r="H79">
        <v>3.9300000000000002E-2</v>
      </c>
      <c r="I79" s="56"/>
      <c r="J79" s="57">
        <f>G82-$J$14</f>
        <v>3.4266666666666667E-2</v>
      </c>
      <c r="K79" s="58">
        <f>H82-$K$14</f>
        <v>-1.6666666666664831E-5</v>
      </c>
      <c r="L79" s="56"/>
      <c r="M79" s="62">
        <f t="shared" si="3"/>
        <v>3.4270833333333334E-2</v>
      </c>
      <c r="N79" s="56">
        <f t="shared" si="4"/>
        <v>2.3604721874999997</v>
      </c>
      <c r="O79" s="58">
        <f t="shared" si="5"/>
        <v>4.7209443749999993</v>
      </c>
      <c r="P79" s="56">
        <f>O79/F82</f>
        <v>0.47209443749999991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0.1071</v>
      </c>
      <c r="H80">
        <v>3.9699999999999999E-2</v>
      </c>
      <c r="I80" s="56"/>
      <c r="J80" s="57">
        <f>G83-$J$14</f>
        <v>3.496666666666666E-2</v>
      </c>
      <c r="K80" s="58">
        <f>H83-$K$14</f>
        <v>7.8333333333333033E-4</v>
      </c>
      <c r="L80" s="56"/>
      <c r="M80" s="62">
        <f t="shared" si="3"/>
        <v>3.4770833333333327E-2</v>
      </c>
      <c r="N80" s="56">
        <f t="shared" si="4"/>
        <v>2.3949106874999995</v>
      </c>
      <c r="O80" s="58">
        <f t="shared" si="5"/>
        <v>4.7898213749999989</v>
      </c>
      <c r="P80" s="56">
        <f>O80/F83</f>
        <v>0.4789821374999999</v>
      </c>
      <c r="Q80" s="57"/>
      <c r="R80" s="56"/>
      <c r="S80" s="58"/>
      <c r="T80" s="56"/>
    </row>
    <row r="81" spans="4:20" ht="14.45" customHeight="1" x14ac:dyDescent="0.25">
      <c r="D81" s="78">
        <f>A44</f>
        <v>138</v>
      </c>
      <c r="E81" s="12" t="s">
        <v>101</v>
      </c>
      <c r="F81" s="12">
        <f>B44</f>
        <v>10</v>
      </c>
      <c r="G81">
        <v>6.7900000000000002E-2</v>
      </c>
      <c r="H81">
        <v>3.8800000000000001E-2</v>
      </c>
      <c r="I81" s="56"/>
      <c r="J81" s="57">
        <f>G84-$J$14</f>
        <v>0.10086666666666667</v>
      </c>
      <c r="K81" s="58">
        <f>H84-$K$14</f>
        <v>8.8333333333333319E-4</v>
      </c>
      <c r="L81" s="56"/>
      <c r="M81" s="62">
        <f t="shared" si="3"/>
        <v>0.10064583333333334</v>
      </c>
      <c r="N81" s="56">
        <f t="shared" si="4"/>
        <v>6.9321830625</v>
      </c>
      <c r="O81" s="58">
        <f t="shared" si="5"/>
        <v>13.864366125</v>
      </c>
      <c r="P81" s="56">
        <f>O81/F84</f>
        <v>1.3864366125000001</v>
      </c>
      <c r="Q81" s="57">
        <f>AVERAGE(P81:P83)</f>
        <v>1.4949178874999998</v>
      </c>
      <c r="R81" s="56">
        <f>STDEV(P81:P83)</f>
        <v>9.4004489318417608E-2</v>
      </c>
      <c r="S81" s="58">
        <f>R81/Q81*100</f>
        <v>6.2882710886297852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7.3200000000000001E-2</v>
      </c>
      <c r="H82">
        <v>3.7900000000000003E-2</v>
      </c>
      <c r="I82" s="56"/>
      <c r="J82" s="57">
        <f>G85-$J$14</f>
        <v>0.11356666666666666</v>
      </c>
      <c r="K82" s="58">
        <f>H85-$K$14</f>
        <v>3.4833333333333313E-3</v>
      </c>
      <c r="L82" s="56"/>
      <c r="M82" s="62">
        <f t="shared" si="3"/>
        <v>0.11269583333333333</v>
      </c>
      <c r="N82" s="56">
        <f t="shared" si="4"/>
        <v>7.7621509124999992</v>
      </c>
      <c r="O82" s="58">
        <f t="shared" si="5"/>
        <v>15.524301824999998</v>
      </c>
      <c r="P82" s="56">
        <f>O82/F85</f>
        <v>1.5524301824999998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7.3899999999999993E-2</v>
      </c>
      <c r="H83">
        <v>3.8699999999999998E-2</v>
      </c>
      <c r="I83" s="56"/>
      <c r="J83" s="57">
        <f>G86-$J$14</f>
        <v>0.11256666666666666</v>
      </c>
      <c r="K83" s="58">
        <f>H86-$K$14</f>
        <v>1.3833333333333336E-3</v>
      </c>
      <c r="L83" s="56"/>
      <c r="M83" s="62">
        <f t="shared" si="3"/>
        <v>0.11222083333333333</v>
      </c>
      <c r="N83" s="56">
        <f t="shared" si="4"/>
        <v>7.729434337499999</v>
      </c>
      <c r="O83" s="58">
        <f t="shared" si="5"/>
        <v>15.458868674999998</v>
      </c>
      <c r="P83" s="56">
        <f>O83/F86</f>
        <v>1.5458868674999997</v>
      </c>
      <c r="Q83" s="57"/>
      <c r="R83" s="56"/>
      <c r="S83" s="58"/>
      <c r="T83" s="56"/>
    </row>
    <row r="84" spans="4:20" ht="14.45" customHeight="1" x14ac:dyDescent="0.25">
      <c r="D84" s="78">
        <f>A45</f>
        <v>139</v>
      </c>
      <c r="E84" s="12" t="s">
        <v>104</v>
      </c>
      <c r="F84" s="12">
        <f>B45</f>
        <v>10</v>
      </c>
      <c r="G84">
        <v>0.13980000000000001</v>
      </c>
      <c r="H84">
        <v>3.8800000000000001E-2</v>
      </c>
      <c r="I84" s="56"/>
      <c r="J84" s="57">
        <f>G87-$J$14</f>
        <v>3.1666666666666662E-2</v>
      </c>
      <c r="K84" s="58">
        <f>H87-$K$14</f>
        <v>1.7833333333333312E-3</v>
      </c>
      <c r="L84" s="56"/>
      <c r="M84" s="62">
        <f t="shared" si="3"/>
        <v>3.122083333333333E-2</v>
      </c>
      <c r="N84" s="56">
        <f t="shared" si="4"/>
        <v>2.1503973374999994</v>
      </c>
      <c r="O84" s="58">
        <f t="shared" si="5"/>
        <v>4.3007946749999988</v>
      </c>
      <c r="P84" s="56">
        <f>O84/F87</f>
        <v>0.43007946749999987</v>
      </c>
      <c r="Q84" s="57">
        <f>AVERAGE(P84:P86)</f>
        <v>0.46463276249999991</v>
      </c>
      <c r="R84" s="56">
        <f>STDEV(P84:P86)</f>
        <v>3.0826465444724244E-2</v>
      </c>
      <c r="S84" s="58">
        <f>R84/Q84*100</f>
        <v>6.6345871261551963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0.1525</v>
      </c>
      <c r="H85">
        <v>4.1399999999999999E-2</v>
      </c>
      <c r="I85" s="56"/>
      <c r="J85" s="57">
        <f>G88-$J$14</f>
        <v>3.5066666666666663E-2</v>
      </c>
      <c r="K85" s="58">
        <f>H88-$K$14</f>
        <v>2.4833333333333305E-3</v>
      </c>
      <c r="L85" s="56"/>
      <c r="M85" s="62">
        <f t="shared" si="3"/>
        <v>3.4445833333333328E-2</v>
      </c>
      <c r="N85" s="56">
        <f t="shared" si="4"/>
        <v>2.3725256624999993</v>
      </c>
      <c r="O85" s="58">
        <f t="shared" si="5"/>
        <v>4.7450513249999986</v>
      </c>
      <c r="P85" s="56">
        <f>O85/F88</f>
        <v>0.47450513249999987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0.1515</v>
      </c>
      <c r="H86">
        <v>3.9300000000000002E-2</v>
      </c>
      <c r="I86" s="56"/>
      <c r="J86" s="57">
        <f>G89-$J$14</f>
        <v>3.6266666666666669E-2</v>
      </c>
      <c r="K86" s="58">
        <f>H89-$K$14</f>
        <v>2.9833333333333309E-3</v>
      </c>
      <c r="L86" s="56"/>
      <c r="M86" s="62">
        <f t="shared" si="3"/>
        <v>3.5520833333333335E-2</v>
      </c>
      <c r="N86" s="56">
        <f t="shared" si="4"/>
        <v>2.4465684374999999</v>
      </c>
      <c r="O86" s="58">
        <f t="shared" si="5"/>
        <v>4.8931368749999997</v>
      </c>
      <c r="P86" s="56">
        <f>O86/F89</f>
        <v>0.48931368749999998</v>
      </c>
      <c r="Q86" s="57"/>
      <c r="R86" s="56"/>
      <c r="S86" s="58"/>
      <c r="T86" s="56"/>
    </row>
    <row r="87" spans="4:20" ht="14.45" customHeight="1" x14ac:dyDescent="0.25">
      <c r="D87" s="78">
        <f>A46</f>
        <v>140</v>
      </c>
      <c r="E87" s="12" t="s">
        <v>107</v>
      </c>
      <c r="F87" s="12">
        <f>B46</f>
        <v>10</v>
      </c>
      <c r="G87">
        <v>7.0599999999999996E-2</v>
      </c>
      <c r="H87">
        <v>3.9699999999999999E-2</v>
      </c>
      <c r="I87" s="56"/>
      <c r="J87" s="57">
        <f>G90-$J$14</f>
        <v>0.41216666666666668</v>
      </c>
      <c r="K87" s="58">
        <f>H90-$K$14</f>
        <v>1.98333333333333E-3</v>
      </c>
      <c r="L87" s="56"/>
      <c r="M87" s="62">
        <f t="shared" si="3"/>
        <v>0.41167083333333337</v>
      </c>
      <c r="N87" s="56">
        <f t="shared" si="4"/>
        <v>28.354651987500002</v>
      </c>
      <c r="O87" s="58">
        <f t="shared" si="5"/>
        <v>56.709303975000005</v>
      </c>
      <c r="P87" s="56">
        <f>O87/F90</f>
        <v>5.6709303975000003</v>
      </c>
      <c r="Q87" s="57">
        <f>AVERAGE(P87:P89)</f>
        <v>6.1343578124999993</v>
      </c>
      <c r="R87" s="56">
        <f>STDEV(P87:P89)</f>
        <v>0.40133995113923465</v>
      </c>
      <c r="S87" s="58">
        <f>R87/Q87*100</f>
        <v>6.5424933368155189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7.3999999999999996E-2</v>
      </c>
      <c r="H88">
        <v>4.0399999999999998E-2</v>
      </c>
      <c r="I88" s="56"/>
      <c r="J88" s="57">
        <f>G91-$J$14</f>
        <v>0.46256666666666663</v>
      </c>
      <c r="K88" s="58">
        <f>H91-$K$14</f>
        <v>1.7833333333333312E-3</v>
      </c>
      <c r="L88" s="56"/>
      <c r="M88" s="62">
        <f t="shared" si="3"/>
        <v>0.46212083333333331</v>
      </c>
      <c r="N88" s="56">
        <f t="shared" si="4"/>
        <v>31.829496637499997</v>
      </c>
      <c r="O88" s="58">
        <f t="shared" si="5"/>
        <v>63.658993274999993</v>
      </c>
      <c r="P88" s="56">
        <f>O88/F91</f>
        <v>6.3658993274999993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7.5200000000000003E-2</v>
      </c>
      <c r="H89">
        <v>4.0899999999999999E-2</v>
      </c>
      <c r="I89" s="56"/>
      <c r="J89" s="57">
        <f>G92-$J$14</f>
        <v>0.46346666666666664</v>
      </c>
      <c r="K89" s="58">
        <f>H92-$K$14</f>
        <v>5.2833333333333343E-3</v>
      </c>
      <c r="L89" s="56"/>
      <c r="M89" s="62">
        <f t="shared" si="3"/>
        <v>0.46214583333333331</v>
      </c>
      <c r="N89" s="56">
        <f t="shared" si="4"/>
        <v>31.831218562499995</v>
      </c>
      <c r="O89" s="58">
        <f t="shared" si="5"/>
        <v>63.66243712499999</v>
      </c>
      <c r="P89" s="56">
        <f>O89/F92</f>
        <v>6.3662437124999993</v>
      </c>
      <c r="Q89" s="57"/>
      <c r="R89" s="56"/>
      <c r="S89" s="58"/>
      <c r="T89" s="56"/>
    </row>
    <row r="90" spans="4:20" ht="14.45" customHeight="1" x14ac:dyDescent="0.25">
      <c r="D90" s="78">
        <f>A47</f>
        <v>141</v>
      </c>
      <c r="E90" s="12" t="s">
        <v>110</v>
      </c>
      <c r="F90" s="12">
        <f>B47</f>
        <v>10</v>
      </c>
      <c r="G90">
        <v>0.4511</v>
      </c>
      <c r="H90">
        <v>3.9899999999999998E-2</v>
      </c>
      <c r="I90" s="56"/>
      <c r="J90" s="57">
        <f>G96-$J$14</f>
        <v>4.4066666666666671E-2</v>
      </c>
      <c r="K90" s="58">
        <f>H96-$K$14</f>
        <v>2.3833333333333345E-3</v>
      </c>
      <c r="L90" s="56"/>
      <c r="M90" s="62">
        <f t="shared" si="3"/>
        <v>4.3470833333333334E-2</v>
      </c>
      <c r="N90" s="56">
        <f t="shared" si="4"/>
        <v>2.9941405875</v>
      </c>
      <c r="O90" s="58">
        <f t="shared" si="5"/>
        <v>5.988281175</v>
      </c>
      <c r="P90" s="56">
        <f>O90/F96</f>
        <v>0.59882811749999998</v>
      </c>
      <c r="Q90" s="57">
        <f>AVERAGE(P90:P92)</f>
        <v>0.65048586749999993</v>
      </c>
      <c r="R90" s="56">
        <f>STDEV(P90:P92)</f>
        <v>4.6243865970796369E-2</v>
      </c>
      <c r="S90" s="58">
        <f>R90/Q90*100</f>
        <v>7.1091269282335903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0.50149999999999995</v>
      </c>
      <c r="H91">
        <v>3.9699999999999999E-2</v>
      </c>
      <c r="I91" s="56"/>
      <c r="J91" s="57">
        <f>G97-$J$14</f>
        <v>4.8666666666666664E-2</v>
      </c>
      <c r="K91" s="58">
        <f>H97-$K$14</f>
        <v>1.6833333333333353E-3</v>
      </c>
      <c r="L91" s="56"/>
      <c r="M91" s="62">
        <f t="shared" si="3"/>
        <v>4.8245833333333328E-2</v>
      </c>
      <c r="N91" s="56">
        <f t="shared" si="4"/>
        <v>3.3230282624999994</v>
      </c>
      <c r="O91" s="58">
        <f t="shared" si="5"/>
        <v>6.6460565249999988</v>
      </c>
      <c r="P91" s="56">
        <f>O91/F97</f>
        <v>0.66460565249999992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0.50239999999999996</v>
      </c>
      <c r="H92">
        <v>4.3200000000000002E-2</v>
      </c>
      <c r="I92" s="56"/>
      <c r="J92" s="57">
        <f>G98-$J$14</f>
        <v>5.0866666666666671E-2</v>
      </c>
      <c r="K92" s="58">
        <f>H98-$K$14</f>
        <v>3.6833333333333301E-3</v>
      </c>
      <c r="L92" s="56"/>
      <c r="M92" s="62">
        <f t="shared" ref="M92:M98" si="47">J92-(0.25*K92)</f>
        <v>4.9945833333333342E-2</v>
      </c>
      <c r="N92" s="56">
        <f t="shared" ref="N92:N98" si="48">M92*68.877</f>
        <v>3.4401191625000003</v>
      </c>
      <c r="O92" s="58">
        <f t="shared" ref="O92:O98" si="49">N92*2</f>
        <v>6.8802383250000005</v>
      </c>
      <c r="P92" s="56">
        <f>O92/F98</f>
        <v>0.6880238325000001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3.6299999999999999E-2</v>
      </c>
      <c r="H93">
        <v>3.5799999999999998E-2</v>
      </c>
      <c r="I93" s="56"/>
      <c r="J93" s="57">
        <f>G99-$J$14</f>
        <v>3.9466666666666664E-2</v>
      </c>
      <c r="K93" s="58">
        <f>H99-$K$14</f>
        <v>6.833333333333344E-4</v>
      </c>
      <c r="L93" s="56"/>
      <c r="M93" s="62">
        <f t="shared" si="47"/>
        <v>3.9295833333333328E-2</v>
      </c>
      <c r="N93" s="56">
        <f t="shared" si="48"/>
        <v>2.7065791124999996</v>
      </c>
      <c r="O93" s="58">
        <f t="shared" si="49"/>
        <v>5.4131582249999992</v>
      </c>
      <c r="P93" s="56">
        <f>O93/F99</f>
        <v>0.54131582249999988</v>
      </c>
      <c r="Q93" s="57">
        <f>AVERAGE(P93:P95)</f>
        <v>0.55417286249999986</v>
      </c>
      <c r="R93" s="56">
        <f>STDEV(P93:P95)</f>
        <v>1.4506472960276216E-2</v>
      </c>
      <c r="S93" s="58">
        <f>R93/Q93*100</f>
        <v>2.6176801395207656</v>
      </c>
      <c r="T93" s="56"/>
    </row>
    <row r="94" spans="4:20" ht="14.45" customHeight="1" x14ac:dyDescent="0.25">
      <c r="D94" s="71"/>
      <c r="E94" s="17" t="s">
        <v>129</v>
      </c>
      <c r="F94" s="17"/>
      <c r="G94">
        <v>3.8800000000000001E-2</v>
      </c>
      <c r="H94">
        <v>3.7600000000000001E-2</v>
      </c>
      <c r="I94" s="56"/>
      <c r="J94" s="57">
        <f>G100-$J$14</f>
        <v>4.1866666666666663E-2</v>
      </c>
      <c r="K94" s="58">
        <f>H100-$K$14</f>
        <v>1.98333333333333E-3</v>
      </c>
      <c r="L94" s="56"/>
      <c r="M94" s="62">
        <f t="shared" si="47"/>
        <v>4.1370833333333329E-2</v>
      </c>
      <c r="N94" s="56">
        <f t="shared" si="48"/>
        <v>2.8494988874999994</v>
      </c>
      <c r="O94" s="58">
        <f t="shared" si="49"/>
        <v>5.6989977749999987</v>
      </c>
      <c r="P94" s="56">
        <f>O94/F100</f>
        <v>0.56989977749999987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3.7100000000000001E-2</v>
      </c>
      <c r="H95">
        <v>3.7499999999999999E-2</v>
      </c>
      <c r="I95" s="56"/>
      <c r="J95" s="57">
        <f>G101-$J$14</f>
        <v>4.0366666666666662E-2</v>
      </c>
      <c r="K95" s="58">
        <f>H101-$K$14</f>
        <v>1.3833333333333336E-3</v>
      </c>
      <c r="L95" s="56"/>
      <c r="M95" s="62">
        <f t="shared" si="47"/>
        <v>4.0020833333333325E-2</v>
      </c>
      <c r="N95" s="56">
        <f t="shared" si="48"/>
        <v>2.7565149374999991</v>
      </c>
      <c r="O95" s="58">
        <f t="shared" si="49"/>
        <v>5.5130298749999982</v>
      </c>
      <c r="P95" s="56">
        <f>O95/F101</f>
        <v>0.55130298749999984</v>
      </c>
      <c r="Q95" s="57"/>
      <c r="R95" s="56"/>
      <c r="S95" s="58"/>
      <c r="T95" s="56"/>
    </row>
    <row r="96" spans="4:20" ht="14.45" customHeight="1" x14ac:dyDescent="0.25">
      <c r="D96" s="78">
        <f>A48</f>
        <v>142</v>
      </c>
      <c r="E96" s="12" t="s">
        <v>113</v>
      </c>
      <c r="F96" s="12">
        <f>B48</f>
        <v>10</v>
      </c>
      <c r="G96">
        <v>8.3000000000000004E-2</v>
      </c>
      <c r="H96">
        <v>4.0300000000000002E-2</v>
      </c>
      <c r="I96" s="56"/>
      <c r="J96" s="57">
        <f>G102-$J$14</f>
        <v>5.6066666666666667E-2</v>
      </c>
      <c r="K96" s="58">
        <f>H102-$K$14</f>
        <v>5.2833333333333343E-3</v>
      </c>
      <c r="L96" s="56"/>
      <c r="M96" s="62">
        <f t="shared" si="47"/>
        <v>5.4745833333333334E-2</v>
      </c>
      <c r="N96" s="56">
        <f t="shared" si="48"/>
        <v>3.7707287624999997</v>
      </c>
      <c r="O96" s="58">
        <f t="shared" si="49"/>
        <v>7.5414575249999993</v>
      </c>
      <c r="P96" s="56">
        <f>O96/F102</f>
        <v>0.75414575249999993</v>
      </c>
      <c r="Q96" s="57">
        <f>AVERAGE(P96:P98)</f>
        <v>0.80132649749999996</v>
      </c>
      <c r="R96" s="56">
        <f>STDEV(P96:P98)</f>
        <v>4.0862989077890266E-2</v>
      </c>
      <c r="S96" s="58">
        <f>R96/Q96*100</f>
        <v>5.0994181779057257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8.7599999999999997E-2</v>
      </c>
      <c r="H97">
        <v>3.9600000000000003E-2</v>
      </c>
      <c r="I97" s="56"/>
      <c r="J97" s="57">
        <f>G103-$J$14</f>
        <v>6.1566666666666672E-2</v>
      </c>
      <c r="K97" s="58">
        <f>H103-$K$14</f>
        <v>6.5833333333333299E-3</v>
      </c>
      <c r="L97" s="56"/>
      <c r="M97" s="62">
        <f t="shared" si="47"/>
        <v>5.992083333333334E-2</v>
      </c>
      <c r="N97" s="56">
        <f t="shared" si="48"/>
        <v>4.1271672375000001</v>
      </c>
      <c r="O97" s="58">
        <f t="shared" si="49"/>
        <v>8.2543344750000003</v>
      </c>
      <c r="P97" s="56">
        <f>O97/F103</f>
        <v>0.82543344750000003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8.9800000000000005E-2</v>
      </c>
      <c r="H98">
        <v>4.1599999999999998E-2</v>
      </c>
      <c r="I98" s="56"/>
      <c r="J98" s="65">
        <f>G104-$J$14</f>
        <v>6.1866666666666667E-2</v>
      </c>
      <c r="K98" s="66">
        <f>H104-$K$14</f>
        <v>8.0833333333333313E-3</v>
      </c>
      <c r="L98" s="56"/>
      <c r="M98" s="69">
        <f t="shared" si="47"/>
        <v>5.9845833333333334E-2</v>
      </c>
      <c r="N98" s="56">
        <f t="shared" si="48"/>
        <v>4.1220014625000001</v>
      </c>
      <c r="O98" s="66">
        <f t="shared" si="49"/>
        <v>8.2440029250000002</v>
      </c>
      <c r="P98" s="70">
        <f>O98/F104</f>
        <v>0.82440029250000002</v>
      </c>
      <c r="Q98" s="65"/>
      <c r="R98" s="70"/>
      <c r="S98" s="66"/>
      <c r="T98" s="56"/>
    </row>
    <row r="99" spans="4:20" x14ac:dyDescent="0.25">
      <c r="D99" s="78">
        <f>A49</f>
        <v>143</v>
      </c>
      <c r="E99" s="12" t="s">
        <v>116</v>
      </c>
      <c r="F99" s="12">
        <f>B49</f>
        <v>10</v>
      </c>
      <c r="G99">
        <v>7.8399999999999997E-2</v>
      </c>
      <c r="H99">
        <v>3.8600000000000002E-2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8.0799999999999997E-2</v>
      </c>
      <c r="H100">
        <v>3.9899999999999998E-2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7.9299999999999995E-2</v>
      </c>
      <c r="H101">
        <v>3.9300000000000002E-2</v>
      </c>
    </row>
    <row r="102" spans="4:20" x14ac:dyDescent="0.25">
      <c r="D102" s="78">
        <f>A50</f>
        <v>144</v>
      </c>
      <c r="E102" s="12" t="s">
        <v>119</v>
      </c>
      <c r="F102" s="12">
        <f>B50</f>
        <v>10</v>
      </c>
      <c r="G102">
        <v>9.5000000000000001E-2</v>
      </c>
      <c r="H102">
        <v>4.3200000000000002E-2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0.10050000000000001</v>
      </c>
      <c r="H103">
        <v>4.4499999999999998E-2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0.1008</v>
      </c>
      <c r="H104">
        <v>4.5999999999999999E-2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31D9-70C6-40E3-AE60-67CEC968E949}">
  <dimension ref="A1:X104"/>
  <sheetViews>
    <sheetView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3.5400000000000001E-2</v>
      </c>
      <c r="G6">
        <v>3.44E-2</v>
      </c>
      <c r="I6" s="13">
        <v>12.5</v>
      </c>
      <c r="J6" s="14">
        <f>AVERAGE(F9:F11,G66)</f>
        <v>0.22920000000000001</v>
      </c>
      <c r="K6" s="15">
        <f>AVERAGE(G9:G11,H66)</f>
        <v>3.61E-2</v>
      </c>
      <c r="M6" s="14">
        <f>J6-$J$14</f>
        <v>0.19193333333333334</v>
      </c>
      <c r="N6" s="15">
        <f>K6-$K$14</f>
        <v>6.6666666666659324E-5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3.7999999999999999E-2</v>
      </c>
      <c r="G7">
        <v>3.6799999999999999E-2</v>
      </c>
      <c r="I7" s="18">
        <v>25</v>
      </c>
      <c r="J7" s="19">
        <f>AVERAGE(F12:F14)</f>
        <v>0.45436666666666664</v>
      </c>
      <c r="K7" s="20">
        <f>AVERAGE(G12:G14)</f>
        <v>3.5766666666666662E-2</v>
      </c>
      <c r="M7" s="19">
        <f>J7-$J$14</f>
        <v>0.41709999999999997</v>
      </c>
      <c r="N7" s="20">
        <f>K7-$K$14</f>
        <v>-2.6666666666667893E-4</v>
      </c>
      <c r="P7" s="17">
        <f>M6</f>
        <v>0.19193333333333334</v>
      </c>
      <c r="Q7" s="12">
        <v>12.5</v>
      </c>
    </row>
    <row r="8" spans="5:17" x14ac:dyDescent="0.25">
      <c r="E8" s="21" t="s">
        <v>10</v>
      </c>
      <c r="F8">
        <v>3.9899999999999998E-2</v>
      </c>
      <c r="G8">
        <v>3.7600000000000001E-2</v>
      </c>
      <c r="I8" s="18">
        <v>50</v>
      </c>
      <c r="J8" s="19">
        <f>AVERAGE(F15:F17,G67)</f>
        <v>0.92830000000000001</v>
      </c>
      <c r="K8" s="20">
        <f>AVERAGE(G15:G17,H67)</f>
        <v>3.5775000000000001E-2</v>
      </c>
      <c r="M8" s="19">
        <f>J8-$J$14</f>
        <v>0.89103333333333334</v>
      </c>
      <c r="N8" s="20">
        <f>K8-$K$14</f>
        <v>-2.5833333333333958E-4</v>
      </c>
      <c r="P8" s="17">
        <f>M7</f>
        <v>0.41709999999999997</v>
      </c>
      <c r="Q8" s="17">
        <v>25</v>
      </c>
    </row>
    <row r="9" spans="5:17" x14ac:dyDescent="0.25">
      <c r="E9" s="11" t="s">
        <v>11</v>
      </c>
      <c r="F9">
        <v>0.22359999999999999</v>
      </c>
      <c r="G9">
        <v>3.5900000000000001E-2</v>
      </c>
      <c r="I9" s="18">
        <v>100</v>
      </c>
      <c r="J9" s="19">
        <f>AVERAGE(F18:F20,G68)</f>
        <v>1.8072750000000002</v>
      </c>
      <c r="K9" s="20">
        <f>AVERAGE(G18:G20,H68)</f>
        <v>3.4299999999999997E-2</v>
      </c>
      <c r="M9" s="19">
        <f>J9-$J$14</f>
        <v>1.7700083333333336</v>
      </c>
      <c r="N9" s="20">
        <f>K9-$K$14</f>
        <v>-1.7333333333333437E-3</v>
      </c>
      <c r="P9" s="17">
        <f>M8</f>
        <v>0.89103333333333334</v>
      </c>
      <c r="Q9" s="17">
        <v>50</v>
      </c>
    </row>
    <row r="10" spans="5:17" x14ac:dyDescent="0.25">
      <c r="E10" s="16" t="s">
        <v>12</v>
      </c>
      <c r="F10">
        <v>0.25009999999999999</v>
      </c>
      <c r="G10">
        <v>3.6299999999999999E-2</v>
      </c>
      <c r="I10" s="23">
        <v>250</v>
      </c>
      <c r="J10" s="24">
        <f>AVERAGE(F21:F23)</f>
        <v>3.8127500000000003</v>
      </c>
      <c r="K10" s="25">
        <f>AVERAGE(G21:G23)</f>
        <v>3.4233333333333338E-2</v>
      </c>
      <c r="M10" s="19">
        <f>J10-$J$14</f>
        <v>3.7754833333333337</v>
      </c>
      <c r="N10" s="20">
        <f>K10-$K$14</f>
        <v>-1.800000000000003E-3</v>
      </c>
      <c r="P10" s="17">
        <f>M9</f>
        <v>1.7700083333333336</v>
      </c>
      <c r="Q10" s="17">
        <v>100</v>
      </c>
    </row>
    <row r="11" spans="5:17" x14ac:dyDescent="0.25">
      <c r="E11" s="21" t="s">
        <v>13</v>
      </c>
      <c r="F11">
        <v>0.2238</v>
      </c>
      <c r="G11">
        <v>3.6999999999999998E-2</v>
      </c>
      <c r="I11" s="26" t="s">
        <v>14</v>
      </c>
      <c r="J11" s="13">
        <f t="shared" ref="J11:K13" si="0">F6</f>
        <v>3.5400000000000001E-2</v>
      </c>
      <c r="K11" s="27">
        <f t="shared" si="0"/>
        <v>3.44E-2</v>
      </c>
      <c r="M11" s="23"/>
      <c r="N11" s="28"/>
      <c r="P11" s="22">
        <f>M10</f>
        <v>3.7754833333333337</v>
      </c>
      <c r="Q11" s="22">
        <v>250</v>
      </c>
    </row>
    <row r="12" spans="5:17" x14ac:dyDescent="0.25">
      <c r="E12" s="11" t="s">
        <v>15</v>
      </c>
      <c r="F12">
        <v>0.40710000000000002</v>
      </c>
      <c r="G12">
        <v>3.4299999999999997E-2</v>
      </c>
      <c r="I12" s="29" t="s">
        <v>14</v>
      </c>
      <c r="J12" s="18">
        <f t="shared" si="0"/>
        <v>3.7999999999999999E-2</v>
      </c>
      <c r="K12" s="30">
        <f t="shared" si="0"/>
        <v>3.6799999999999999E-2</v>
      </c>
    </row>
    <row r="13" spans="5:17" x14ac:dyDescent="0.25">
      <c r="E13" s="16" t="s">
        <v>16</v>
      </c>
      <c r="F13">
        <v>0.47160000000000002</v>
      </c>
      <c r="G13">
        <v>3.6600000000000001E-2</v>
      </c>
      <c r="I13" s="31" t="s">
        <v>14</v>
      </c>
      <c r="J13" s="23">
        <f t="shared" si="0"/>
        <v>3.9899999999999998E-2</v>
      </c>
      <c r="K13" s="28">
        <f t="shared" si="0"/>
        <v>3.7600000000000001E-2</v>
      </c>
    </row>
    <row r="14" spans="5:17" x14ac:dyDescent="0.25">
      <c r="E14" s="21" t="s">
        <v>17</v>
      </c>
      <c r="F14">
        <v>0.4844</v>
      </c>
      <c r="G14">
        <v>3.6400000000000002E-2</v>
      </c>
      <c r="I14" s="32" t="s">
        <v>18</v>
      </c>
      <c r="J14" s="33">
        <f>AVERAGE(J11:J13,G93:G95)</f>
        <v>3.7266666666666663E-2</v>
      </c>
      <c r="K14" s="34">
        <f>AVERAGE(K11:K13,H93:H95)</f>
        <v>3.6033333333333341E-2</v>
      </c>
    </row>
    <row r="15" spans="5:17" x14ac:dyDescent="0.25">
      <c r="E15" s="11" t="s">
        <v>19</v>
      </c>
      <c r="F15">
        <v>0.83789999999999998</v>
      </c>
      <c r="G15">
        <v>3.5499999999999997E-2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0.91779999999999995</v>
      </c>
      <c r="G16">
        <v>3.6200000000000003E-2</v>
      </c>
      <c r="M16" s="18" t="s">
        <v>22</v>
      </c>
      <c r="O16" s="30"/>
    </row>
    <row r="17" spans="1:24" x14ac:dyDescent="0.25">
      <c r="E17" s="21" t="s">
        <v>23</v>
      </c>
      <c r="F17">
        <v>0.98899999999999999</v>
      </c>
      <c r="G17">
        <v>3.5799999999999998E-2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2.0141</v>
      </c>
      <c r="G18">
        <v>3.39E-2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1.8642000000000001</v>
      </c>
      <c r="G19">
        <v>3.3700000000000001E-2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1.9074</v>
      </c>
      <c r="G20">
        <v>3.3700000000000001E-2</v>
      </c>
      <c r="U20" s="37"/>
      <c r="V20" s="37"/>
    </row>
    <row r="21" spans="1:24" x14ac:dyDescent="0.25">
      <c r="E21" s="11" t="s">
        <v>29</v>
      </c>
      <c r="F21">
        <v>3.8691</v>
      </c>
      <c r="G21">
        <v>3.44E-2</v>
      </c>
      <c r="U21" s="37"/>
      <c r="V21" s="37"/>
    </row>
    <row r="22" spans="1:24" x14ac:dyDescent="0.25">
      <c r="E22" s="16" t="s">
        <v>30</v>
      </c>
      <c r="F22">
        <v>3.7564000000000002</v>
      </c>
      <c r="G22">
        <v>3.4099999999999998E-2</v>
      </c>
      <c r="U22" s="37"/>
      <c r="V22" s="37"/>
    </row>
    <row r="23" spans="1:24" x14ac:dyDescent="0.25">
      <c r="E23" s="21" t="s">
        <v>31</v>
      </c>
      <c r="F23" s="39" t="s">
        <v>122</v>
      </c>
      <c r="G23">
        <v>3.4200000000000001E-2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145</v>
      </c>
      <c r="B27" s="30">
        <v>10</v>
      </c>
      <c r="D27" s="78">
        <f>A27</f>
        <v>145</v>
      </c>
      <c r="E27" s="12" t="s">
        <v>50</v>
      </c>
      <c r="F27" s="12">
        <f>B27</f>
        <v>10</v>
      </c>
      <c r="G27">
        <v>0.18279999999999999</v>
      </c>
      <c r="H27">
        <v>0.14530000000000001</v>
      </c>
      <c r="I27" s="56"/>
      <c r="J27" s="57">
        <f t="shared" ref="J27:J65" si="1">G27-$J$14</f>
        <v>0.14553333333333332</v>
      </c>
      <c r="K27" s="58">
        <f t="shared" ref="K27:K65" si="2">H27-$K$14</f>
        <v>0.10926666666666668</v>
      </c>
      <c r="L27" s="56"/>
      <c r="M27" s="59">
        <f>J27-(0.25*K27)</f>
        <v>0.11821666666666665</v>
      </c>
      <c r="N27" s="56">
        <f>M27*66.371</f>
        <v>7.8461583833333313</v>
      </c>
      <c r="O27" s="58">
        <f>N27*2</f>
        <v>15.692316766666663</v>
      </c>
      <c r="P27" s="56">
        <f>O27/F27</f>
        <v>1.5692316766666663</v>
      </c>
      <c r="Q27" s="57">
        <f>AVERAGE(P27:P29)</f>
        <v>0.88195997166666651</v>
      </c>
      <c r="R27" s="56">
        <f>STDEV(P27:P29)</f>
        <v>0.59520143993398911</v>
      </c>
      <c r="S27" s="58">
        <f>R27/Q27*100</f>
        <v>67.486219222536704</v>
      </c>
      <c r="T27" s="60">
        <f>D27</f>
        <v>145</v>
      </c>
      <c r="U27" s="61">
        <f>Q27</f>
        <v>0.88195997166666651</v>
      </c>
      <c r="V27" s="37"/>
    </row>
    <row r="28" spans="1:24" ht="14.45" customHeight="1" x14ac:dyDescent="0.25">
      <c r="A28" s="18">
        <v>146</v>
      </c>
      <c r="B28" s="30">
        <v>10</v>
      </c>
      <c r="D28" s="79"/>
      <c r="E28" s="17" t="s">
        <v>51</v>
      </c>
      <c r="F28" s="17">
        <f>F27</f>
        <v>10</v>
      </c>
      <c r="G28">
        <v>7.85E-2</v>
      </c>
      <c r="H28">
        <v>3.9600000000000003E-2</v>
      </c>
      <c r="I28" s="56"/>
      <c r="J28" s="57">
        <f t="shared" si="1"/>
        <v>4.1233333333333337E-2</v>
      </c>
      <c r="K28" s="58">
        <f t="shared" si="2"/>
        <v>3.5666666666666624E-3</v>
      </c>
      <c r="L28" s="56"/>
      <c r="M28" s="62">
        <f t="shared" ref="M28:M91" si="3">J28-(0.25*K28)</f>
        <v>4.0341666666666672E-2</v>
      </c>
      <c r="N28" s="56">
        <f t="shared" ref="N28:N91" si="4">M28*66.371</f>
        <v>2.6775167583333332</v>
      </c>
      <c r="O28" s="58">
        <f t="shared" ref="O28:O91" si="5">N28*2</f>
        <v>5.3550335166666665</v>
      </c>
      <c r="P28" s="56">
        <f t="shared" ref="P28:P65" si="6">O28/F28</f>
        <v>0.53550335166666663</v>
      </c>
      <c r="Q28" s="57"/>
      <c r="R28" s="56"/>
      <c r="S28" s="58"/>
      <c r="T28" s="63">
        <f>D30</f>
        <v>146</v>
      </c>
      <c r="U28" s="64">
        <f>Q30</f>
        <v>1.6306248516666664</v>
      </c>
    </row>
    <row r="29" spans="1:24" ht="14.45" customHeight="1" x14ac:dyDescent="0.25">
      <c r="A29" s="18">
        <v>147</v>
      </c>
      <c r="B29" s="30">
        <v>10</v>
      </c>
      <c r="D29" s="80"/>
      <c r="E29" s="22" t="s">
        <v>52</v>
      </c>
      <c r="F29" s="22">
        <f>F27</f>
        <v>10</v>
      </c>
      <c r="G29">
        <v>7.9200000000000007E-2</v>
      </c>
      <c r="H29">
        <v>4.07E-2</v>
      </c>
      <c r="I29" s="56"/>
      <c r="J29" s="57">
        <f t="shared" si="1"/>
        <v>4.1933333333333343E-2</v>
      </c>
      <c r="K29" s="58">
        <f t="shared" si="2"/>
        <v>4.6666666666666592E-3</v>
      </c>
      <c r="L29" s="56"/>
      <c r="M29" s="62">
        <f t="shared" si="3"/>
        <v>4.076666666666668E-2</v>
      </c>
      <c r="N29" s="56">
        <f t="shared" si="4"/>
        <v>2.7057244333333341</v>
      </c>
      <c r="O29" s="58">
        <f t="shared" si="5"/>
        <v>5.4114488666666682</v>
      </c>
      <c r="P29" s="56">
        <f t="shared" si="6"/>
        <v>0.54114488666666682</v>
      </c>
      <c r="Q29" s="57"/>
      <c r="R29" s="56"/>
      <c r="S29" s="58"/>
      <c r="T29" s="63">
        <f>D33</f>
        <v>147</v>
      </c>
      <c r="U29" s="64">
        <f>Q33</f>
        <v>0.33296118333333341</v>
      </c>
    </row>
    <row r="30" spans="1:24" ht="14.45" customHeight="1" x14ac:dyDescent="0.25">
      <c r="A30" s="18">
        <v>148</v>
      </c>
      <c r="B30" s="30">
        <v>10</v>
      </c>
      <c r="D30" s="78">
        <f>A28</f>
        <v>146</v>
      </c>
      <c r="E30" s="12" t="s">
        <v>53</v>
      </c>
      <c r="F30" s="12">
        <f>B28</f>
        <v>10</v>
      </c>
      <c r="G30">
        <v>0.1515</v>
      </c>
      <c r="H30">
        <v>4.0500000000000001E-2</v>
      </c>
      <c r="I30" s="56"/>
      <c r="J30" s="57">
        <f t="shared" si="1"/>
        <v>0.11423333333333333</v>
      </c>
      <c r="K30" s="58">
        <f t="shared" si="2"/>
        <v>4.4666666666666605E-3</v>
      </c>
      <c r="L30" s="56"/>
      <c r="M30" s="62">
        <f t="shared" si="3"/>
        <v>0.11311666666666666</v>
      </c>
      <c r="N30" s="56">
        <f t="shared" si="4"/>
        <v>7.5076662833333323</v>
      </c>
      <c r="O30" s="58">
        <f t="shared" si="5"/>
        <v>15.015332566666665</v>
      </c>
      <c r="P30" s="56">
        <f t="shared" si="6"/>
        <v>1.5015332566666664</v>
      </c>
      <c r="Q30" s="57">
        <f>AVERAGE(P30:P32)</f>
        <v>1.6306248516666664</v>
      </c>
      <c r="R30" s="56">
        <f>STDEV(P30:P32)</f>
        <v>0.11657088870217897</v>
      </c>
      <c r="S30" s="58">
        <f>R30/Q30*100</f>
        <v>7.1488477918775439</v>
      </c>
      <c r="T30" s="63">
        <f>D36</f>
        <v>148</v>
      </c>
      <c r="U30" s="64">
        <f>Q36</f>
        <v>0.1804185016666667</v>
      </c>
    </row>
    <row r="31" spans="1:24" ht="14.45" customHeight="1" x14ac:dyDescent="0.25">
      <c r="A31" s="18">
        <v>149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0.1691</v>
      </c>
      <c r="H31">
        <v>4.2599999999999999E-2</v>
      </c>
      <c r="I31" s="56"/>
      <c r="J31" s="57">
        <f t="shared" si="1"/>
        <v>0.13183333333333333</v>
      </c>
      <c r="K31" s="58">
        <f t="shared" si="2"/>
        <v>6.5666666666666582E-3</v>
      </c>
      <c r="L31" s="56"/>
      <c r="M31" s="62">
        <f t="shared" si="3"/>
        <v>0.13019166666666668</v>
      </c>
      <c r="N31" s="56">
        <f t="shared" si="4"/>
        <v>8.6409511083333328</v>
      </c>
      <c r="O31" s="58">
        <f t="shared" si="5"/>
        <v>17.281902216666666</v>
      </c>
      <c r="P31" s="56">
        <f t="shared" si="6"/>
        <v>1.7281902216666665</v>
      </c>
      <c r="Q31" s="57"/>
      <c r="R31" s="56"/>
      <c r="S31" s="58"/>
      <c r="T31" s="63">
        <f>D39</f>
        <v>149</v>
      </c>
      <c r="U31" s="64">
        <f>Q39</f>
        <v>0.25939999166666672</v>
      </c>
    </row>
    <row r="32" spans="1:24" ht="14.45" customHeight="1" x14ac:dyDescent="0.25">
      <c r="A32" s="18">
        <v>150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0.1636</v>
      </c>
      <c r="H32">
        <v>4.0500000000000001E-2</v>
      </c>
      <c r="I32" s="56"/>
      <c r="J32" s="57">
        <f t="shared" si="1"/>
        <v>0.12633333333333333</v>
      </c>
      <c r="K32" s="58">
        <f t="shared" si="2"/>
        <v>4.4666666666666605E-3</v>
      </c>
      <c r="L32" s="56"/>
      <c r="M32" s="62">
        <f t="shared" si="3"/>
        <v>0.12521666666666667</v>
      </c>
      <c r="N32" s="56">
        <f t="shared" si="4"/>
        <v>8.3107553833333334</v>
      </c>
      <c r="O32" s="58">
        <f t="shared" si="5"/>
        <v>16.621510766666667</v>
      </c>
      <c r="P32" s="56">
        <f t="shared" si="6"/>
        <v>1.6621510766666667</v>
      </c>
      <c r="Q32" s="57"/>
      <c r="R32" s="56"/>
      <c r="S32" s="58"/>
      <c r="T32" s="63">
        <f>D42</f>
        <v>150</v>
      </c>
      <c r="U32" s="64">
        <f>Q42</f>
        <v>0.11139266166666671</v>
      </c>
    </row>
    <row r="33" spans="1:21" ht="14.45" customHeight="1" x14ac:dyDescent="0.25">
      <c r="A33" s="18">
        <v>151</v>
      </c>
      <c r="B33" s="30">
        <v>10</v>
      </c>
      <c r="D33" s="78">
        <f>A29</f>
        <v>147</v>
      </c>
      <c r="E33" s="12" t="s">
        <v>56</v>
      </c>
      <c r="F33" s="12">
        <f>B29</f>
        <v>10</v>
      </c>
      <c r="G33">
        <v>6.1699999999999998E-2</v>
      </c>
      <c r="H33">
        <v>3.7199999999999997E-2</v>
      </c>
      <c r="I33" s="56"/>
      <c r="J33" s="57">
        <f t="shared" si="1"/>
        <v>2.4433333333333335E-2</v>
      </c>
      <c r="K33" s="58">
        <f t="shared" si="2"/>
        <v>1.1666666666666561E-3</v>
      </c>
      <c r="L33" s="56"/>
      <c r="M33" s="62">
        <f t="shared" si="3"/>
        <v>2.4141666666666672E-2</v>
      </c>
      <c r="N33" s="56">
        <f t="shared" si="4"/>
        <v>1.6023065583333336</v>
      </c>
      <c r="O33" s="58">
        <f t="shared" si="5"/>
        <v>3.2046131166666671</v>
      </c>
      <c r="P33" s="56">
        <f t="shared" si="6"/>
        <v>0.32046131166666669</v>
      </c>
      <c r="Q33" s="57">
        <f>AVERAGE(P33:P35)</f>
        <v>0.33296118333333341</v>
      </c>
      <c r="R33" s="56">
        <f>STDEV(P33:P35)</f>
        <v>1.3538436775071536E-2</v>
      </c>
      <c r="S33" s="58">
        <f>R33/Q33*100</f>
        <v>4.0660705970395252</v>
      </c>
      <c r="T33" s="63">
        <f>D45</f>
        <v>151</v>
      </c>
      <c r="U33" s="64">
        <f>Q45</f>
        <v>0.73561191666666659</v>
      </c>
    </row>
    <row r="34" spans="1:21" ht="14.45" customHeight="1" x14ac:dyDescent="0.25">
      <c r="A34" s="18">
        <v>152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6.2300000000000001E-2</v>
      </c>
      <c r="H34">
        <v>3.6400000000000002E-2</v>
      </c>
      <c r="I34" s="56"/>
      <c r="J34" s="57">
        <f t="shared" si="1"/>
        <v>2.5033333333333338E-2</v>
      </c>
      <c r="K34" s="58">
        <f t="shared" si="2"/>
        <v>3.6666666666666098E-4</v>
      </c>
      <c r="L34" s="56"/>
      <c r="M34" s="62">
        <f t="shared" si="3"/>
        <v>2.4941666666666674E-2</v>
      </c>
      <c r="N34" s="56">
        <f t="shared" si="4"/>
        <v>1.6554033583333336</v>
      </c>
      <c r="O34" s="58">
        <f t="shared" si="5"/>
        <v>3.3108067166666673</v>
      </c>
      <c r="P34" s="56">
        <f t="shared" si="6"/>
        <v>0.33108067166666671</v>
      </c>
      <c r="Q34" s="57"/>
      <c r="R34" s="56"/>
      <c r="S34" s="58"/>
      <c r="T34" s="63">
        <f>D48</f>
        <v>152</v>
      </c>
      <c r="U34" s="64">
        <f>Q48</f>
        <v>1.0989931416666667</v>
      </c>
    </row>
    <row r="35" spans="1:21" ht="14.45" customHeight="1" x14ac:dyDescent="0.25">
      <c r="A35" s="18">
        <v>153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6.3700000000000007E-2</v>
      </c>
      <c r="H35">
        <v>3.7100000000000001E-2</v>
      </c>
      <c r="I35" s="56"/>
      <c r="J35" s="57">
        <f t="shared" si="1"/>
        <v>2.6433333333333343E-2</v>
      </c>
      <c r="K35" s="58">
        <f t="shared" si="2"/>
        <v>1.0666666666666602E-3</v>
      </c>
      <c r="L35" s="56"/>
      <c r="M35" s="62">
        <f t="shared" si="3"/>
        <v>2.6166666666666678E-2</v>
      </c>
      <c r="N35" s="56">
        <f t="shared" si="4"/>
        <v>1.7367078333333339</v>
      </c>
      <c r="O35" s="58">
        <f t="shared" si="5"/>
        <v>3.4734156666666678</v>
      </c>
      <c r="P35" s="56">
        <f t="shared" si="6"/>
        <v>0.34734156666666677</v>
      </c>
      <c r="Q35" s="57"/>
      <c r="R35" s="56"/>
      <c r="S35" s="58"/>
      <c r="T35" s="63">
        <f>D51</f>
        <v>153</v>
      </c>
      <c r="U35" s="64">
        <f>Q51</f>
        <v>0.22665696500000002</v>
      </c>
    </row>
    <row r="36" spans="1:21" ht="14.45" customHeight="1" x14ac:dyDescent="0.25">
      <c r="A36" s="18">
        <v>154</v>
      </c>
      <c r="B36" s="30">
        <v>10</v>
      </c>
      <c r="D36" s="78">
        <f>A30</f>
        <v>148</v>
      </c>
      <c r="E36" s="12" t="s">
        <v>59</v>
      </c>
      <c r="F36" s="12">
        <f>B30</f>
        <v>10</v>
      </c>
      <c r="G36">
        <v>4.8899999999999999E-2</v>
      </c>
      <c r="H36">
        <v>3.5299999999999998E-2</v>
      </c>
      <c r="I36" s="56"/>
      <c r="J36" s="57">
        <f t="shared" si="1"/>
        <v>1.1633333333333336E-2</v>
      </c>
      <c r="K36" s="58">
        <f t="shared" si="2"/>
        <v>-7.3333333333334277E-4</v>
      </c>
      <c r="L36" s="56"/>
      <c r="M36" s="62">
        <f t="shared" si="3"/>
        <v>1.1816666666666671E-2</v>
      </c>
      <c r="N36" s="56">
        <f t="shared" si="4"/>
        <v>0.7842839833333336</v>
      </c>
      <c r="O36" s="58">
        <f t="shared" si="5"/>
        <v>1.5685679666666672</v>
      </c>
      <c r="P36" s="56">
        <f t="shared" si="6"/>
        <v>0.15685679666666671</v>
      </c>
      <c r="Q36" s="57">
        <f>AVERAGE(P36:P38)</f>
        <v>0.1804185016666667</v>
      </c>
      <c r="R36" s="56">
        <f>STDEV(P36:P38)</f>
        <v>2.042189401749199E-2</v>
      </c>
      <c r="S36" s="58">
        <f>R36/Q36*100</f>
        <v>11.319179479287875</v>
      </c>
      <c r="T36" s="63">
        <f>D54</f>
        <v>154</v>
      </c>
      <c r="U36" s="64">
        <f>Q54</f>
        <v>0.17256460000000007</v>
      </c>
    </row>
    <row r="37" spans="1:21" ht="14.45" customHeight="1" x14ac:dyDescent="0.25">
      <c r="A37" s="18">
        <v>155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5.1900000000000002E-2</v>
      </c>
      <c r="H37">
        <v>3.6900000000000002E-2</v>
      </c>
      <c r="I37" s="56"/>
      <c r="J37" s="57">
        <f t="shared" si="1"/>
        <v>1.4633333333333338E-2</v>
      </c>
      <c r="K37" s="58">
        <f t="shared" si="2"/>
        <v>8.6666666666666142E-4</v>
      </c>
      <c r="L37" s="56"/>
      <c r="M37" s="62">
        <f t="shared" si="3"/>
        <v>1.4416666666666673E-2</v>
      </c>
      <c r="N37" s="56">
        <f t="shared" si="4"/>
        <v>0.95684858333333367</v>
      </c>
      <c r="O37" s="58">
        <f t="shared" si="5"/>
        <v>1.9136971666666673</v>
      </c>
      <c r="P37" s="56">
        <f t="shared" si="6"/>
        <v>0.19136971666666674</v>
      </c>
      <c r="Q37" s="57"/>
      <c r="R37" s="56"/>
      <c r="S37" s="58"/>
      <c r="T37" s="63">
        <f>D57</f>
        <v>155</v>
      </c>
      <c r="U37" s="64">
        <f>Q57</f>
        <v>0.41360194833333336</v>
      </c>
    </row>
    <row r="38" spans="1:21" ht="14.45" customHeight="1" x14ac:dyDescent="0.25">
      <c r="A38" s="18">
        <v>156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5.1799999999999999E-2</v>
      </c>
      <c r="H38">
        <v>3.5999999999999997E-2</v>
      </c>
      <c r="I38" s="56"/>
      <c r="J38" s="57">
        <f t="shared" si="1"/>
        <v>1.4533333333333336E-2</v>
      </c>
      <c r="K38" s="58">
        <f t="shared" si="2"/>
        <v>-3.333333333334354E-5</v>
      </c>
      <c r="L38" s="56"/>
      <c r="M38" s="62">
        <f t="shared" si="3"/>
        <v>1.4541666666666671E-2</v>
      </c>
      <c r="N38" s="56">
        <f t="shared" si="4"/>
        <v>0.96514495833333358</v>
      </c>
      <c r="O38" s="58">
        <f t="shared" si="5"/>
        <v>1.9302899166666672</v>
      </c>
      <c r="P38" s="56">
        <f t="shared" si="6"/>
        <v>0.1930289916666667</v>
      </c>
      <c r="Q38" s="57"/>
      <c r="R38" s="56"/>
      <c r="S38" s="58"/>
      <c r="T38" s="63">
        <f>D60</f>
        <v>156</v>
      </c>
      <c r="U38" s="64">
        <f>Q60</f>
        <v>0.43262830166666671</v>
      </c>
    </row>
    <row r="39" spans="1:21" ht="14.45" customHeight="1" x14ac:dyDescent="0.25">
      <c r="A39" s="18">
        <v>157</v>
      </c>
      <c r="B39" s="30">
        <v>10</v>
      </c>
      <c r="D39" s="78">
        <f>A31</f>
        <v>149</v>
      </c>
      <c r="E39" s="12" t="s">
        <v>62</v>
      </c>
      <c r="F39" s="12">
        <f>B31</f>
        <v>10</v>
      </c>
      <c r="G39">
        <v>5.5800000000000002E-2</v>
      </c>
      <c r="H39">
        <v>3.8899999999999997E-2</v>
      </c>
      <c r="I39" s="56"/>
      <c r="J39" s="57">
        <f t="shared" si="1"/>
        <v>1.8533333333333339E-2</v>
      </c>
      <c r="K39" s="58">
        <f t="shared" si="2"/>
        <v>2.8666666666666563E-3</v>
      </c>
      <c r="L39" s="56"/>
      <c r="M39" s="62">
        <f t="shared" si="3"/>
        <v>1.7816666666666675E-2</v>
      </c>
      <c r="N39" s="56">
        <f t="shared" si="4"/>
        <v>1.1825099833333339</v>
      </c>
      <c r="O39" s="58">
        <f t="shared" si="5"/>
        <v>2.3650199666666678</v>
      </c>
      <c r="P39" s="56">
        <f t="shared" si="6"/>
        <v>0.23650199666666677</v>
      </c>
      <c r="Q39" s="57">
        <f>AVERAGE(P39:P41)</f>
        <v>0.25939999166666672</v>
      </c>
      <c r="R39" s="56">
        <f>STDEV(P39:P41)</f>
        <v>2.1970204571477536E-2</v>
      </c>
      <c r="S39" s="58">
        <f>R39/Q39*100</f>
        <v>8.4696242395063805</v>
      </c>
      <c r="T39" s="63">
        <f>D63</f>
        <v>157</v>
      </c>
      <c r="U39" s="64">
        <f>Q63</f>
        <v>0.46061474000000008</v>
      </c>
    </row>
    <row r="40" spans="1:21" ht="14.45" customHeight="1" x14ac:dyDescent="0.25">
      <c r="A40" s="18">
        <v>158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5.8099999999999999E-2</v>
      </c>
      <c r="H40">
        <v>4.0599999999999997E-2</v>
      </c>
      <c r="I40" s="56"/>
      <c r="J40" s="57">
        <f t="shared" si="1"/>
        <v>2.0833333333333336E-2</v>
      </c>
      <c r="K40" s="58">
        <f t="shared" si="2"/>
        <v>4.5666666666666564E-3</v>
      </c>
      <c r="L40" s="56"/>
      <c r="M40" s="62">
        <f t="shared" si="3"/>
        <v>1.969166666666667E-2</v>
      </c>
      <c r="N40" s="56">
        <f t="shared" si="4"/>
        <v>1.3069556083333334</v>
      </c>
      <c r="O40" s="58">
        <f t="shared" si="5"/>
        <v>2.6139112166666667</v>
      </c>
      <c r="P40" s="56">
        <f t="shared" si="6"/>
        <v>0.26139112166666667</v>
      </c>
      <c r="Q40" s="57"/>
      <c r="R40" s="56"/>
      <c r="S40" s="58"/>
      <c r="T40" s="63">
        <f>D69</f>
        <v>158</v>
      </c>
      <c r="U40" s="64">
        <f>Q66</f>
        <v>0.306965875</v>
      </c>
    </row>
    <row r="41" spans="1:21" ht="14.45" customHeight="1" x14ac:dyDescent="0.25">
      <c r="A41" s="18">
        <v>159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5.9499999999999997E-2</v>
      </c>
      <c r="H41">
        <v>4.0500000000000001E-2</v>
      </c>
      <c r="I41" s="56"/>
      <c r="J41" s="57">
        <f t="shared" si="1"/>
        <v>2.2233333333333334E-2</v>
      </c>
      <c r="K41" s="58">
        <f t="shared" si="2"/>
        <v>4.4666666666666605E-3</v>
      </c>
      <c r="L41" s="56"/>
      <c r="M41" s="62">
        <f t="shared" si="3"/>
        <v>2.1116666666666669E-2</v>
      </c>
      <c r="N41" s="56">
        <f t="shared" si="4"/>
        <v>1.4015342833333333</v>
      </c>
      <c r="O41" s="58">
        <f t="shared" si="5"/>
        <v>2.8030685666666666</v>
      </c>
      <c r="P41" s="56">
        <f t="shared" si="6"/>
        <v>0.28030685666666666</v>
      </c>
      <c r="Q41" s="57"/>
      <c r="R41" s="56"/>
      <c r="S41" s="58"/>
      <c r="T41" s="63">
        <f>D72</f>
        <v>159</v>
      </c>
      <c r="U41" s="64">
        <f>Q69</f>
        <v>0.4739995583333334</v>
      </c>
    </row>
    <row r="42" spans="1:21" ht="14.45" customHeight="1" x14ac:dyDescent="0.25">
      <c r="A42" s="18">
        <v>160</v>
      </c>
      <c r="B42" s="30">
        <v>10</v>
      </c>
      <c r="D42" s="78">
        <f>A32</f>
        <v>150</v>
      </c>
      <c r="E42" s="12" t="s">
        <v>65</v>
      </c>
      <c r="F42" s="12">
        <f>B32</f>
        <v>10</v>
      </c>
      <c r="G42">
        <v>4.5699999999999998E-2</v>
      </c>
      <c r="H42">
        <v>3.8199999999999998E-2</v>
      </c>
      <c r="I42" s="56"/>
      <c r="J42" s="57">
        <f t="shared" si="1"/>
        <v>8.4333333333333343E-3</v>
      </c>
      <c r="K42" s="58">
        <f t="shared" si="2"/>
        <v>2.166666666666657E-3</v>
      </c>
      <c r="L42" s="56"/>
      <c r="M42" s="62">
        <f t="shared" si="3"/>
        <v>7.8916666666666701E-3</v>
      </c>
      <c r="N42" s="56">
        <f t="shared" si="4"/>
        <v>0.52377780833333354</v>
      </c>
      <c r="O42" s="58">
        <f t="shared" si="5"/>
        <v>1.0475556166666671</v>
      </c>
      <c r="P42" s="56">
        <f t="shared" si="6"/>
        <v>0.1047555616666667</v>
      </c>
      <c r="Q42" s="57">
        <f>AVERAGE(P42:P44)</f>
        <v>0.11139266166666671</v>
      </c>
      <c r="R42" s="56">
        <f>STDEV(P42:P44)</f>
        <v>6.0830026289983088E-3</v>
      </c>
      <c r="S42" s="58">
        <f>R42/Q42*100</f>
        <v>5.4608647804836448</v>
      </c>
      <c r="T42" s="63">
        <f>D75</f>
        <v>160</v>
      </c>
      <c r="U42" s="64">
        <f>Q72</f>
        <v>0.45961917499999999</v>
      </c>
    </row>
    <row r="43" spans="1:21" ht="14.45" customHeight="1" x14ac:dyDescent="0.25">
      <c r="A43" s="18">
        <v>161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4.6399999999999997E-2</v>
      </c>
      <c r="H43">
        <v>3.8600000000000002E-2</v>
      </c>
      <c r="I43" s="56"/>
      <c r="J43" s="57">
        <f t="shared" si="1"/>
        <v>9.1333333333333336E-3</v>
      </c>
      <c r="K43" s="58">
        <f t="shared" si="2"/>
        <v>2.5666666666666615E-3</v>
      </c>
      <c r="L43" s="56"/>
      <c r="M43" s="62">
        <f t="shared" si="3"/>
        <v>8.4916666666666682E-3</v>
      </c>
      <c r="N43" s="56">
        <f t="shared" si="4"/>
        <v>0.56360040833333336</v>
      </c>
      <c r="O43" s="58">
        <f t="shared" si="5"/>
        <v>1.1272008166666667</v>
      </c>
      <c r="P43" s="56">
        <f t="shared" si="6"/>
        <v>0.11272008166666667</v>
      </c>
      <c r="Q43" s="57"/>
      <c r="R43" s="56"/>
      <c r="S43" s="58"/>
      <c r="T43" s="63">
        <f>D78</f>
        <v>161</v>
      </c>
      <c r="U43" s="64">
        <f>Q75</f>
        <v>0.46537132833333339</v>
      </c>
    </row>
    <row r="44" spans="1:21" ht="14.45" customHeight="1" x14ac:dyDescent="0.25">
      <c r="A44" s="18">
        <v>162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4.6600000000000003E-2</v>
      </c>
      <c r="H44">
        <v>3.8199999999999998E-2</v>
      </c>
      <c r="I44" s="56"/>
      <c r="J44" s="57">
        <f t="shared" si="1"/>
        <v>9.3333333333333393E-3</v>
      </c>
      <c r="K44" s="58">
        <f t="shared" si="2"/>
        <v>2.166666666666657E-3</v>
      </c>
      <c r="L44" s="56"/>
      <c r="M44" s="62">
        <f t="shared" si="3"/>
        <v>8.7916666666666751E-3</v>
      </c>
      <c r="N44" s="56">
        <f t="shared" si="4"/>
        <v>0.58351170833333388</v>
      </c>
      <c r="O44" s="58">
        <f t="shared" si="5"/>
        <v>1.1670234166666678</v>
      </c>
      <c r="P44" s="56">
        <f t="shared" si="6"/>
        <v>0.11670234166666678</v>
      </c>
      <c r="Q44" s="57"/>
      <c r="R44" s="56"/>
      <c r="S44" s="58"/>
      <c r="T44" s="63">
        <f>D81</f>
        <v>162</v>
      </c>
      <c r="U44" s="64">
        <f>Q78</f>
        <v>0.51238412</v>
      </c>
    </row>
    <row r="45" spans="1:21" ht="14.45" customHeight="1" x14ac:dyDescent="0.25">
      <c r="A45" s="18">
        <v>163</v>
      </c>
      <c r="B45" s="30">
        <v>10</v>
      </c>
      <c r="D45" s="78">
        <f>A33</f>
        <v>151</v>
      </c>
      <c r="E45" s="12" t="s">
        <v>68</v>
      </c>
      <c r="F45" s="12">
        <f>B33</f>
        <v>10</v>
      </c>
      <c r="G45">
        <v>9.2100000000000001E-2</v>
      </c>
      <c r="H45">
        <v>3.9899999999999998E-2</v>
      </c>
      <c r="I45" s="56"/>
      <c r="J45" s="57">
        <f t="shared" si="1"/>
        <v>5.4833333333333338E-2</v>
      </c>
      <c r="K45" s="58">
        <f t="shared" si="2"/>
        <v>3.8666666666666571E-3</v>
      </c>
      <c r="L45" s="56"/>
      <c r="M45" s="62">
        <f t="shared" si="3"/>
        <v>5.3866666666666674E-2</v>
      </c>
      <c r="N45" s="56">
        <f t="shared" si="4"/>
        <v>3.5751845333333336</v>
      </c>
      <c r="O45" s="58">
        <f t="shared" si="5"/>
        <v>7.1503690666666673</v>
      </c>
      <c r="P45" s="56">
        <f t="shared" si="6"/>
        <v>0.71503690666666675</v>
      </c>
      <c r="Q45" s="57">
        <f>AVERAGE(P45:P47)</f>
        <v>0.73561191666666659</v>
      </c>
      <c r="R45" s="56">
        <f>STDEV(P45:P47)</f>
        <v>1.8188560526855801E-2</v>
      </c>
      <c r="S45" s="58">
        <f>R45/Q45*100</f>
        <v>2.4725755680080592</v>
      </c>
      <c r="T45" s="63">
        <f>D84</f>
        <v>163</v>
      </c>
      <c r="U45" s="64">
        <f>Q81</f>
        <v>0.53306974833333343</v>
      </c>
    </row>
    <row r="46" spans="1:21" ht="14.45" customHeight="1" x14ac:dyDescent="0.25">
      <c r="A46" s="18">
        <v>164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9.4799999999999995E-2</v>
      </c>
      <c r="H46">
        <v>4.0300000000000002E-2</v>
      </c>
      <c r="I46" s="56"/>
      <c r="J46" s="57">
        <f t="shared" si="1"/>
        <v>5.7533333333333332E-2</v>
      </c>
      <c r="K46" s="58">
        <f t="shared" si="2"/>
        <v>4.2666666666666617E-3</v>
      </c>
      <c r="L46" s="56"/>
      <c r="M46" s="62">
        <f t="shared" si="3"/>
        <v>5.6466666666666665E-2</v>
      </c>
      <c r="N46" s="56">
        <f t="shared" si="4"/>
        <v>3.747749133333333</v>
      </c>
      <c r="O46" s="58">
        <f t="shared" si="5"/>
        <v>7.4954982666666661</v>
      </c>
      <c r="P46" s="56">
        <f t="shared" si="6"/>
        <v>0.74954982666666659</v>
      </c>
      <c r="Q46" s="57"/>
      <c r="R46" s="56"/>
      <c r="S46" s="58"/>
      <c r="T46" s="63">
        <f>D87</f>
        <v>164</v>
      </c>
      <c r="U46" s="64">
        <f>Q84</f>
        <v>0.37720851666666672</v>
      </c>
    </row>
    <row r="47" spans="1:21" ht="14.45" customHeight="1" x14ac:dyDescent="0.25">
      <c r="A47" s="18">
        <v>165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9.4299999999999995E-2</v>
      </c>
      <c r="H47">
        <v>4.0500000000000001E-2</v>
      </c>
      <c r="I47" s="56"/>
      <c r="J47" s="57">
        <f t="shared" si="1"/>
        <v>5.7033333333333332E-2</v>
      </c>
      <c r="K47" s="58">
        <f t="shared" si="2"/>
        <v>4.4666666666666605E-3</v>
      </c>
      <c r="L47" s="56"/>
      <c r="M47" s="62">
        <f t="shared" si="3"/>
        <v>5.591666666666667E-2</v>
      </c>
      <c r="N47" s="56">
        <f t="shared" si="4"/>
        <v>3.7112450833333335</v>
      </c>
      <c r="O47" s="58">
        <f t="shared" si="5"/>
        <v>7.4224901666666669</v>
      </c>
      <c r="P47" s="56">
        <f t="shared" si="6"/>
        <v>0.74224901666666665</v>
      </c>
      <c r="Q47" s="57"/>
      <c r="R47" s="56"/>
      <c r="S47" s="58"/>
      <c r="T47" s="63">
        <f>D90</f>
        <v>165</v>
      </c>
      <c r="U47" s="64">
        <f>Q87</f>
        <v>1.5764218683333338</v>
      </c>
    </row>
    <row r="48" spans="1:21" ht="14.45" customHeight="1" x14ac:dyDescent="0.25">
      <c r="A48" s="18">
        <v>166</v>
      </c>
      <c r="B48" s="30">
        <v>10</v>
      </c>
      <c r="D48" s="78">
        <f>A34</f>
        <v>152</v>
      </c>
      <c r="E48" s="12" t="s">
        <v>71</v>
      </c>
      <c r="F48" s="12">
        <f>B34</f>
        <v>10</v>
      </c>
      <c r="G48">
        <v>0.26190000000000002</v>
      </c>
      <c r="H48">
        <v>0.23300000000000001</v>
      </c>
      <c r="I48" s="56"/>
      <c r="J48" s="57">
        <f t="shared" si="1"/>
        <v>0.22463333333333335</v>
      </c>
      <c r="K48" s="58">
        <f t="shared" si="2"/>
        <v>0.19696666666666668</v>
      </c>
      <c r="L48" s="56"/>
      <c r="M48" s="62">
        <f t="shared" si="3"/>
        <v>0.17539166666666667</v>
      </c>
      <c r="N48" s="56">
        <f t="shared" si="4"/>
        <v>11.640920308333332</v>
      </c>
      <c r="O48" s="58">
        <f t="shared" si="5"/>
        <v>23.281840616666663</v>
      </c>
      <c r="P48" s="56">
        <f t="shared" si="6"/>
        <v>2.3281840616666662</v>
      </c>
      <c r="Q48" s="57">
        <f>AVERAGE(P48:P50)</f>
        <v>1.0989931416666667</v>
      </c>
      <c r="R48" s="56">
        <f>STDEV(P48:P50)</f>
        <v>1.0645207012524813</v>
      </c>
      <c r="S48" s="58">
        <f>R48/Q48*100</f>
        <v>96.863270651361248</v>
      </c>
      <c r="T48" s="63">
        <f>D96</f>
        <v>166</v>
      </c>
      <c r="U48" s="64">
        <f>Q90</f>
        <v>0.29634651500000003</v>
      </c>
    </row>
    <row r="49" spans="1:22" ht="14.45" customHeight="1" x14ac:dyDescent="0.25">
      <c r="A49" s="18">
        <v>167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7.4700000000000003E-2</v>
      </c>
      <c r="H49">
        <v>3.8399999999999997E-2</v>
      </c>
      <c r="I49" s="56"/>
      <c r="J49" s="57">
        <f t="shared" si="1"/>
        <v>3.7433333333333339E-2</v>
      </c>
      <c r="K49" s="58">
        <f t="shared" si="2"/>
        <v>2.3666666666666558E-3</v>
      </c>
      <c r="L49" s="56"/>
      <c r="M49" s="62">
        <f t="shared" si="3"/>
        <v>3.6841666666666675E-2</v>
      </c>
      <c r="N49" s="56">
        <f t="shared" si="4"/>
        <v>2.4452182583333339</v>
      </c>
      <c r="O49" s="58">
        <f t="shared" si="5"/>
        <v>4.8904365166666679</v>
      </c>
      <c r="P49" s="56">
        <f t="shared" si="6"/>
        <v>0.4890436516666668</v>
      </c>
      <c r="Q49" s="57"/>
      <c r="R49" s="56"/>
      <c r="S49" s="58"/>
      <c r="T49" s="63">
        <f>D99</f>
        <v>167</v>
      </c>
      <c r="U49" s="64">
        <f>Q93</f>
        <v>0.48594633833333339</v>
      </c>
    </row>
    <row r="50" spans="1:22" ht="14.45" customHeight="1" x14ac:dyDescent="0.25">
      <c r="A50" s="18">
        <v>168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7.3899999999999993E-2</v>
      </c>
      <c r="H50">
        <v>3.7999999999999999E-2</v>
      </c>
      <c r="I50" s="56"/>
      <c r="J50" s="57">
        <f t="shared" si="1"/>
        <v>3.663333333333333E-2</v>
      </c>
      <c r="K50" s="58">
        <f t="shared" si="2"/>
        <v>1.9666666666666582E-3</v>
      </c>
      <c r="L50" s="56"/>
      <c r="M50" s="62">
        <f t="shared" si="3"/>
        <v>3.6141666666666669E-2</v>
      </c>
      <c r="N50" s="56">
        <f t="shared" si="4"/>
        <v>2.3987585583333333</v>
      </c>
      <c r="O50" s="58">
        <f t="shared" si="5"/>
        <v>4.7975171166666666</v>
      </c>
      <c r="P50" s="56">
        <f t="shared" si="6"/>
        <v>0.47975171166666664</v>
      </c>
      <c r="Q50" s="57"/>
      <c r="R50" s="56"/>
      <c r="S50" s="58"/>
      <c r="T50" s="67">
        <f>D102</f>
        <v>168</v>
      </c>
      <c r="U50" s="68">
        <f>Q96</f>
        <v>0.32200996833333334</v>
      </c>
    </row>
    <row r="51" spans="1:22" ht="14.45" customHeight="1" x14ac:dyDescent="0.25">
      <c r="D51" s="78">
        <f>A35</f>
        <v>153</v>
      </c>
      <c r="E51" s="12" t="s">
        <v>74</v>
      </c>
      <c r="F51" s="12">
        <f>B35</f>
        <v>10</v>
      </c>
      <c r="G51">
        <v>5.4699999999999999E-2</v>
      </c>
      <c r="H51">
        <v>3.8300000000000001E-2</v>
      </c>
      <c r="I51" s="56"/>
      <c r="J51" s="57">
        <f t="shared" si="1"/>
        <v>1.7433333333333335E-2</v>
      </c>
      <c r="K51" s="58">
        <f t="shared" si="2"/>
        <v>2.2666666666666599E-3</v>
      </c>
      <c r="L51" s="56"/>
      <c r="M51" s="62">
        <f t="shared" si="3"/>
        <v>1.6866666666666669E-2</v>
      </c>
      <c r="N51" s="56">
        <f t="shared" si="4"/>
        <v>1.1194575333333334</v>
      </c>
      <c r="O51" s="58">
        <f t="shared" si="5"/>
        <v>2.2389150666666668</v>
      </c>
      <c r="P51" s="56">
        <f t="shared" si="6"/>
        <v>0.22389150666666668</v>
      </c>
      <c r="Q51" s="57">
        <f>AVERAGE(P51:P53)</f>
        <v>0.22665696500000002</v>
      </c>
      <c r="R51" s="56">
        <f>STDEV(P51:P53)</f>
        <v>4.5055758339648854E-3</v>
      </c>
      <c r="S51" s="58">
        <f>R51/Q51*100</f>
        <v>1.9878391268341942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5.5199999999999999E-2</v>
      </c>
      <c r="H52">
        <v>3.7900000000000003E-2</v>
      </c>
      <c r="I52" s="56"/>
      <c r="J52" s="57">
        <f t="shared" si="1"/>
        <v>1.7933333333333336E-2</v>
      </c>
      <c r="K52" s="58">
        <f t="shared" si="2"/>
        <v>1.8666666666666623E-3</v>
      </c>
      <c r="L52" s="56"/>
      <c r="M52" s="62">
        <f t="shared" si="3"/>
        <v>1.7466666666666672E-2</v>
      </c>
      <c r="N52" s="56">
        <f t="shared" si="4"/>
        <v>1.1592801333333336</v>
      </c>
      <c r="O52" s="58">
        <f t="shared" si="5"/>
        <v>2.3185602666666671</v>
      </c>
      <c r="P52" s="56">
        <f t="shared" si="6"/>
        <v>0.23185602666666671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5.45E-2</v>
      </c>
      <c r="H53">
        <v>3.7400000000000003E-2</v>
      </c>
      <c r="I53" s="56"/>
      <c r="J53" s="57">
        <f t="shared" si="1"/>
        <v>1.7233333333333337E-2</v>
      </c>
      <c r="K53" s="58">
        <f t="shared" si="2"/>
        <v>1.3666666666666619E-3</v>
      </c>
      <c r="L53" s="56"/>
      <c r="M53" s="62">
        <f t="shared" si="3"/>
        <v>1.6891666666666673E-2</v>
      </c>
      <c r="N53" s="56">
        <f t="shared" si="4"/>
        <v>1.1211168083333336</v>
      </c>
      <c r="O53" s="58">
        <f t="shared" si="5"/>
        <v>2.2422336166666672</v>
      </c>
      <c r="P53" s="56">
        <f t="shared" si="6"/>
        <v>0.22422336166666673</v>
      </c>
      <c r="Q53" s="57"/>
      <c r="R53" s="56"/>
      <c r="S53" s="58"/>
      <c r="T53" s="56"/>
    </row>
    <row r="54" spans="1:22" ht="14.45" customHeight="1" x14ac:dyDescent="0.25">
      <c r="D54" s="78">
        <f>A36</f>
        <v>154</v>
      </c>
      <c r="E54" s="12" t="s">
        <v>77</v>
      </c>
      <c r="F54" s="12">
        <f>B36</f>
        <v>10</v>
      </c>
      <c r="G54">
        <v>9.2100000000000001E-2</v>
      </c>
      <c r="H54">
        <v>0.23649999999999999</v>
      </c>
      <c r="I54" s="56"/>
      <c r="J54" s="57">
        <f t="shared" si="1"/>
        <v>5.4833333333333338E-2</v>
      </c>
      <c r="K54" s="58">
        <f t="shared" si="2"/>
        <v>0.20046666666666665</v>
      </c>
      <c r="L54" s="56"/>
      <c r="M54" s="62">
        <f t="shared" si="3"/>
        <v>4.7166666666666746E-3</v>
      </c>
      <c r="N54" s="56">
        <f t="shared" si="4"/>
        <v>0.31304988333333383</v>
      </c>
      <c r="O54" s="58">
        <f t="shared" si="5"/>
        <v>0.62609976666666767</v>
      </c>
      <c r="P54" s="56">
        <f t="shared" si="6"/>
        <v>6.2609976666666761E-2</v>
      </c>
      <c r="Q54" s="57">
        <f>AVERAGE(P54:P56)</f>
        <v>0.17256460000000007</v>
      </c>
      <c r="R54" s="56">
        <f>STDEV(P54:P56)</f>
        <v>9.527032455756855E-2</v>
      </c>
      <c r="S54" s="58">
        <f>R54/Q54*100</f>
        <v>55.208498473944545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5.5300000000000002E-2</v>
      </c>
      <c r="H55">
        <v>3.8699999999999998E-2</v>
      </c>
      <c r="I55" s="56"/>
      <c r="J55" s="57">
        <f t="shared" si="1"/>
        <v>1.8033333333333339E-2</v>
      </c>
      <c r="K55" s="58">
        <f t="shared" si="2"/>
        <v>2.6666666666666575E-3</v>
      </c>
      <c r="L55" s="56"/>
      <c r="M55" s="62">
        <f t="shared" si="3"/>
        <v>1.7366666666666676E-2</v>
      </c>
      <c r="N55" s="56">
        <f t="shared" si="4"/>
        <v>1.152643033333334</v>
      </c>
      <c r="O55" s="58">
        <f t="shared" si="5"/>
        <v>2.3052860666666679</v>
      </c>
      <c r="P55" s="56">
        <f t="shared" si="6"/>
        <v>0.2305286066666668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5.4899999999999997E-2</v>
      </c>
      <c r="H56">
        <v>3.8899999999999997E-2</v>
      </c>
      <c r="I56" s="56"/>
      <c r="J56" s="57">
        <f t="shared" si="1"/>
        <v>1.7633333333333334E-2</v>
      </c>
      <c r="K56" s="58">
        <f t="shared" si="2"/>
        <v>2.8666666666666563E-3</v>
      </c>
      <c r="L56" s="56"/>
      <c r="M56" s="62">
        <f t="shared" si="3"/>
        <v>1.691666666666667E-2</v>
      </c>
      <c r="N56" s="56">
        <f t="shared" si="4"/>
        <v>1.1227760833333336</v>
      </c>
      <c r="O56" s="58">
        <f t="shared" si="5"/>
        <v>2.2455521666666671</v>
      </c>
      <c r="P56" s="56">
        <f t="shared" si="6"/>
        <v>0.22455521666666672</v>
      </c>
      <c r="Q56" s="57"/>
      <c r="R56" s="56"/>
      <c r="S56" s="58"/>
      <c r="T56" s="56"/>
    </row>
    <row r="57" spans="1:22" ht="14.45" customHeight="1" x14ac:dyDescent="0.25">
      <c r="D57" s="78">
        <f>A37</f>
        <v>155</v>
      </c>
      <c r="E57" s="12" t="s">
        <v>80</v>
      </c>
      <c r="F57" s="12">
        <f>B37</f>
        <v>10</v>
      </c>
      <c r="G57">
        <v>6.8400000000000002E-2</v>
      </c>
      <c r="H57">
        <v>3.7900000000000003E-2</v>
      </c>
      <c r="I57" s="56"/>
      <c r="J57" s="57">
        <f t="shared" si="1"/>
        <v>3.1133333333333339E-2</v>
      </c>
      <c r="K57" s="58">
        <f t="shared" si="2"/>
        <v>1.8666666666666623E-3</v>
      </c>
      <c r="L57" s="56"/>
      <c r="M57" s="62">
        <f t="shared" si="3"/>
        <v>3.0666666666666675E-2</v>
      </c>
      <c r="N57" s="56">
        <f t="shared" si="4"/>
        <v>2.0353773333333338</v>
      </c>
      <c r="O57" s="58">
        <f t="shared" si="5"/>
        <v>4.0707546666666676</v>
      </c>
      <c r="P57" s="56">
        <f t="shared" si="6"/>
        <v>0.40707546666666677</v>
      </c>
      <c r="Q57" s="57">
        <f>AVERAGE(P57:P59)</f>
        <v>0.41360194833333336</v>
      </c>
      <c r="R57" s="56">
        <f>STDEV(P57:P59)</f>
        <v>5.7126631784490834E-3</v>
      </c>
      <c r="S57" s="58">
        <f>R57/Q57*100</f>
        <v>1.3811983240091241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6.9199999999999998E-2</v>
      </c>
      <c r="H58">
        <v>3.7900000000000003E-2</v>
      </c>
      <c r="I58" s="56"/>
      <c r="J58" s="57">
        <f t="shared" si="1"/>
        <v>3.1933333333333334E-2</v>
      </c>
      <c r="K58" s="58">
        <f t="shared" si="2"/>
        <v>1.8666666666666623E-3</v>
      </c>
      <c r="L58" s="56"/>
      <c r="M58" s="62">
        <f t="shared" si="3"/>
        <v>3.1466666666666671E-2</v>
      </c>
      <c r="N58" s="56">
        <f t="shared" si="4"/>
        <v>2.0884741333333334</v>
      </c>
      <c r="O58" s="58">
        <f t="shared" si="5"/>
        <v>4.1769482666666669</v>
      </c>
      <c r="P58" s="56">
        <f t="shared" si="6"/>
        <v>0.41769482666666669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6.9000000000000006E-2</v>
      </c>
      <c r="H59">
        <v>3.7600000000000001E-2</v>
      </c>
      <c r="I59" s="56"/>
      <c r="J59" s="57">
        <f t="shared" si="1"/>
        <v>3.1733333333333343E-2</v>
      </c>
      <c r="K59" s="58">
        <f t="shared" si="2"/>
        <v>1.5666666666666607E-3</v>
      </c>
      <c r="L59" s="56"/>
      <c r="M59" s="62">
        <f t="shared" si="3"/>
        <v>3.1341666666666677E-2</v>
      </c>
      <c r="N59" s="56">
        <f t="shared" si="4"/>
        <v>2.0801777583333338</v>
      </c>
      <c r="O59" s="58">
        <f t="shared" si="5"/>
        <v>4.1603555166666677</v>
      </c>
      <c r="P59" s="56">
        <f t="shared" si="6"/>
        <v>0.41603555166666678</v>
      </c>
      <c r="Q59" s="57"/>
      <c r="R59" s="56"/>
      <c r="S59" s="58"/>
      <c r="T59" s="56"/>
    </row>
    <row r="60" spans="1:22" ht="14.45" customHeight="1" x14ac:dyDescent="0.25">
      <c r="D60" s="78">
        <f>A38</f>
        <v>156</v>
      </c>
      <c r="E60" s="12" t="s">
        <v>83</v>
      </c>
      <c r="F60" s="12">
        <f>B38</f>
        <v>10</v>
      </c>
      <c r="G60">
        <v>6.9800000000000001E-2</v>
      </c>
      <c r="H60">
        <v>3.9600000000000003E-2</v>
      </c>
      <c r="I60" s="56"/>
      <c r="J60" s="57">
        <f t="shared" si="1"/>
        <v>3.2533333333333338E-2</v>
      </c>
      <c r="K60" s="58">
        <f t="shared" si="2"/>
        <v>3.5666666666666624E-3</v>
      </c>
      <c r="L60" s="56"/>
      <c r="M60" s="62">
        <f t="shared" si="3"/>
        <v>3.1641666666666672E-2</v>
      </c>
      <c r="N60" s="56">
        <f t="shared" si="4"/>
        <v>2.1000890583333334</v>
      </c>
      <c r="O60" s="58">
        <f t="shared" si="5"/>
        <v>4.2001781166666667</v>
      </c>
      <c r="P60" s="56">
        <f t="shared" si="6"/>
        <v>0.42001781166666668</v>
      </c>
      <c r="Q60" s="57">
        <f>AVERAGE(P60:P62)</f>
        <v>0.43262830166666671</v>
      </c>
      <c r="R60" s="56">
        <f>STDEV(P60:P62)</f>
        <v>1.1514938132447758E-2</v>
      </c>
      <c r="S60" s="58">
        <f>R60/Q60*100</f>
        <v>2.6616238669748049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7.1599999999999997E-2</v>
      </c>
      <c r="H61">
        <v>0.04</v>
      </c>
      <c r="I61" s="56"/>
      <c r="J61" s="57">
        <f t="shared" si="1"/>
        <v>3.4333333333333334E-2</v>
      </c>
      <c r="K61" s="58">
        <f t="shared" si="2"/>
        <v>3.96666666666666E-3</v>
      </c>
      <c r="L61" s="56"/>
      <c r="M61" s="62">
        <f t="shared" si="3"/>
        <v>3.3341666666666672E-2</v>
      </c>
      <c r="N61" s="56">
        <f t="shared" si="4"/>
        <v>2.2129197583333333</v>
      </c>
      <c r="O61" s="58">
        <f t="shared" si="5"/>
        <v>4.4258395166666666</v>
      </c>
      <c r="P61" s="56">
        <f t="shared" si="6"/>
        <v>0.44258395166666664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7.0699999999999999E-2</v>
      </c>
      <c r="H62">
        <v>3.8600000000000002E-2</v>
      </c>
      <c r="I62" s="56"/>
      <c r="J62" s="57">
        <f t="shared" si="1"/>
        <v>3.3433333333333336E-2</v>
      </c>
      <c r="K62" s="58">
        <f t="shared" si="2"/>
        <v>2.5666666666666615E-3</v>
      </c>
      <c r="L62" s="56"/>
      <c r="M62" s="62">
        <f t="shared" si="3"/>
        <v>3.279166666666667E-2</v>
      </c>
      <c r="N62" s="56">
        <f t="shared" si="4"/>
        <v>2.1764157083333333</v>
      </c>
      <c r="O62" s="58">
        <f t="shared" si="5"/>
        <v>4.3528314166666666</v>
      </c>
      <c r="P62" s="56">
        <f t="shared" si="6"/>
        <v>0.43528314166666665</v>
      </c>
      <c r="Q62" s="57"/>
      <c r="R62" s="56"/>
      <c r="S62" s="58"/>
      <c r="T62" s="56"/>
    </row>
    <row r="63" spans="1:22" ht="14.45" customHeight="1" x14ac:dyDescent="0.25">
      <c r="D63" s="78">
        <f>A39</f>
        <v>157</v>
      </c>
      <c r="E63" s="12" t="s">
        <v>86</v>
      </c>
      <c r="F63" s="12">
        <f>B39</f>
        <v>10</v>
      </c>
      <c r="G63">
        <v>7.3599999999999999E-2</v>
      </c>
      <c r="H63">
        <v>3.9199999999999999E-2</v>
      </c>
      <c r="I63" s="56"/>
      <c r="J63" s="57">
        <f t="shared" si="1"/>
        <v>3.6333333333333336E-2</v>
      </c>
      <c r="K63" s="58">
        <f t="shared" si="2"/>
        <v>3.1666666666666579E-3</v>
      </c>
      <c r="L63" s="56"/>
      <c r="M63" s="62">
        <f t="shared" si="3"/>
        <v>3.5541666666666673E-2</v>
      </c>
      <c r="N63" s="56">
        <f t="shared" si="4"/>
        <v>2.3589359583333334</v>
      </c>
      <c r="O63" s="58">
        <f t="shared" si="5"/>
        <v>4.7178719166666667</v>
      </c>
      <c r="P63" s="56">
        <f t="shared" si="6"/>
        <v>0.47178719166666666</v>
      </c>
      <c r="Q63" s="57">
        <f>AVERAGE(P63:P65)</f>
        <v>0.46061474000000008</v>
      </c>
      <c r="R63" s="56">
        <f>STDEV(P63:P65)</f>
        <v>3.5683800960352494E-2</v>
      </c>
      <c r="S63" s="58">
        <f>R63/Q63*100</f>
        <v>7.7469950180822451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7.51E-2</v>
      </c>
      <c r="H64">
        <v>3.9899999999999998E-2</v>
      </c>
      <c r="I64" s="56"/>
      <c r="J64" s="57">
        <f t="shared" si="1"/>
        <v>3.7833333333333337E-2</v>
      </c>
      <c r="K64" s="58">
        <f t="shared" si="2"/>
        <v>3.8666666666666571E-3</v>
      </c>
      <c r="L64" s="56"/>
      <c r="M64" s="62">
        <f t="shared" si="3"/>
        <v>3.6866666666666673E-2</v>
      </c>
      <c r="N64" s="56">
        <f t="shared" si="4"/>
        <v>2.4468775333333337</v>
      </c>
      <c r="O64" s="58">
        <f t="shared" si="5"/>
        <v>4.8937550666666674</v>
      </c>
      <c r="P64" s="56">
        <f t="shared" si="6"/>
        <v>0.48937550666666674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6.9500000000000006E-2</v>
      </c>
      <c r="H65">
        <v>3.8199999999999998E-2</v>
      </c>
      <c r="I65" s="56"/>
      <c r="J65" s="57">
        <f t="shared" si="1"/>
        <v>3.2233333333333343E-2</v>
      </c>
      <c r="K65" s="58">
        <f t="shared" si="2"/>
        <v>2.166666666666657E-3</v>
      </c>
      <c r="L65" s="56"/>
      <c r="M65" s="62">
        <f t="shared" si="3"/>
        <v>3.169166666666668E-2</v>
      </c>
      <c r="N65" s="56">
        <f t="shared" si="4"/>
        <v>2.1034076083333342</v>
      </c>
      <c r="O65" s="58">
        <f t="shared" si="5"/>
        <v>4.2068152166666684</v>
      </c>
      <c r="P65" s="56">
        <f t="shared" si="6"/>
        <v>0.42068152166666684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0.21929999999999999</v>
      </c>
      <c r="H66">
        <v>3.5200000000000002E-2</v>
      </c>
      <c r="I66" s="56"/>
      <c r="J66" s="57">
        <f>G69-$J$14</f>
        <v>2.1733333333333334E-2</v>
      </c>
      <c r="K66" s="58">
        <f>H69-$K$14</f>
        <v>1.1666666666666561E-3</v>
      </c>
      <c r="L66" s="56"/>
      <c r="M66" s="62">
        <f t="shared" si="3"/>
        <v>2.1441666666666671E-2</v>
      </c>
      <c r="N66" s="56">
        <f t="shared" si="4"/>
        <v>1.4231048583333334</v>
      </c>
      <c r="O66" s="58">
        <f t="shared" si="5"/>
        <v>2.8462097166666669</v>
      </c>
      <c r="P66" s="56">
        <f>O66/F69</f>
        <v>0.28462097166666667</v>
      </c>
      <c r="Q66" s="57">
        <f>AVERAGE(P66:P68)</f>
        <v>0.306965875</v>
      </c>
      <c r="R66" s="56">
        <f>STDEV(P66:P68)</f>
        <v>1.9981235458865754E-2</v>
      </c>
      <c r="S66" s="58">
        <f>R66/Q66*100</f>
        <v>6.5092692987016072</v>
      </c>
      <c r="T66" s="56"/>
    </row>
    <row r="67" spans="4:20" ht="14.45" customHeight="1" x14ac:dyDescent="0.25">
      <c r="D67" s="71"/>
      <c r="E67" s="17" t="s">
        <v>126</v>
      </c>
      <c r="F67" s="17"/>
      <c r="G67">
        <v>0.96850000000000003</v>
      </c>
      <c r="H67">
        <v>3.56E-2</v>
      </c>
      <c r="I67" s="56"/>
      <c r="J67" s="57">
        <f>G70-$J$14</f>
        <v>2.363333333333334E-2</v>
      </c>
      <c r="K67" s="58">
        <f>H70-$K$14</f>
        <v>1.6666666666666219E-4</v>
      </c>
      <c r="L67" s="56"/>
      <c r="M67" s="62">
        <f t="shared" si="3"/>
        <v>2.3591666666666674E-2</v>
      </c>
      <c r="N67" s="56">
        <f t="shared" si="4"/>
        <v>1.5658025083333338</v>
      </c>
      <c r="O67" s="58">
        <f t="shared" si="5"/>
        <v>3.1316050166666676</v>
      </c>
      <c r="P67" s="56">
        <f>O67/F70</f>
        <v>0.31316050166666676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1.4434</v>
      </c>
      <c r="H68">
        <v>3.5900000000000001E-2</v>
      </c>
      <c r="I68" s="56"/>
      <c r="J68" s="57">
        <f>G71-$J$14</f>
        <v>2.4633333333333333E-2</v>
      </c>
      <c r="K68" s="58">
        <f>H71-$K$14</f>
        <v>1.1666666666666561E-3</v>
      </c>
      <c r="L68" s="56"/>
      <c r="M68" s="62">
        <f t="shared" si="3"/>
        <v>2.4341666666666671E-2</v>
      </c>
      <c r="N68" s="56">
        <f t="shared" si="4"/>
        <v>1.6155807583333335</v>
      </c>
      <c r="O68" s="58">
        <f t="shared" si="5"/>
        <v>3.231161516666667</v>
      </c>
      <c r="P68" s="56">
        <f>O68/F71</f>
        <v>0.32311615166666668</v>
      </c>
      <c r="Q68" s="57"/>
      <c r="R68" s="56"/>
      <c r="S68" s="58"/>
      <c r="T68" s="56"/>
    </row>
    <row r="69" spans="4:20" ht="14.45" customHeight="1" x14ac:dyDescent="0.25">
      <c r="D69" s="78">
        <f>A40</f>
        <v>158</v>
      </c>
      <c r="E69" s="12" t="s">
        <v>89</v>
      </c>
      <c r="F69" s="12">
        <f>B40</f>
        <v>10</v>
      </c>
      <c r="G69">
        <v>5.8999999999999997E-2</v>
      </c>
      <c r="H69">
        <v>3.7199999999999997E-2</v>
      </c>
      <c r="I69" s="56"/>
      <c r="J69" s="57">
        <f>G72-$J$14</f>
        <v>0.14843333333333333</v>
      </c>
      <c r="K69" s="58">
        <f>H72-$K$14</f>
        <v>0.38486666666666663</v>
      </c>
      <c r="L69" s="56"/>
      <c r="M69" s="62">
        <f t="shared" si="3"/>
        <v>5.2216666666666675E-2</v>
      </c>
      <c r="N69" s="56">
        <f t="shared" si="4"/>
        <v>3.4656723833333336</v>
      </c>
      <c r="O69" s="58">
        <f t="shared" si="5"/>
        <v>6.9313447666666672</v>
      </c>
      <c r="P69" s="56">
        <f>O69/F72</f>
        <v>0.69313447666666672</v>
      </c>
      <c r="Q69" s="57">
        <f>AVERAGE(P69:P71)</f>
        <v>0.4739995583333334</v>
      </c>
      <c r="R69" s="56">
        <f>STDEV(P69:P71)</f>
        <v>0.18988670411127312</v>
      </c>
      <c r="S69" s="58">
        <f>R69/Q69*100</f>
        <v>40.060523427268265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6.0900000000000003E-2</v>
      </c>
      <c r="H70">
        <v>3.6200000000000003E-2</v>
      </c>
      <c r="I70" s="56"/>
      <c r="J70" s="57">
        <f>G73-$J$14</f>
        <v>2.7233333333333339E-2</v>
      </c>
      <c r="K70" s="58">
        <f>H73-$K$14</f>
        <v>1.0666666666666602E-3</v>
      </c>
      <c r="L70" s="56"/>
      <c r="M70" s="62">
        <f t="shared" si="3"/>
        <v>2.6966666666666674E-2</v>
      </c>
      <c r="N70" s="56">
        <f t="shared" si="4"/>
        <v>1.7898046333333337</v>
      </c>
      <c r="O70" s="58">
        <f t="shared" si="5"/>
        <v>3.5796092666666675</v>
      </c>
      <c r="P70" s="56">
        <f>O70/F73</f>
        <v>0.35796092666666673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6.1899999999999997E-2</v>
      </c>
      <c r="H71">
        <v>3.7199999999999997E-2</v>
      </c>
      <c r="I71" s="56"/>
      <c r="J71" s="57">
        <f>G74-$J$14</f>
        <v>2.8133333333333337E-2</v>
      </c>
      <c r="K71" s="58">
        <f>H74-$K$14</f>
        <v>7.6666666666665856E-4</v>
      </c>
      <c r="L71" s="56"/>
      <c r="M71" s="62">
        <f t="shared" si="3"/>
        <v>2.794166666666667E-2</v>
      </c>
      <c r="N71" s="56">
        <f t="shared" si="4"/>
        <v>1.8545163583333335</v>
      </c>
      <c r="O71" s="58">
        <f t="shared" si="5"/>
        <v>3.709032716666667</v>
      </c>
      <c r="P71" s="56">
        <f>O71/F74</f>
        <v>0.3709032716666667</v>
      </c>
      <c r="Q71" s="57"/>
      <c r="R71" s="56"/>
      <c r="S71" s="58"/>
      <c r="T71" s="56"/>
    </row>
    <row r="72" spans="4:20" ht="14.45" customHeight="1" x14ac:dyDescent="0.25">
      <c r="D72" s="78">
        <f>A41</f>
        <v>159</v>
      </c>
      <c r="E72" s="12" t="s">
        <v>92</v>
      </c>
      <c r="F72" s="12">
        <f>B41</f>
        <v>10</v>
      </c>
      <c r="G72">
        <v>0.1857</v>
      </c>
      <c r="H72">
        <v>0.4209</v>
      </c>
      <c r="I72" s="56"/>
      <c r="J72" s="57">
        <f>G75-$J$14</f>
        <v>3.5233333333333332E-2</v>
      </c>
      <c r="K72" s="58">
        <f>H75-$K$14</f>
        <v>3.066666666666662E-3</v>
      </c>
      <c r="L72" s="56"/>
      <c r="M72" s="62">
        <f t="shared" si="3"/>
        <v>3.4466666666666666E-2</v>
      </c>
      <c r="N72" s="56">
        <f t="shared" si="4"/>
        <v>2.2875871333333331</v>
      </c>
      <c r="O72" s="58">
        <f t="shared" si="5"/>
        <v>4.5751742666666662</v>
      </c>
      <c r="P72" s="56">
        <f>O72/F75</f>
        <v>0.45751742666666662</v>
      </c>
      <c r="Q72" s="57">
        <f>AVERAGE(P72:P74)</f>
        <v>0.45961917499999999</v>
      </c>
      <c r="R72" s="56">
        <f>STDEV(P72:P74)</f>
        <v>2.5776682696786652E-3</v>
      </c>
      <c r="S72" s="58">
        <f>R72/Q72*100</f>
        <v>0.56082696499306528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6.4500000000000002E-2</v>
      </c>
      <c r="H73">
        <v>3.7100000000000001E-2</v>
      </c>
      <c r="I73" s="56"/>
      <c r="J73" s="57">
        <f>G76-$J$14</f>
        <v>3.5233333333333332E-2</v>
      </c>
      <c r="K73" s="58">
        <f>H76-$K$14</f>
        <v>1.5666666666666607E-3</v>
      </c>
      <c r="L73" s="56"/>
      <c r="M73" s="62">
        <f t="shared" si="3"/>
        <v>3.4841666666666667E-2</v>
      </c>
      <c r="N73" s="56">
        <f t="shared" si="4"/>
        <v>2.3124762583333331</v>
      </c>
      <c r="O73" s="58">
        <f t="shared" si="5"/>
        <v>4.6249525166666663</v>
      </c>
      <c r="P73" s="56">
        <f>O73/F76</f>
        <v>0.46249525166666661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6.54E-2</v>
      </c>
      <c r="H74">
        <v>3.6799999999999999E-2</v>
      </c>
      <c r="I74" s="56"/>
      <c r="J74" s="57">
        <f>G77-$J$14</f>
        <v>3.503333333333334E-2</v>
      </c>
      <c r="K74" s="58">
        <f>H77-$K$14</f>
        <v>1.8666666666666623E-3</v>
      </c>
      <c r="L74" s="56"/>
      <c r="M74" s="62">
        <f t="shared" si="3"/>
        <v>3.4566666666666676E-2</v>
      </c>
      <c r="N74" s="56">
        <f t="shared" si="4"/>
        <v>2.2942242333333338</v>
      </c>
      <c r="O74" s="58">
        <f t="shared" si="5"/>
        <v>4.5884484666666676</v>
      </c>
      <c r="P74" s="56">
        <f>O74/F77</f>
        <v>0.45884484666666675</v>
      </c>
      <c r="Q74" s="57"/>
      <c r="R74" s="56"/>
      <c r="S74" s="58"/>
      <c r="T74" s="56"/>
    </row>
    <row r="75" spans="4:20" ht="14.45" customHeight="1" x14ac:dyDescent="0.25">
      <c r="D75" s="78">
        <f>A42</f>
        <v>160</v>
      </c>
      <c r="E75" s="12" t="s">
        <v>95</v>
      </c>
      <c r="F75" s="12">
        <f>B42</f>
        <v>10</v>
      </c>
      <c r="G75">
        <v>7.2499999999999995E-2</v>
      </c>
      <c r="H75">
        <v>3.9100000000000003E-2</v>
      </c>
      <c r="I75" s="56"/>
      <c r="J75" s="57">
        <f>G78-$J$14</f>
        <v>3.6133333333333344E-2</v>
      </c>
      <c r="K75" s="58">
        <f>H78-$K$14</f>
        <v>8.7666666666666587E-3</v>
      </c>
      <c r="L75" s="56"/>
      <c r="M75" s="62">
        <f t="shared" si="3"/>
        <v>3.3941666666666676E-2</v>
      </c>
      <c r="N75" s="56">
        <f t="shared" si="4"/>
        <v>2.2527423583333337</v>
      </c>
      <c r="O75" s="58">
        <f t="shared" si="5"/>
        <v>4.5054847166666674</v>
      </c>
      <c r="P75" s="56">
        <f>O75/F78</f>
        <v>0.45054847166666673</v>
      </c>
      <c r="Q75" s="57">
        <f>AVERAGE(P75:P77)</f>
        <v>0.46537132833333339</v>
      </c>
      <c r="R75" s="56">
        <f>STDEV(P75:P77)</f>
        <v>1.3891742566100493E-2</v>
      </c>
      <c r="S75" s="58">
        <f>R75/Q75*100</f>
        <v>2.9850877611759956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7.2499999999999995E-2</v>
      </c>
      <c r="H76">
        <v>3.7600000000000001E-2</v>
      </c>
      <c r="I76" s="56"/>
      <c r="J76" s="57">
        <f>G79-$J$14</f>
        <v>3.843333333333334E-2</v>
      </c>
      <c r="K76" s="58">
        <f>H79-$K$14</f>
        <v>9.6666666666666567E-3</v>
      </c>
      <c r="L76" s="56"/>
      <c r="M76" s="62">
        <f t="shared" si="3"/>
        <v>3.6016666666666676E-2</v>
      </c>
      <c r="N76" s="56">
        <f t="shared" si="4"/>
        <v>2.3904621833333337</v>
      </c>
      <c r="O76" s="58">
        <f t="shared" si="5"/>
        <v>4.7809243666666674</v>
      </c>
      <c r="P76" s="56">
        <f>O76/F79</f>
        <v>0.47809243666666673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7.2300000000000003E-2</v>
      </c>
      <c r="H77">
        <v>3.7900000000000003E-2</v>
      </c>
      <c r="I77" s="56"/>
      <c r="J77" s="57">
        <f>G80-$J$14</f>
        <v>3.7433333333333339E-2</v>
      </c>
      <c r="K77" s="58">
        <f>H80-$K$14</f>
        <v>8.8666666666666616E-3</v>
      </c>
      <c r="L77" s="56"/>
      <c r="M77" s="62">
        <f t="shared" si="3"/>
        <v>3.5216666666666674E-2</v>
      </c>
      <c r="N77" s="56">
        <f t="shared" si="4"/>
        <v>2.3373653833333337</v>
      </c>
      <c r="O77" s="58">
        <f t="shared" si="5"/>
        <v>4.6747307666666673</v>
      </c>
      <c r="P77" s="56">
        <f>O77/F80</f>
        <v>0.46747307666666671</v>
      </c>
      <c r="Q77" s="57"/>
      <c r="R77" s="56"/>
      <c r="S77" s="58"/>
      <c r="T77" s="56"/>
    </row>
    <row r="78" spans="4:20" ht="14.45" customHeight="1" x14ac:dyDescent="0.25">
      <c r="D78" s="78">
        <f>A43</f>
        <v>161</v>
      </c>
      <c r="E78" s="12" t="s">
        <v>98</v>
      </c>
      <c r="F78" s="12">
        <f>B43</f>
        <v>10</v>
      </c>
      <c r="G78">
        <v>7.3400000000000007E-2</v>
      </c>
      <c r="H78">
        <v>4.48E-2</v>
      </c>
      <c r="I78" s="56"/>
      <c r="J78" s="57">
        <f>G81-$J$14</f>
        <v>5.0933333333333337E-2</v>
      </c>
      <c r="K78" s="58">
        <f>H81-$K$14</f>
        <v>1.6366666666666661E-2</v>
      </c>
      <c r="L78" s="56"/>
      <c r="M78" s="62">
        <f t="shared" si="3"/>
        <v>4.684166666666667E-2</v>
      </c>
      <c r="N78" s="56">
        <f t="shared" si="4"/>
        <v>3.1089282583333335</v>
      </c>
      <c r="O78" s="58">
        <f t="shared" si="5"/>
        <v>6.2178565166666671</v>
      </c>
      <c r="P78" s="56">
        <f>O78/F81</f>
        <v>0.62178565166666666</v>
      </c>
      <c r="Q78" s="57">
        <f>AVERAGE(P78:P80)</f>
        <v>0.51238412</v>
      </c>
      <c r="R78" s="56">
        <f>STDEV(P78:P80)</f>
        <v>9.6455317484516745E-2</v>
      </c>
      <c r="S78" s="58">
        <f>R78/Q78*100</f>
        <v>18.824806179496107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7.5700000000000003E-2</v>
      </c>
      <c r="H79">
        <v>4.5699999999999998E-2</v>
      </c>
      <c r="I79" s="56"/>
      <c r="J79" s="57">
        <f>G82-$J$14</f>
        <v>3.3833333333333333E-2</v>
      </c>
      <c r="K79" s="58">
        <f>H82-$K$14</f>
        <v>2.8666666666666563E-3</v>
      </c>
      <c r="L79" s="56"/>
      <c r="M79" s="62">
        <f t="shared" si="3"/>
        <v>3.3116666666666669E-2</v>
      </c>
      <c r="N79" s="56">
        <f t="shared" si="4"/>
        <v>2.1979862833333335</v>
      </c>
      <c r="O79" s="58">
        <f t="shared" si="5"/>
        <v>4.3959725666666669</v>
      </c>
      <c r="P79" s="56">
        <f>O79/F82</f>
        <v>0.43959725666666671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7.4700000000000003E-2</v>
      </c>
      <c r="H80">
        <v>4.4900000000000002E-2</v>
      </c>
      <c r="I80" s="56"/>
      <c r="J80" s="57">
        <f>G83-$J$14</f>
        <v>4.0533333333333331E-2</v>
      </c>
      <c r="K80" s="58">
        <f>H83-$K$14</f>
        <v>1.8766666666666661E-2</v>
      </c>
      <c r="L80" s="56"/>
      <c r="M80" s="62">
        <f t="shared" si="3"/>
        <v>3.5841666666666668E-2</v>
      </c>
      <c r="N80" s="56">
        <f t="shared" si="4"/>
        <v>2.3788472583333333</v>
      </c>
      <c r="O80" s="58">
        <f t="shared" si="5"/>
        <v>4.7576945166666667</v>
      </c>
      <c r="P80" s="56">
        <f>O80/F83</f>
        <v>0.47576945166666668</v>
      </c>
      <c r="Q80" s="57"/>
      <c r="R80" s="56"/>
      <c r="S80" s="58"/>
      <c r="T80" s="56"/>
    </row>
    <row r="81" spans="4:20" ht="14.45" customHeight="1" x14ac:dyDescent="0.25">
      <c r="D81" s="78">
        <f>A44</f>
        <v>162</v>
      </c>
      <c r="E81" s="12" t="s">
        <v>101</v>
      </c>
      <c r="F81" s="12">
        <f>B44</f>
        <v>10</v>
      </c>
      <c r="G81">
        <v>8.8200000000000001E-2</v>
      </c>
      <c r="H81">
        <v>5.2400000000000002E-2</v>
      </c>
      <c r="I81" s="56"/>
      <c r="J81" s="57">
        <f>G84-$J$14</f>
        <v>6.0033333333333334E-2</v>
      </c>
      <c r="K81" s="58">
        <f>H84-$K$14</f>
        <v>2.6666666666666665E-2</v>
      </c>
      <c r="L81" s="56"/>
      <c r="M81" s="62">
        <f t="shared" si="3"/>
        <v>5.3366666666666666E-2</v>
      </c>
      <c r="N81" s="56">
        <f t="shared" si="4"/>
        <v>3.5419990333333331</v>
      </c>
      <c r="O81" s="58">
        <f t="shared" si="5"/>
        <v>7.0839980666666662</v>
      </c>
      <c r="P81" s="56">
        <f>O81/F84</f>
        <v>0.70839980666666658</v>
      </c>
      <c r="Q81" s="57">
        <f>AVERAGE(P81:P83)</f>
        <v>0.53306974833333343</v>
      </c>
      <c r="R81" s="56">
        <f>STDEV(P81:P83)</f>
        <v>0.15187300960014252</v>
      </c>
      <c r="S81" s="58">
        <f>R81/Q81*100</f>
        <v>28.490269814593745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7.1099999999999997E-2</v>
      </c>
      <c r="H82">
        <v>3.8899999999999997E-2</v>
      </c>
      <c r="I82" s="56"/>
      <c r="J82" s="57">
        <f>G85-$J$14</f>
        <v>3.373333333333333E-2</v>
      </c>
      <c r="K82" s="58">
        <f>H85-$K$14</f>
        <v>1.6666666666666566E-3</v>
      </c>
      <c r="L82" s="56"/>
      <c r="M82" s="62">
        <f t="shared" si="3"/>
        <v>3.3316666666666668E-2</v>
      </c>
      <c r="N82" s="56">
        <f t="shared" si="4"/>
        <v>2.2112604833333331</v>
      </c>
      <c r="O82" s="58">
        <f t="shared" si="5"/>
        <v>4.4225209666666663</v>
      </c>
      <c r="P82" s="56">
        <f>O82/F85</f>
        <v>0.44225209666666665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7.7799999999999994E-2</v>
      </c>
      <c r="H83">
        <v>5.4800000000000001E-2</v>
      </c>
      <c r="I83" s="56"/>
      <c r="J83" s="57">
        <f>G86-$J$14</f>
        <v>3.4033333333333339E-2</v>
      </c>
      <c r="K83" s="58">
        <f>H86-$K$14</f>
        <v>9.6666666666665735E-4</v>
      </c>
      <c r="L83" s="56"/>
      <c r="M83" s="62">
        <f t="shared" si="3"/>
        <v>3.3791666666666678E-2</v>
      </c>
      <c r="N83" s="56">
        <f t="shared" si="4"/>
        <v>2.2427867083333339</v>
      </c>
      <c r="O83" s="58">
        <f t="shared" si="5"/>
        <v>4.4855734166666679</v>
      </c>
      <c r="P83" s="56">
        <f>O83/F86</f>
        <v>0.44855734166666678</v>
      </c>
      <c r="Q83" s="57"/>
      <c r="R83" s="56"/>
      <c r="S83" s="58"/>
      <c r="T83" s="56"/>
    </row>
    <row r="84" spans="4:20" ht="14.45" customHeight="1" x14ac:dyDescent="0.25">
      <c r="D84" s="78">
        <f>A45</f>
        <v>163</v>
      </c>
      <c r="E84" s="12" t="s">
        <v>104</v>
      </c>
      <c r="F84" s="12">
        <f>B45</f>
        <v>10</v>
      </c>
      <c r="G84">
        <v>9.7299999999999998E-2</v>
      </c>
      <c r="H84">
        <v>6.2700000000000006E-2</v>
      </c>
      <c r="I84" s="56"/>
      <c r="J84" s="57">
        <f>G87-$J$14</f>
        <v>6.1533333333333336E-2</v>
      </c>
      <c r="K84" s="58">
        <f>H87-$K$14</f>
        <v>3.8666666666666662E-2</v>
      </c>
      <c r="L84" s="56"/>
      <c r="M84" s="62">
        <f t="shared" si="3"/>
        <v>5.1866666666666672E-2</v>
      </c>
      <c r="N84" s="56">
        <f t="shared" si="4"/>
        <v>3.4424425333333333</v>
      </c>
      <c r="O84" s="58">
        <f t="shared" si="5"/>
        <v>6.8848850666666666</v>
      </c>
      <c r="P84" s="56">
        <f>O84/F87</f>
        <v>0.68848850666666661</v>
      </c>
      <c r="Q84" s="57">
        <f>AVERAGE(P84:P86)</f>
        <v>0.37720851666666672</v>
      </c>
      <c r="R84" s="56">
        <f>STDEV(P84:P86)</f>
        <v>0.2695796471817864</v>
      </c>
      <c r="S84" s="58">
        <f>R84/Q84*100</f>
        <v>71.467009696392864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7.0999999999999994E-2</v>
      </c>
      <c r="H85">
        <v>3.7699999999999997E-2</v>
      </c>
      <c r="I85" s="56"/>
      <c r="J85" s="57">
        <f>G88-$J$14</f>
        <v>1.663333333333334E-2</v>
      </c>
      <c r="K85" s="58">
        <f>H88-$K$14</f>
        <v>-6.3333333333333991E-4</v>
      </c>
      <c r="L85" s="56"/>
      <c r="M85" s="62">
        <f t="shared" si="3"/>
        <v>1.6791666666666677E-2</v>
      </c>
      <c r="N85" s="56">
        <f t="shared" si="4"/>
        <v>1.114479708333334</v>
      </c>
      <c r="O85" s="58">
        <f t="shared" si="5"/>
        <v>2.228959416666668</v>
      </c>
      <c r="P85" s="56">
        <f>O85/F88</f>
        <v>0.22289594166666679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7.1300000000000002E-2</v>
      </c>
      <c r="H86">
        <v>3.6999999999999998E-2</v>
      </c>
      <c r="I86" s="56"/>
      <c r="J86" s="57">
        <f>G89-$J$14</f>
        <v>1.6433333333333335E-2</v>
      </c>
      <c r="K86" s="58">
        <f>H89-$K$14</f>
        <v>-6.3333333333333991E-4</v>
      </c>
      <c r="L86" s="56"/>
      <c r="M86" s="62">
        <f t="shared" si="3"/>
        <v>1.6591666666666671E-2</v>
      </c>
      <c r="N86" s="56">
        <f t="shared" si="4"/>
        <v>1.1012055083333336</v>
      </c>
      <c r="O86" s="58">
        <f t="shared" si="5"/>
        <v>2.2024110166666673</v>
      </c>
      <c r="P86" s="56">
        <f>O86/F89</f>
        <v>0.22024110166666672</v>
      </c>
      <c r="Q86" s="57"/>
      <c r="R86" s="56"/>
      <c r="S86" s="58"/>
      <c r="T86" s="56"/>
    </row>
    <row r="87" spans="4:20" ht="14.45" customHeight="1" x14ac:dyDescent="0.25">
      <c r="D87" s="78">
        <f>A46</f>
        <v>164</v>
      </c>
      <c r="E87" s="12" t="s">
        <v>107</v>
      </c>
      <c r="F87" s="12">
        <f>B46</f>
        <v>10</v>
      </c>
      <c r="G87">
        <v>9.8799999999999999E-2</v>
      </c>
      <c r="H87">
        <v>7.4700000000000003E-2</v>
      </c>
      <c r="I87" s="56"/>
      <c r="J87" s="57">
        <f>G90-$J$14</f>
        <v>0.37413333333333332</v>
      </c>
      <c r="K87" s="58">
        <f>H90-$K$14</f>
        <v>0.33086666666666664</v>
      </c>
      <c r="L87" s="56"/>
      <c r="M87" s="62">
        <f t="shared" si="3"/>
        <v>0.29141666666666666</v>
      </c>
      <c r="N87" s="56">
        <f t="shared" si="4"/>
        <v>19.341615583333333</v>
      </c>
      <c r="O87" s="58">
        <f t="shared" si="5"/>
        <v>38.683231166666666</v>
      </c>
      <c r="P87" s="56">
        <f>O87/F90</f>
        <v>3.8683231166666667</v>
      </c>
      <c r="Q87" s="57">
        <f>AVERAGE(P87:P89)</f>
        <v>1.5764218683333338</v>
      </c>
      <c r="R87" s="56">
        <f>STDEV(P87:P89)</f>
        <v>1.9848627432766022</v>
      </c>
      <c r="S87" s="58">
        <f>R87/Q87*100</f>
        <v>125.90936367655765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5.3900000000000003E-2</v>
      </c>
      <c r="H88">
        <v>3.5400000000000001E-2</v>
      </c>
      <c r="I88" s="56"/>
      <c r="J88" s="57">
        <f>G91-$J$14</f>
        <v>3.2233333333333343E-2</v>
      </c>
      <c r="K88" s="58">
        <f>H91-$K$14</f>
        <v>1.7666666666666594E-3</v>
      </c>
      <c r="L88" s="56"/>
      <c r="M88" s="62">
        <f t="shared" si="3"/>
        <v>3.1791666666666676E-2</v>
      </c>
      <c r="N88" s="56">
        <f t="shared" si="4"/>
        <v>2.110044708333334</v>
      </c>
      <c r="O88" s="58">
        <f t="shared" si="5"/>
        <v>4.220089416666668</v>
      </c>
      <c r="P88" s="56">
        <f>O88/F91</f>
        <v>0.4220089416666668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5.3699999999999998E-2</v>
      </c>
      <c r="H89">
        <v>3.5400000000000001E-2</v>
      </c>
      <c r="I89" s="56"/>
      <c r="J89" s="57">
        <f>G92-$J$14</f>
        <v>3.3633333333333341E-2</v>
      </c>
      <c r="K89" s="58">
        <f>H92-$K$14</f>
        <v>2.2666666666666599E-3</v>
      </c>
      <c r="L89" s="56"/>
      <c r="M89" s="62">
        <f t="shared" si="3"/>
        <v>3.3066666666666675E-2</v>
      </c>
      <c r="N89" s="56">
        <f t="shared" si="4"/>
        <v>2.1946677333333335</v>
      </c>
      <c r="O89" s="58">
        <f t="shared" si="5"/>
        <v>4.3893354666666671</v>
      </c>
      <c r="P89" s="56">
        <f>O89/F92</f>
        <v>0.43893354666666673</v>
      </c>
      <c r="Q89" s="57"/>
      <c r="R89" s="56"/>
      <c r="S89" s="58"/>
      <c r="T89" s="56"/>
    </row>
    <row r="90" spans="4:20" ht="14.45" customHeight="1" x14ac:dyDescent="0.25">
      <c r="D90" s="78">
        <f>A47</f>
        <v>165</v>
      </c>
      <c r="E90" s="12" t="s">
        <v>110</v>
      </c>
      <c r="F90" s="12">
        <f>B47</f>
        <v>10</v>
      </c>
      <c r="G90">
        <v>0.41139999999999999</v>
      </c>
      <c r="H90">
        <v>0.3669</v>
      </c>
      <c r="I90" s="56"/>
      <c r="J90" s="57">
        <f>G96-$J$14</f>
        <v>2.4533333333333338E-2</v>
      </c>
      <c r="K90" s="58">
        <f>H96-$K$14</f>
        <v>3.8666666666666571E-3</v>
      </c>
      <c r="L90" s="56"/>
      <c r="M90" s="62">
        <f t="shared" si="3"/>
        <v>2.3566666666666673E-2</v>
      </c>
      <c r="N90" s="56">
        <f t="shared" si="4"/>
        <v>1.5641432333333336</v>
      </c>
      <c r="O90" s="58">
        <f t="shared" si="5"/>
        <v>3.1282864666666672</v>
      </c>
      <c r="P90" s="56">
        <f>O90/F96</f>
        <v>0.31282864666666671</v>
      </c>
      <c r="Q90" s="57">
        <f>AVERAGE(P90:P92)</f>
        <v>0.29634651500000003</v>
      </c>
      <c r="R90" s="56">
        <f>STDEV(P90:P92)</f>
        <v>1.4282621805022655E-2</v>
      </c>
      <c r="S90" s="58">
        <f>R90/Q90*100</f>
        <v>4.8195679996515741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6.9500000000000006E-2</v>
      </c>
      <c r="H91">
        <v>3.78E-2</v>
      </c>
      <c r="I91" s="56"/>
      <c r="J91" s="57">
        <f>G97-$J$14</f>
        <v>2.2233333333333334E-2</v>
      </c>
      <c r="K91" s="58">
        <f>H97-$K$14</f>
        <v>2.2666666666666599E-3</v>
      </c>
      <c r="L91" s="56"/>
      <c r="M91" s="62">
        <f t="shared" si="3"/>
        <v>2.1666666666666667E-2</v>
      </c>
      <c r="N91" s="56">
        <f t="shared" si="4"/>
        <v>1.4380383333333333</v>
      </c>
      <c r="O91" s="58">
        <f t="shared" si="5"/>
        <v>2.8760766666666666</v>
      </c>
      <c r="P91" s="56">
        <f>O91/F97</f>
        <v>0.28760766666666665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7.0900000000000005E-2</v>
      </c>
      <c r="H92">
        <v>3.8300000000000001E-2</v>
      </c>
      <c r="I92" s="56"/>
      <c r="J92" s="57">
        <f>G98-$J$14</f>
        <v>2.2333333333333337E-2</v>
      </c>
      <c r="K92" s="58">
        <f>H98-$K$14</f>
        <v>2.3666666666666558E-3</v>
      </c>
      <c r="L92" s="56"/>
      <c r="M92" s="62">
        <f t="shared" ref="M92:M98" si="47">J92-(0.25*K92)</f>
        <v>2.1741666666666673E-2</v>
      </c>
      <c r="N92" s="56">
        <f t="shared" ref="N92:N98" si="48">M92*66.371</f>
        <v>1.4430161583333336</v>
      </c>
      <c r="O92" s="58">
        <f t="shared" ref="O92:O98" si="49">N92*2</f>
        <v>2.8860323166666673</v>
      </c>
      <c r="P92" s="56">
        <f>O92/F98</f>
        <v>0.28860323166666674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3.6200000000000003E-2</v>
      </c>
      <c r="H93">
        <v>3.5200000000000002E-2</v>
      </c>
      <c r="I93" s="56"/>
      <c r="J93" s="57">
        <f>G99-$J$14</f>
        <v>5.4433333333333341E-2</v>
      </c>
      <c r="K93" s="58">
        <f>H99-$K$14</f>
        <v>2.1866666666666659E-2</v>
      </c>
      <c r="L93" s="56"/>
      <c r="M93" s="62">
        <f t="shared" si="47"/>
        <v>4.8966666666666672E-2</v>
      </c>
      <c r="N93" s="56">
        <f t="shared" si="48"/>
        <v>3.2499666333333335</v>
      </c>
      <c r="O93" s="58">
        <f t="shared" si="49"/>
        <v>6.4999332666666669</v>
      </c>
      <c r="P93" s="56">
        <f>O93/F99</f>
        <v>0.64999332666666665</v>
      </c>
      <c r="Q93" s="57">
        <f>AVERAGE(P93:P95)</f>
        <v>0.48594633833333339</v>
      </c>
      <c r="R93" s="56">
        <f>STDEV(P93:P95)</f>
        <v>0.14206973137633783</v>
      </c>
      <c r="S93" s="58">
        <f>R93/Q93*100</f>
        <v>29.235683072250158</v>
      </c>
      <c r="T93" s="56"/>
    </row>
    <row r="94" spans="4:20" ht="14.45" customHeight="1" x14ac:dyDescent="0.25">
      <c r="D94" s="71"/>
      <c r="E94" s="17" t="s">
        <v>129</v>
      </c>
      <c r="F94" s="17"/>
      <c r="G94">
        <v>3.73E-2</v>
      </c>
      <c r="H94">
        <v>3.6200000000000003E-2</v>
      </c>
      <c r="I94" s="56"/>
      <c r="J94" s="57">
        <f>G100-$J$14</f>
        <v>3.0733333333333342E-2</v>
      </c>
      <c r="K94" s="58">
        <f>H100-$K$14</f>
        <v>1.0666666666666602E-3</v>
      </c>
      <c r="L94" s="56"/>
      <c r="M94" s="62">
        <f t="shared" si="47"/>
        <v>3.0466666666666677E-2</v>
      </c>
      <c r="N94" s="56">
        <f t="shared" si="48"/>
        <v>2.0221031333333337</v>
      </c>
      <c r="O94" s="58">
        <f t="shared" si="49"/>
        <v>4.0442062666666674</v>
      </c>
      <c r="P94" s="56">
        <f>O94/F100</f>
        <v>0.40442062666666673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3.6799999999999999E-2</v>
      </c>
      <c r="H95">
        <v>3.5999999999999997E-2</v>
      </c>
      <c r="I95" s="56"/>
      <c r="J95" s="57">
        <f>G101-$J$14</f>
        <v>3.0533333333333336E-2</v>
      </c>
      <c r="K95" s="58">
        <f>H101-$K$14</f>
        <v>5.6666666666665977E-4</v>
      </c>
      <c r="L95" s="56"/>
      <c r="M95" s="62">
        <f t="shared" si="47"/>
        <v>3.0391666666666671E-2</v>
      </c>
      <c r="N95" s="56">
        <f t="shared" si="48"/>
        <v>2.0171253083333336</v>
      </c>
      <c r="O95" s="58">
        <f t="shared" si="49"/>
        <v>4.0342506166666672</v>
      </c>
      <c r="P95" s="56">
        <f>O95/F101</f>
        <v>0.4034250616666667</v>
      </c>
      <c r="Q95" s="57"/>
      <c r="R95" s="56"/>
      <c r="S95" s="58"/>
      <c r="T95" s="56"/>
    </row>
    <row r="96" spans="4:20" ht="14.45" customHeight="1" x14ac:dyDescent="0.25">
      <c r="D96" s="78">
        <f>A48</f>
        <v>166</v>
      </c>
      <c r="E96" s="12" t="s">
        <v>113</v>
      </c>
      <c r="F96" s="12">
        <f>B48</f>
        <v>10</v>
      </c>
      <c r="G96">
        <v>6.1800000000000001E-2</v>
      </c>
      <c r="H96">
        <v>3.9899999999999998E-2</v>
      </c>
      <c r="I96" s="56"/>
      <c r="J96" s="57">
        <f>G102-$J$14</f>
        <v>2.8833333333333343E-2</v>
      </c>
      <c r="K96" s="58">
        <f>H102-$K$14</f>
        <v>4.866666666666658E-3</v>
      </c>
      <c r="L96" s="56"/>
      <c r="M96" s="62">
        <f t="shared" si="47"/>
        <v>2.7616666666666678E-2</v>
      </c>
      <c r="N96" s="56">
        <f t="shared" si="48"/>
        <v>1.832945783333334</v>
      </c>
      <c r="O96" s="58">
        <f t="shared" si="49"/>
        <v>3.665891566666668</v>
      </c>
      <c r="P96" s="56">
        <f>O96/F102</f>
        <v>0.3665891566666668</v>
      </c>
      <c r="Q96" s="57">
        <f>AVERAGE(P96:P98)</f>
        <v>0.32200996833333334</v>
      </c>
      <c r="R96" s="56">
        <f>STDEV(P96:P98)</f>
        <v>3.8624177520973357E-2</v>
      </c>
      <c r="S96" s="58">
        <f>R96/Q96*100</f>
        <v>11.994714859569495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5.9499999999999997E-2</v>
      </c>
      <c r="H97">
        <v>3.8300000000000001E-2</v>
      </c>
      <c r="I97" s="56"/>
      <c r="J97" s="57">
        <f>G103-$J$14</f>
        <v>2.3733333333333335E-2</v>
      </c>
      <c r="K97" s="58">
        <f>H103-$K$14</f>
        <v>4.2666666666666617E-3</v>
      </c>
      <c r="L97" s="56"/>
      <c r="M97" s="62">
        <f t="shared" si="47"/>
        <v>2.2666666666666668E-2</v>
      </c>
      <c r="N97" s="56">
        <f t="shared" si="48"/>
        <v>1.5044093333333333</v>
      </c>
      <c r="O97" s="58">
        <f t="shared" si="49"/>
        <v>3.0088186666666665</v>
      </c>
      <c r="P97" s="56">
        <f>O97/F103</f>
        <v>0.30088186666666666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5.96E-2</v>
      </c>
      <c r="H98">
        <v>3.8399999999999997E-2</v>
      </c>
      <c r="I98" s="56"/>
      <c r="J98" s="65">
        <f>G104-$J$14</f>
        <v>2.4433333333333335E-2</v>
      </c>
      <c r="K98" s="66">
        <f>H104-$K$14</f>
        <v>7.7666666666666578E-3</v>
      </c>
      <c r="L98" s="56"/>
      <c r="M98" s="69">
        <f t="shared" si="47"/>
        <v>2.249166666666667E-2</v>
      </c>
      <c r="N98" s="56">
        <f t="shared" si="48"/>
        <v>1.4927944083333335</v>
      </c>
      <c r="O98" s="66">
        <f t="shared" si="49"/>
        <v>2.9855888166666671</v>
      </c>
      <c r="P98" s="70">
        <f>O98/F104</f>
        <v>0.29855888166666672</v>
      </c>
      <c r="Q98" s="65"/>
      <c r="R98" s="70"/>
      <c r="S98" s="66"/>
      <c r="T98" s="56"/>
    </row>
    <row r="99" spans="4:20" x14ac:dyDescent="0.25">
      <c r="D99" s="78">
        <f>A49</f>
        <v>167</v>
      </c>
      <c r="E99" s="12" t="s">
        <v>116</v>
      </c>
      <c r="F99" s="12">
        <f>B49</f>
        <v>10</v>
      </c>
      <c r="G99">
        <v>9.1700000000000004E-2</v>
      </c>
      <c r="H99">
        <v>5.79E-2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6.8000000000000005E-2</v>
      </c>
      <c r="H100">
        <v>3.7100000000000001E-2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6.7799999999999999E-2</v>
      </c>
      <c r="H101">
        <v>3.6600000000000001E-2</v>
      </c>
    </row>
    <row r="102" spans="4:20" x14ac:dyDescent="0.25">
      <c r="D102" s="78">
        <f>A50</f>
        <v>168</v>
      </c>
      <c r="E102" s="12" t="s">
        <v>119</v>
      </c>
      <c r="F102" s="12">
        <f>B50</f>
        <v>10</v>
      </c>
      <c r="G102">
        <v>6.6100000000000006E-2</v>
      </c>
      <c r="H102">
        <v>4.0899999999999999E-2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6.0999999999999999E-2</v>
      </c>
      <c r="H103">
        <v>4.0300000000000002E-2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6.1699999999999998E-2</v>
      </c>
      <c r="H104">
        <v>4.3799999999999999E-2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CDB5-C9C6-467D-A97B-0F9A1B104569}">
  <dimension ref="A1:X104"/>
  <sheetViews>
    <sheetView topLeftCell="A22" zoomScale="80" zoomScaleNormal="8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3.4700000000000002E-2</v>
      </c>
      <c r="G6">
        <v>3.4099999999999998E-2</v>
      </c>
      <c r="I6" s="13">
        <v>12.5</v>
      </c>
      <c r="J6" s="14">
        <f>AVERAGE(F9:F11,G66)</f>
        <v>0.24349999999999999</v>
      </c>
      <c r="K6" s="15">
        <f>AVERAGE(G9:G11,H66)</f>
        <v>3.5675000000000005E-2</v>
      </c>
      <c r="M6" s="14">
        <f>J6-$J$14</f>
        <v>0.20698333333333332</v>
      </c>
      <c r="N6" s="15">
        <f>K6-$K$14</f>
        <v>3.7500000000000033E-4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3.73E-2</v>
      </c>
      <c r="G7">
        <v>3.5099999999999999E-2</v>
      </c>
      <c r="I7" s="18">
        <v>25</v>
      </c>
      <c r="J7" s="19">
        <f>AVERAGE(F12:F14)</f>
        <v>0.55246666666666666</v>
      </c>
      <c r="K7" s="20">
        <f>AVERAGE(G12:G14)</f>
        <v>3.6066666666666664E-2</v>
      </c>
      <c r="M7" s="19">
        <f>J7-$J$14</f>
        <v>0.51595000000000002</v>
      </c>
      <c r="N7" s="20">
        <f>K7-$K$14</f>
        <v>7.6666666666665856E-4</v>
      </c>
      <c r="P7" s="17">
        <f>M6</f>
        <v>0.20698333333333332</v>
      </c>
      <c r="Q7" s="12">
        <v>12.5</v>
      </c>
    </row>
    <row r="8" spans="5:17" x14ac:dyDescent="0.25">
      <c r="E8" s="21" t="s">
        <v>10</v>
      </c>
      <c r="F8">
        <v>3.6999999999999998E-2</v>
      </c>
      <c r="G8">
        <v>3.56E-2</v>
      </c>
      <c r="I8" s="18">
        <v>50</v>
      </c>
      <c r="J8" s="19">
        <f>AVERAGE(F15:F17,G67)</f>
        <v>1.0643500000000001</v>
      </c>
      <c r="K8" s="20">
        <f>AVERAGE(G15:G17,H67)</f>
        <v>3.7725000000000002E-2</v>
      </c>
      <c r="M8" s="19">
        <f>J8-$J$14</f>
        <v>1.0278333333333334</v>
      </c>
      <c r="N8" s="20">
        <f>K8-$K$14</f>
        <v>2.4249999999999966E-3</v>
      </c>
      <c r="P8" s="17">
        <f>M7</f>
        <v>0.51595000000000002</v>
      </c>
      <c r="Q8" s="17">
        <v>25</v>
      </c>
    </row>
    <row r="9" spans="5:17" x14ac:dyDescent="0.25">
      <c r="E9" s="11" t="s">
        <v>11</v>
      </c>
      <c r="F9">
        <v>0.253</v>
      </c>
      <c r="G9">
        <v>3.5000000000000003E-2</v>
      </c>
      <c r="I9" s="18">
        <v>100</v>
      </c>
      <c r="J9" s="19">
        <f>AVERAGE(F18:F20,G68)</f>
        <v>2.0324499999999999</v>
      </c>
      <c r="K9" s="20">
        <f>AVERAGE(G18:G20,H68)</f>
        <v>3.5650000000000001E-2</v>
      </c>
      <c r="M9" s="19">
        <f>J9-$J$14</f>
        <v>1.9959333333333331</v>
      </c>
      <c r="N9" s="20">
        <f>K9-$K$14</f>
        <v>3.4999999999999615E-4</v>
      </c>
      <c r="P9" s="17">
        <f>M8</f>
        <v>1.0278333333333334</v>
      </c>
      <c r="Q9" s="17">
        <v>50</v>
      </c>
    </row>
    <row r="10" spans="5:17" x14ac:dyDescent="0.25">
      <c r="E10" s="16" t="s">
        <v>12</v>
      </c>
      <c r="F10">
        <v>0.2198</v>
      </c>
      <c r="G10">
        <v>3.5000000000000003E-2</v>
      </c>
      <c r="I10" s="23">
        <v>250</v>
      </c>
      <c r="J10" s="24">
        <f>AVERAGE(F21:F23)</f>
        <v>3.6629999999999998</v>
      </c>
      <c r="K10" s="25">
        <f>AVERAGE(G21:G23)</f>
        <v>3.5766666666666669E-2</v>
      </c>
      <c r="M10" s="19">
        <f>J10-$J$14</f>
        <v>3.6264833333333333</v>
      </c>
      <c r="N10" s="20">
        <f>K10-$K$14</f>
        <v>4.6666666666666384E-4</v>
      </c>
      <c r="P10" s="17">
        <f>M9</f>
        <v>1.9959333333333331</v>
      </c>
      <c r="Q10" s="17">
        <v>100</v>
      </c>
    </row>
    <row r="11" spans="5:17" x14ac:dyDescent="0.25">
      <c r="E11" s="21" t="s">
        <v>13</v>
      </c>
      <c r="F11">
        <v>0.25180000000000002</v>
      </c>
      <c r="G11">
        <v>3.6200000000000003E-2</v>
      </c>
      <c r="I11" s="26" t="s">
        <v>14</v>
      </c>
      <c r="J11" s="13">
        <f t="shared" ref="J11:K13" si="0">F6</f>
        <v>3.4700000000000002E-2</v>
      </c>
      <c r="K11" s="27">
        <f t="shared" si="0"/>
        <v>3.4099999999999998E-2</v>
      </c>
      <c r="M11" s="23"/>
      <c r="N11" s="28"/>
      <c r="P11" s="22">
        <f>M10</f>
        <v>3.6264833333333333</v>
      </c>
      <c r="Q11" s="22">
        <v>250</v>
      </c>
    </row>
    <row r="12" spans="5:17" x14ac:dyDescent="0.25">
      <c r="E12" s="11" t="s">
        <v>15</v>
      </c>
      <c r="F12">
        <v>0.51490000000000002</v>
      </c>
      <c r="G12">
        <v>3.56E-2</v>
      </c>
      <c r="I12" s="29" t="s">
        <v>14</v>
      </c>
      <c r="J12" s="18">
        <f t="shared" si="0"/>
        <v>3.73E-2</v>
      </c>
      <c r="K12" s="30">
        <f t="shared" si="0"/>
        <v>3.5099999999999999E-2</v>
      </c>
    </row>
    <row r="13" spans="5:17" x14ac:dyDescent="0.25">
      <c r="E13" s="16" t="s">
        <v>16</v>
      </c>
      <c r="F13">
        <v>0.56159999999999999</v>
      </c>
      <c r="G13">
        <v>3.6499999999999998E-2</v>
      </c>
      <c r="I13" s="31" t="s">
        <v>14</v>
      </c>
      <c r="J13" s="23">
        <f t="shared" si="0"/>
        <v>3.6999999999999998E-2</v>
      </c>
      <c r="K13" s="28">
        <f t="shared" si="0"/>
        <v>3.56E-2</v>
      </c>
    </row>
    <row r="14" spans="5:17" x14ac:dyDescent="0.25">
      <c r="E14" s="21" t="s">
        <v>17</v>
      </c>
      <c r="F14">
        <v>0.58089999999999997</v>
      </c>
      <c r="G14">
        <v>3.61E-2</v>
      </c>
      <c r="I14" s="32" t="s">
        <v>18</v>
      </c>
      <c r="J14" s="33">
        <f>AVERAGE(J11:J13,G93:G95)</f>
        <v>3.6516666666666669E-2</v>
      </c>
      <c r="K14" s="34">
        <f>AVERAGE(K11:K13,H93:H95)</f>
        <v>3.5300000000000005E-2</v>
      </c>
    </row>
    <row r="15" spans="5:17" x14ac:dyDescent="0.25">
      <c r="E15" s="11" t="s">
        <v>19</v>
      </c>
      <c r="F15">
        <v>1</v>
      </c>
      <c r="G15">
        <v>3.8399999999999997E-2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1.1222000000000001</v>
      </c>
      <c r="G16">
        <v>3.6400000000000002E-2</v>
      </c>
      <c r="M16" s="18" t="s">
        <v>22</v>
      </c>
      <c r="O16" s="30"/>
    </row>
    <row r="17" spans="1:24" x14ac:dyDescent="0.25">
      <c r="E17" s="21" t="s">
        <v>23</v>
      </c>
      <c r="F17">
        <v>1.1443000000000001</v>
      </c>
      <c r="G17">
        <v>3.6299999999999999E-2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2.0423</v>
      </c>
      <c r="G18">
        <v>3.5200000000000002E-2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2.1440999999999999</v>
      </c>
      <c r="G19">
        <v>3.5099999999999999E-2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2.1372</v>
      </c>
      <c r="G20">
        <v>3.5499999999999997E-2</v>
      </c>
      <c r="U20" s="37"/>
      <c r="V20" s="37"/>
    </row>
    <row r="21" spans="1:24" x14ac:dyDescent="0.25">
      <c r="E21" s="11" t="s">
        <v>29</v>
      </c>
      <c r="F21" s="39" t="s">
        <v>122</v>
      </c>
      <c r="G21">
        <v>3.5999999999999997E-2</v>
      </c>
      <c r="U21" s="37"/>
      <c r="V21" s="37"/>
    </row>
    <row r="22" spans="1:24" x14ac:dyDescent="0.25">
      <c r="E22" s="16" t="s">
        <v>30</v>
      </c>
      <c r="F22" s="39" t="s">
        <v>122</v>
      </c>
      <c r="G22">
        <v>3.5099999999999999E-2</v>
      </c>
      <c r="U22" s="37"/>
      <c r="V22" s="37"/>
    </row>
    <row r="23" spans="1:24" x14ac:dyDescent="0.25">
      <c r="E23" s="21" t="s">
        <v>31</v>
      </c>
      <c r="F23">
        <v>3.6629999999999998</v>
      </c>
      <c r="G23">
        <v>3.6200000000000003E-2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169</v>
      </c>
      <c r="B27" s="30">
        <v>10</v>
      </c>
      <c r="D27" s="78">
        <f>A27</f>
        <v>169</v>
      </c>
      <c r="E27" s="12" t="s">
        <v>50</v>
      </c>
      <c r="F27" s="12">
        <f>B27</f>
        <v>10</v>
      </c>
      <c r="G27">
        <v>7.7700000000000005E-2</v>
      </c>
      <c r="H27">
        <v>4.0800000000000003E-2</v>
      </c>
      <c r="I27" s="56"/>
      <c r="J27" s="57">
        <f t="shared" ref="J27:J65" si="1">G27-$J$14</f>
        <v>4.1183333333333336E-2</v>
      </c>
      <c r="K27" s="58">
        <f t="shared" ref="K27:K65" si="2">H27-$K$14</f>
        <v>5.4999999999999979E-3</v>
      </c>
      <c r="L27" s="56"/>
      <c r="M27" s="59">
        <f>J27-(0.25*K27)</f>
        <v>3.9808333333333334E-2</v>
      </c>
      <c r="N27" s="56">
        <f>M27*69.212</f>
        <v>2.7552143666666669</v>
      </c>
      <c r="O27" s="58">
        <f>N27*2</f>
        <v>5.5104287333333337</v>
      </c>
      <c r="P27" s="56">
        <f>O27/F27</f>
        <v>0.55104287333333335</v>
      </c>
      <c r="Q27" s="57">
        <f>AVERAGE(P27:P29)</f>
        <v>0.58161150666666661</v>
      </c>
      <c r="R27" s="56">
        <f>STDEV(P27:P29)</f>
        <v>3.028436948168698E-2</v>
      </c>
      <c r="S27" s="58">
        <f>R27/Q27*100</f>
        <v>5.2069756417394215</v>
      </c>
      <c r="T27" s="60">
        <f>D27</f>
        <v>169</v>
      </c>
      <c r="U27" s="61">
        <f>Q27</f>
        <v>0.58161150666666661</v>
      </c>
      <c r="V27" s="37"/>
    </row>
    <row r="28" spans="1:24" ht="14.45" customHeight="1" x14ac:dyDescent="0.25">
      <c r="A28" s="18">
        <v>170</v>
      </c>
      <c r="B28" s="30">
        <v>10</v>
      </c>
      <c r="D28" s="79"/>
      <c r="E28" s="17" t="s">
        <v>51</v>
      </c>
      <c r="F28" s="17">
        <f>F27</f>
        <v>10</v>
      </c>
      <c r="G28">
        <v>7.9899999999999999E-2</v>
      </c>
      <c r="H28">
        <v>4.0599999999999997E-2</v>
      </c>
      <c r="I28" s="56"/>
      <c r="J28" s="57">
        <f t="shared" si="1"/>
        <v>4.3383333333333329E-2</v>
      </c>
      <c r="K28" s="58">
        <f t="shared" si="2"/>
        <v>5.2999999999999922E-3</v>
      </c>
      <c r="L28" s="56"/>
      <c r="M28" s="62">
        <f t="shared" ref="M28:M91" si="3">J28-(0.25*K28)</f>
        <v>4.205833333333333E-2</v>
      </c>
      <c r="N28" s="56">
        <f t="shared" ref="N28:N91" si="4">M28*69.212</f>
        <v>2.9109413666666666</v>
      </c>
      <c r="O28" s="58">
        <f t="shared" ref="O28:O91" si="5">N28*2</f>
        <v>5.8218827333333332</v>
      </c>
      <c r="P28" s="56">
        <f t="shared" ref="P28:P65" si="6">O28/F28</f>
        <v>0.58218827333333334</v>
      </c>
      <c r="Q28" s="57"/>
      <c r="R28" s="56"/>
      <c r="S28" s="58"/>
      <c r="T28" s="63">
        <f>D30</f>
        <v>170</v>
      </c>
      <c r="U28" s="64">
        <f>Q30</f>
        <v>0.72499570000000002</v>
      </c>
    </row>
    <row r="29" spans="1:24" ht="14.45" customHeight="1" x14ac:dyDescent="0.25">
      <c r="A29" s="18">
        <v>171</v>
      </c>
      <c r="B29" s="30">
        <v>10</v>
      </c>
      <c r="D29" s="80"/>
      <c r="E29" s="22" t="s">
        <v>52</v>
      </c>
      <c r="F29" s="22">
        <f>F27</f>
        <v>10</v>
      </c>
      <c r="G29">
        <v>8.2299999999999998E-2</v>
      </c>
      <c r="H29">
        <v>4.1700000000000001E-2</v>
      </c>
      <c r="I29" s="56"/>
      <c r="J29" s="57">
        <f t="shared" si="1"/>
        <v>4.5783333333333329E-2</v>
      </c>
      <c r="K29" s="58">
        <f t="shared" si="2"/>
        <v>6.399999999999996E-3</v>
      </c>
      <c r="L29" s="56"/>
      <c r="M29" s="62">
        <f t="shared" si="3"/>
        <v>4.4183333333333331E-2</v>
      </c>
      <c r="N29" s="56">
        <f t="shared" si="4"/>
        <v>3.0580168666666667</v>
      </c>
      <c r="O29" s="58">
        <f t="shared" si="5"/>
        <v>6.1160337333333334</v>
      </c>
      <c r="P29" s="56">
        <f t="shared" si="6"/>
        <v>0.61160337333333337</v>
      </c>
      <c r="Q29" s="57"/>
      <c r="R29" s="56"/>
      <c r="S29" s="58"/>
      <c r="T29" s="63">
        <f>D33</f>
        <v>171</v>
      </c>
      <c r="U29" s="64">
        <f>Q33</f>
        <v>0.14349954666666662</v>
      </c>
    </row>
    <row r="30" spans="1:24" ht="14.45" customHeight="1" x14ac:dyDescent="0.25">
      <c r="A30" s="18">
        <v>172</v>
      </c>
      <c r="B30" s="30">
        <v>10</v>
      </c>
      <c r="D30" s="78">
        <f>A28</f>
        <v>170</v>
      </c>
      <c r="E30" s="12" t="s">
        <v>53</v>
      </c>
      <c r="F30" s="12">
        <f>B28</f>
        <v>10</v>
      </c>
      <c r="G30">
        <v>8.9099999999999999E-2</v>
      </c>
      <c r="H30">
        <v>4.1700000000000001E-2</v>
      </c>
      <c r="I30" s="56"/>
      <c r="J30" s="57">
        <f t="shared" si="1"/>
        <v>5.2583333333333329E-2</v>
      </c>
      <c r="K30" s="58">
        <f t="shared" si="2"/>
        <v>6.399999999999996E-3</v>
      </c>
      <c r="L30" s="56"/>
      <c r="M30" s="62">
        <f t="shared" si="3"/>
        <v>5.0983333333333332E-2</v>
      </c>
      <c r="N30" s="56">
        <f t="shared" si="4"/>
        <v>3.5286584666666667</v>
      </c>
      <c r="O30" s="58">
        <f t="shared" si="5"/>
        <v>7.0573169333333334</v>
      </c>
      <c r="P30" s="56">
        <f t="shared" si="6"/>
        <v>0.7057316933333333</v>
      </c>
      <c r="Q30" s="57">
        <f>AVERAGE(P30:P32)</f>
        <v>0.72499570000000002</v>
      </c>
      <c r="R30" s="56">
        <f>STDEV(P30:P32)</f>
        <v>2.0718370682969611E-2</v>
      </c>
      <c r="S30" s="58">
        <f>R30/Q30*100</f>
        <v>2.8577232503543968</v>
      </c>
      <c r="T30" s="63">
        <f>D36</f>
        <v>172</v>
      </c>
      <c r="U30" s="64">
        <f>Q36</f>
        <v>0.16922334000000003</v>
      </c>
    </row>
    <row r="31" spans="1:24" ht="14.45" customHeight="1" x14ac:dyDescent="0.25">
      <c r="A31" s="18">
        <v>173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8.9899999999999994E-2</v>
      </c>
      <c r="H31">
        <v>4.0099999999999997E-2</v>
      </c>
      <c r="I31" s="56"/>
      <c r="J31" s="57">
        <f t="shared" si="1"/>
        <v>5.3383333333333324E-2</v>
      </c>
      <c r="K31" s="58">
        <f t="shared" si="2"/>
        <v>4.7999999999999918E-3</v>
      </c>
      <c r="L31" s="56"/>
      <c r="M31" s="62">
        <f t="shared" si="3"/>
        <v>5.2183333333333325E-2</v>
      </c>
      <c r="N31" s="56">
        <f t="shared" si="4"/>
        <v>3.6117128666666662</v>
      </c>
      <c r="O31" s="58">
        <f t="shared" si="5"/>
        <v>7.2234257333333325</v>
      </c>
      <c r="P31" s="56">
        <f t="shared" si="6"/>
        <v>0.72234257333333329</v>
      </c>
      <c r="Q31" s="57"/>
      <c r="R31" s="56"/>
      <c r="S31" s="58"/>
      <c r="T31" s="63">
        <f>D39</f>
        <v>173</v>
      </c>
      <c r="U31" s="64">
        <f>Q39</f>
        <v>0.54400632000000004</v>
      </c>
    </row>
    <row r="32" spans="1:24" ht="14.45" customHeight="1" x14ac:dyDescent="0.25">
      <c r="A32" s="18">
        <v>174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9.1800000000000007E-2</v>
      </c>
      <c r="H32">
        <v>4.0599999999999997E-2</v>
      </c>
      <c r="I32" s="56"/>
      <c r="J32" s="57">
        <f t="shared" si="1"/>
        <v>5.5283333333333337E-2</v>
      </c>
      <c r="K32" s="58">
        <f t="shared" si="2"/>
        <v>5.2999999999999922E-3</v>
      </c>
      <c r="L32" s="56"/>
      <c r="M32" s="62">
        <f t="shared" si="3"/>
        <v>5.3958333333333337E-2</v>
      </c>
      <c r="N32" s="56">
        <f t="shared" si="4"/>
        <v>3.7345641666666669</v>
      </c>
      <c r="O32" s="58">
        <f t="shared" si="5"/>
        <v>7.4691283333333338</v>
      </c>
      <c r="P32" s="56">
        <f t="shared" si="6"/>
        <v>0.74691283333333336</v>
      </c>
      <c r="Q32" s="57"/>
      <c r="R32" s="56"/>
      <c r="S32" s="58"/>
      <c r="T32" s="63">
        <f>D42</f>
        <v>174</v>
      </c>
      <c r="U32" s="64">
        <f>Q42</f>
        <v>0.43661236666666658</v>
      </c>
    </row>
    <row r="33" spans="1:21" ht="14.45" customHeight="1" x14ac:dyDescent="0.25">
      <c r="A33" s="18">
        <v>175</v>
      </c>
      <c r="B33" s="30">
        <v>10</v>
      </c>
      <c r="D33" s="78">
        <f>A29</f>
        <v>171</v>
      </c>
      <c r="E33" s="12" t="s">
        <v>56</v>
      </c>
      <c r="F33" s="12">
        <f>B29</f>
        <v>10</v>
      </c>
      <c r="G33">
        <v>4.6300000000000001E-2</v>
      </c>
      <c r="H33">
        <v>3.7499999999999999E-2</v>
      </c>
      <c r="I33" s="56"/>
      <c r="J33" s="57">
        <f t="shared" si="1"/>
        <v>9.7833333333333314E-3</v>
      </c>
      <c r="K33" s="58">
        <f t="shared" si="2"/>
        <v>2.1999999999999936E-3</v>
      </c>
      <c r="L33" s="56"/>
      <c r="M33" s="62">
        <f t="shared" si="3"/>
        <v>9.233333333333333E-3</v>
      </c>
      <c r="N33" s="56">
        <f t="shared" si="4"/>
        <v>0.63905746666666663</v>
      </c>
      <c r="O33" s="58">
        <f t="shared" si="5"/>
        <v>1.2781149333333333</v>
      </c>
      <c r="P33" s="56">
        <f t="shared" si="6"/>
        <v>0.12781149333333333</v>
      </c>
      <c r="Q33" s="57">
        <f>AVERAGE(P33:P35)</f>
        <v>0.14349954666666662</v>
      </c>
      <c r="R33" s="56">
        <f>STDEV(P33:P35)</f>
        <v>1.3695992155814509E-2</v>
      </c>
      <c r="S33" s="58">
        <f>R33/Q33*100</f>
        <v>9.5442755562348687</v>
      </c>
      <c r="T33" s="63">
        <f>D45</f>
        <v>175</v>
      </c>
      <c r="U33" s="64">
        <f>Q45</f>
        <v>0.94139855333333344</v>
      </c>
    </row>
    <row r="34" spans="1:21" ht="14.45" customHeight="1" x14ac:dyDescent="0.25">
      <c r="A34" s="18">
        <v>176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4.8099999999999997E-2</v>
      </c>
      <c r="H34">
        <v>3.8399999999999997E-2</v>
      </c>
      <c r="I34" s="56"/>
      <c r="J34" s="57">
        <f t="shared" si="1"/>
        <v>1.1583333333333327E-2</v>
      </c>
      <c r="K34" s="58">
        <f t="shared" si="2"/>
        <v>3.0999999999999917E-3</v>
      </c>
      <c r="L34" s="56"/>
      <c r="M34" s="62">
        <f t="shared" si="3"/>
        <v>1.080833333333333E-2</v>
      </c>
      <c r="N34" s="56">
        <f t="shared" si="4"/>
        <v>0.74806636666666648</v>
      </c>
      <c r="O34" s="58">
        <f t="shared" si="5"/>
        <v>1.496132733333333</v>
      </c>
      <c r="P34" s="56">
        <f t="shared" si="6"/>
        <v>0.1496132733333333</v>
      </c>
      <c r="Q34" s="57"/>
      <c r="R34" s="56"/>
      <c r="S34" s="58"/>
      <c r="T34" s="63">
        <f>D48</f>
        <v>176</v>
      </c>
      <c r="U34" s="64">
        <f>Q48</f>
        <v>0.92294202000000014</v>
      </c>
    </row>
    <row r="35" spans="1:21" ht="14.45" customHeight="1" x14ac:dyDescent="0.25">
      <c r="A35" s="18">
        <v>177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4.8599999999999997E-2</v>
      </c>
      <c r="H35">
        <v>3.9399999999999998E-2</v>
      </c>
      <c r="I35" s="56"/>
      <c r="J35" s="57">
        <f t="shared" si="1"/>
        <v>1.2083333333333328E-2</v>
      </c>
      <c r="K35" s="58">
        <f t="shared" si="2"/>
        <v>4.0999999999999925E-3</v>
      </c>
      <c r="L35" s="56"/>
      <c r="M35" s="62">
        <f t="shared" si="3"/>
        <v>1.105833333333333E-2</v>
      </c>
      <c r="N35" s="56">
        <f t="shared" si="4"/>
        <v>0.76536936666666644</v>
      </c>
      <c r="O35" s="58">
        <f t="shared" si="5"/>
        <v>1.5307387333333329</v>
      </c>
      <c r="P35" s="56">
        <f t="shared" si="6"/>
        <v>0.15307387333333328</v>
      </c>
      <c r="Q35" s="57"/>
      <c r="R35" s="56"/>
      <c r="S35" s="58"/>
      <c r="T35" s="63">
        <f>D51</f>
        <v>177</v>
      </c>
      <c r="U35" s="64">
        <f>Q51</f>
        <v>0.22090163333333335</v>
      </c>
    </row>
    <row r="36" spans="1:21" ht="14.45" customHeight="1" x14ac:dyDescent="0.25">
      <c r="A36" s="18">
        <v>178</v>
      </c>
      <c r="B36" s="30">
        <v>10</v>
      </c>
      <c r="D36" s="78">
        <f>A30</f>
        <v>172</v>
      </c>
      <c r="E36" s="12" t="s">
        <v>59</v>
      </c>
      <c r="F36" s="12">
        <f>B30</f>
        <v>10</v>
      </c>
      <c r="G36">
        <v>4.8899999999999999E-2</v>
      </c>
      <c r="H36">
        <v>3.8699999999999998E-2</v>
      </c>
      <c r="I36" s="56"/>
      <c r="J36" s="57">
        <f t="shared" si="1"/>
        <v>1.238333333333333E-2</v>
      </c>
      <c r="K36" s="58">
        <f t="shared" si="2"/>
        <v>3.3999999999999933E-3</v>
      </c>
      <c r="L36" s="56"/>
      <c r="M36" s="62">
        <f t="shared" si="3"/>
        <v>1.1533333333333331E-2</v>
      </c>
      <c r="N36" s="56">
        <f t="shared" si="4"/>
        <v>0.7982450666666665</v>
      </c>
      <c r="O36" s="58">
        <f t="shared" si="5"/>
        <v>1.596490133333333</v>
      </c>
      <c r="P36" s="56">
        <f t="shared" si="6"/>
        <v>0.15964901333333331</v>
      </c>
      <c r="Q36" s="57">
        <f>AVERAGE(P36:P38)</f>
        <v>0.16922334000000003</v>
      </c>
      <c r="R36" s="56">
        <f>STDEV(P36:P38)</f>
        <v>8.2934153230700917E-3</v>
      </c>
      <c r="S36" s="58">
        <f>R36/Q36*100</f>
        <v>4.9008696572648249</v>
      </c>
      <c r="T36" s="63">
        <f>D54</f>
        <v>178</v>
      </c>
      <c r="U36" s="64">
        <f>Q54</f>
        <v>0.39866111999999992</v>
      </c>
    </row>
    <row r="37" spans="1:21" ht="14.45" customHeight="1" x14ac:dyDescent="0.25">
      <c r="A37" s="18">
        <v>179</v>
      </c>
      <c r="B37" s="30">
        <v>10</v>
      </c>
      <c r="D37" s="79"/>
      <c r="E37" s="17" t="s">
        <v>60</v>
      </c>
      <c r="F37" s="17">
        <f t="shared" ref="F37" si="11">F36</f>
        <v>10</v>
      </c>
      <c r="G37">
        <v>0.05</v>
      </c>
      <c r="H37">
        <v>3.9E-2</v>
      </c>
      <c r="I37" s="56"/>
      <c r="J37" s="57">
        <f t="shared" si="1"/>
        <v>1.3483333333333333E-2</v>
      </c>
      <c r="K37" s="58">
        <f t="shared" si="2"/>
        <v>3.699999999999995E-3</v>
      </c>
      <c r="L37" s="56"/>
      <c r="M37" s="62">
        <f t="shared" si="3"/>
        <v>1.2558333333333335E-2</v>
      </c>
      <c r="N37" s="56">
        <f t="shared" si="4"/>
        <v>0.86918736666666674</v>
      </c>
      <c r="O37" s="58">
        <f t="shared" si="5"/>
        <v>1.7383747333333335</v>
      </c>
      <c r="P37" s="56">
        <f t="shared" si="6"/>
        <v>0.17383747333333335</v>
      </c>
      <c r="Q37" s="57"/>
      <c r="R37" s="56"/>
      <c r="S37" s="58"/>
      <c r="T37" s="63">
        <f>D57</f>
        <v>179</v>
      </c>
      <c r="U37" s="64">
        <f>Q57</f>
        <v>0.33429395999999995</v>
      </c>
    </row>
    <row r="38" spans="1:21" ht="14.45" customHeight="1" x14ac:dyDescent="0.25">
      <c r="A38" s="18">
        <v>180</v>
      </c>
      <c r="B38" s="30">
        <v>10</v>
      </c>
      <c r="D38" s="80"/>
      <c r="E38" s="22" t="s">
        <v>61</v>
      </c>
      <c r="F38" s="22">
        <f t="shared" ref="F38" si="12">F36</f>
        <v>10</v>
      </c>
      <c r="G38">
        <v>0.05</v>
      </c>
      <c r="H38">
        <v>3.8899999999999997E-2</v>
      </c>
      <c r="I38" s="56"/>
      <c r="J38" s="57">
        <f t="shared" si="1"/>
        <v>1.3483333333333333E-2</v>
      </c>
      <c r="K38" s="58">
        <f t="shared" si="2"/>
        <v>3.5999999999999921E-3</v>
      </c>
      <c r="L38" s="56"/>
      <c r="M38" s="62">
        <f t="shared" si="3"/>
        <v>1.2583333333333335E-2</v>
      </c>
      <c r="N38" s="56">
        <f t="shared" si="4"/>
        <v>0.87091766666666681</v>
      </c>
      <c r="O38" s="58">
        <f t="shared" si="5"/>
        <v>1.7418353333333336</v>
      </c>
      <c r="P38" s="56">
        <f t="shared" si="6"/>
        <v>0.17418353333333336</v>
      </c>
      <c r="Q38" s="57"/>
      <c r="R38" s="56"/>
      <c r="S38" s="58"/>
      <c r="T38" s="63">
        <f>D60</f>
        <v>180</v>
      </c>
      <c r="U38" s="64">
        <f>Q60</f>
        <v>0.60087551333333333</v>
      </c>
    </row>
    <row r="39" spans="1:21" ht="14.45" customHeight="1" x14ac:dyDescent="0.25">
      <c r="A39" s="18">
        <v>181</v>
      </c>
      <c r="B39" s="30">
        <v>10</v>
      </c>
      <c r="D39" s="78">
        <f>A31</f>
        <v>173</v>
      </c>
      <c r="E39" s="12" t="s">
        <v>62</v>
      </c>
      <c r="F39" s="12">
        <f>B31</f>
        <v>10</v>
      </c>
      <c r="G39">
        <v>7.5499999999999998E-2</v>
      </c>
      <c r="H39">
        <v>3.9300000000000002E-2</v>
      </c>
      <c r="I39" s="56"/>
      <c r="J39" s="57">
        <f t="shared" si="1"/>
        <v>3.8983333333333328E-2</v>
      </c>
      <c r="K39" s="58">
        <f t="shared" si="2"/>
        <v>3.9999999999999966E-3</v>
      </c>
      <c r="L39" s="56"/>
      <c r="M39" s="62">
        <f t="shared" si="3"/>
        <v>3.7983333333333327E-2</v>
      </c>
      <c r="N39" s="56">
        <f t="shared" si="4"/>
        <v>2.6289024666666663</v>
      </c>
      <c r="O39" s="58">
        <f t="shared" si="5"/>
        <v>5.2578049333333325</v>
      </c>
      <c r="P39" s="56">
        <f t="shared" si="6"/>
        <v>0.52578049333333321</v>
      </c>
      <c r="Q39" s="57">
        <f>AVERAGE(P39:P41)</f>
        <v>0.54400632000000004</v>
      </c>
      <c r="R39" s="56">
        <f>STDEV(P39:P41)</f>
        <v>2.2173059183444557E-2</v>
      </c>
      <c r="S39" s="58">
        <f>R39/Q39*100</f>
        <v>4.0758826447906991</v>
      </c>
      <c r="T39" s="63">
        <f>D63</f>
        <v>181</v>
      </c>
      <c r="U39" s="64">
        <f>Q63</f>
        <v>0.32252791999999997</v>
      </c>
    </row>
    <row r="40" spans="1:21" ht="14.45" customHeight="1" x14ac:dyDescent="0.25">
      <c r="A40" s="18">
        <v>182</v>
      </c>
      <c r="B40" s="30">
        <v>10</v>
      </c>
      <c r="D40" s="79"/>
      <c r="E40" s="17" t="s">
        <v>63</v>
      </c>
      <c r="F40" s="17">
        <f t="shared" ref="F40" si="13">F39</f>
        <v>10</v>
      </c>
      <c r="G40">
        <v>7.6300000000000007E-2</v>
      </c>
      <c r="H40">
        <v>3.9100000000000003E-2</v>
      </c>
      <c r="I40" s="56"/>
      <c r="J40" s="57">
        <f t="shared" si="1"/>
        <v>3.9783333333333337E-2</v>
      </c>
      <c r="K40" s="58">
        <f t="shared" si="2"/>
        <v>3.7999999999999978E-3</v>
      </c>
      <c r="L40" s="56"/>
      <c r="M40" s="62">
        <f t="shared" si="3"/>
        <v>3.8833333333333338E-2</v>
      </c>
      <c r="N40" s="56">
        <f t="shared" si="4"/>
        <v>2.6877326666666672</v>
      </c>
      <c r="O40" s="58">
        <f t="shared" si="5"/>
        <v>5.3754653333333344</v>
      </c>
      <c r="P40" s="56">
        <f t="shared" si="6"/>
        <v>0.53754653333333346</v>
      </c>
      <c r="Q40" s="57"/>
      <c r="R40" s="56"/>
      <c r="S40" s="58"/>
      <c r="T40" s="63">
        <f>D69</f>
        <v>182</v>
      </c>
      <c r="U40" s="64">
        <f>Q66</f>
        <v>0.41111928000000003</v>
      </c>
    </row>
    <row r="41" spans="1:21" ht="14.45" customHeight="1" x14ac:dyDescent="0.25">
      <c r="A41" s="18">
        <v>183</v>
      </c>
      <c r="B41" s="30">
        <v>10</v>
      </c>
      <c r="D41" s="80"/>
      <c r="E41" s="22" t="s">
        <v>64</v>
      </c>
      <c r="F41" s="22">
        <f t="shared" ref="F41" si="14">F39</f>
        <v>10</v>
      </c>
      <c r="G41">
        <v>7.8799999999999995E-2</v>
      </c>
      <c r="H41">
        <v>4.0099999999999997E-2</v>
      </c>
      <c r="I41" s="56"/>
      <c r="J41" s="57">
        <f t="shared" si="1"/>
        <v>4.2283333333333326E-2</v>
      </c>
      <c r="K41" s="58">
        <f t="shared" si="2"/>
        <v>4.7999999999999918E-3</v>
      </c>
      <c r="L41" s="56"/>
      <c r="M41" s="62">
        <f t="shared" si="3"/>
        <v>4.1083333333333326E-2</v>
      </c>
      <c r="N41" s="56">
        <f t="shared" si="4"/>
        <v>2.8434596666666665</v>
      </c>
      <c r="O41" s="58">
        <f t="shared" si="5"/>
        <v>5.686919333333333</v>
      </c>
      <c r="P41" s="56">
        <f t="shared" si="6"/>
        <v>0.56869193333333334</v>
      </c>
      <c r="Q41" s="57"/>
      <c r="R41" s="56"/>
      <c r="S41" s="58"/>
      <c r="T41" s="63">
        <f>D72</f>
        <v>183</v>
      </c>
      <c r="U41" s="64">
        <f>Q69</f>
        <v>0.54273743333333335</v>
      </c>
    </row>
    <row r="42" spans="1:21" ht="14.45" customHeight="1" x14ac:dyDescent="0.25">
      <c r="A42" s="18">
        <v>184</v>
      </c>
      <c r="B42" s="30">
        <v>10</v>
      </c>
      <c r="D42" s="78">
        <f>A32</f>
        <v>174</v>
      </c>
      <c r="E42" s="12" t="s">
        <v>65</v>
      </c>
      <c r="F42" s="12">
        <f>B32</f>
        <v>10</v>
      </c>
      <c r="G42">
        <v>6.8699999999999997E-2</v>
      </c>
      <c r="H42">
        <v>4.2999999999999997E-2</v>
      </c>
      <c r="I42" s="56"/>
      <c r="J42" s="57">
        <f t="shared" si="1"/>
        <v>3.2183333333333328E-2</v>
      </c>
      <c r="K42" s="58">
        <f t="shared" si="2"/>
        <v>7.6999999999999916E-3</v>
      </c>
      <c r="L42" s="56"/>
      <c r="M42" s="62">
        <f t="shared" si="3"/>
        <v>3.0258333333333332E-2</v>
      </c>
      <c r="N42" s="56">
        <f t="shared" si="4"/>
        <v>2.0942397666666666</v>
      </c>
      <c r="O42" s="58">
        <f t="shared" si="5"/>
        <v>4.1884795333333331</v>
      </c>
      <c r="P42" s="56">
        <f t="shared" si="6"/>
        <v>0.4188479533333333</v>
      </c>
      <c r="Q42" s="57">
        <f>AVERAGE(P42:P44)</f>
        <v>0.43661236666666658</v>
      </c>
      <c r="R42" s="56">
        <f>STDEV(P42:P44)</f>
        <v>1.5696532904426172E-2</v>
      </c>
      <c r="S42" s="58">
        <f>R42/Q42*100</f>
        <v>3.5950729074079915</v>
      </c>
      <c r="T42" s="63">
        <f>D75</f>
        <v>184</v>
      </c>
      <c r="U42" s="64">
        <f>Q72</f>
        <v>0.48644500666666673</v>
      </c>
    </row>
    <row r="43" spans="1:21" ht="14.45" customHeight="1" x14ac:dyDescent="0.25">
      <c r="A43" s="18">
        <v>185</v>
      </c>
      <c r="B43" s="30">
        <v>10</v>
      </c>
      <c r="D43" s="79"/>
      <c r="E43" s="17" t="s">
        <v>66</v>
      </c>
      <c r="F43" s="17">
        <f t="shared" ref="F43" si="15">F42</f>
        <v>10</v>
      </c>
      <c r="G43">
        <v>7.0800000000000002E-2</v>
      </c>
      <c r="H43">
        <v>4.2799999999999998E-2</v>
      </c>
      <c r="I43" s="56"/>
      <c r="J43" s="57">
        <f t="shared" si="1"/>
        <v>3.4283333333333332E-2</v>
      </c>
      <c r="K43" s="58">
        <f t="shared" si="2"/>
        <v>7.4999999999999928E-3</v>
      </c>
      <c r="L43" s="56"/>
      <c r="M43" s="62">
        <f t="shared" si="3"/>
        <v>3.2408333333333331E-2</v>
      </c>
      <c r="N43" s="56">
        <f t="shared" si="4"/>
        <v>2.2430455666666664</v>
      </c>
      <c r="O43" s="58">
        <f t="shared" si="5"/>
        <v>4.4860911333333329</v>
      </c>
      <c r="P43" s="56">
        <f t="shared" si="6"/>
        <v>0.44860911333333331</v>
      </c>
      <c r="Q43" s="57"/>
      <c r="R43" s="56"/>
      <c r="S43" s="58"/>
      <c r="T43" s="63">
        <f>D78</f>
        <v>185</v>
      </c>
      <c r="U43" s="64">
        <f>Q75</f>
        <v>0.34652141333333336</v>
      </c>
    </row>
    <row r="44" spans="1:21" ht="14.45" customHeight="1" x14ac:dyDescent="0.25">
      <c r="A44" s="18">
        <v>186</v>
      </c>
      <c r="B44" s="30">
        <v>10</v>
      </c>
      <c r="D44" s="80"/>
      <c r="E44" s="22" t="s">
        <v>67</v>
      </c>
      <c r="F44" s="22">
        <f t="shared" ref="F44" si="16">F42</f>
        <v>10</v>
      </c>
      <c r="G44">
        <v>7.0199999999999999E-2</v>
      </c>
      <c r="H44">
        <v>4.2200000000000001E-2</v>
      </c>
      <c r="I44" s="56"/>
      <c r="J44" s="57">
        <f t="shared" si="1"/>
        <v>3.3683333333333329E-2</v>
      </c>
      <c r="K44" s="58">
        <f t="shared" si="2"/>
        <v>6.8999999999999964E-3</v>
      </c>
      <c r="L44" s="56"/>
      <c r="M44" s="62">
        <f t="shared" si="3"/>
        <v>3.1958333333333332E-2</v>
      </c>
      <c r="N44" s="56">
        <f t="shared" si="4"/>
        <v>2.2119001666666667</v>
      </c>
      <c r="O44" s="58">
        <f t="shared" si="5"/>
        <v>4.4238003333333333</v>
      </c>
      <c r="P44" s="56">
        <f t="shared" si="6"/>
        <v>0.44238003333333331</v>
      </c>
      <c r="Q44" s="57"/>
      <c r="R44" s="56"/>
      <c r="S44" s="58"/>
      <c r="T44" s="63">
        <f>D81</f>
        <v>186</v>
      </c>
      <c r="U44" s="64">
        <f>Q78</f>
        <v>0.73722315333333333</v>
      </c>
    </row>
    <row r="45" spans="1:21" ht="14.45" customHeight="1" x14ac:dyDescent="0.25">
      <c r="A45" s="18">
        <v>187</v>
      </c>
      <c r="B45" s="30">
        <v>10</v>
      </c>
      <c r="D45" s="78">
        <f>A33</f>
        <v>175</v>
      </c>
      <c r="E45" s="12" t="s">
        <v>68</v>
      </c>
      <c r="F45" s="12">
        <f>B33</f>
        <v>10</v>
      </c>
      <c r="G45">
        <v>0.21579999999999999</v>
      </c>
      <c r="H45">
        <v>3.6999999999999998E-2</v>
      </c>
      <c r="I45" s="56"/>
      <c r="J45" s="57">
        <f t="shared" si="1"/>
        <v>0.17928333333333332</v>
      </c>
      <c r="K45" s="58">
        <f t="shared" si="2"/>
        <v>1.6999999999999932E-3</v>
      </c>
      <c r="L45" s="56"/>
      <c r="M45" s="62">
        <f t="shared" si="3"/>
        <v>0.17885833333333331</v>
      </c>
      <c r="N45" s="56">
        <f t="shared" si="4"/>
        <v>12.379142966666667</v>
      </c>
      <c r="O45" s="58">
        <f t="shared" si="5"/>
        <v>24.758285933333333</v>
      </c>
      <c r="P45" s="56">
        <f t="shared" si="6"/>
        <v>2.4758285933333335</v>
      </c>
      <c r="Q45" s="57">
        <f>AVERAGE(P45:P47)</f>
        <v>0.94139855333333344</v>
      </c>
      <c r="R45" s="56">
        <f>STDEV(P45:P47)</f>
        <v>1.3288734190095912</v>
      </c>
      <c r="S45" s="58">
        <f>R45/Q45*100</f>
        <v>141.1594923642356</v>
      </c>
      <c r="T45" s="63">
        <f>D84</f>
        <v>187</v>
      </c>
      <c r="U45" s="64">
        <f>Q81</f>
        <v>0.61448720666666679</v>
      </c>
    </row>
    <row r="46" spans="1:21" ht="14.45" customHeight="1" x14ac:dyDescent="0.25">
      <c r="A46" s="18">
        <v>188</v>
      </c>
      <c r="B46" s="30">
        <v>10</v>
      </c>
      <c r="D46" s="79"/>
      <c r="E46" s="17" t="s">
        <v>69</v>
      </c>
      <c r="F46" s="17">
        <f t="shared" ref="F46" si="17">F45</f>
        <v>10</v>
      </c>
      <c r="G46">
        <v>5.0200000000000002E-2</v>
      </c>
      <c r="H46">
        <v>3.7699999999999997E-2</v>
      </c>
      <c r="I46" s="56"/>
      <c r="J46" s="57">
        <f t="shared" si="1"/>
        <v>1.3683333333333332E-2</v>
      </c>
      <c r="K46" s="58">
        <f t="shared" si="2"/>
        <v>2.3999999999999924E-3</v>
      </c>
      <c r="L46" s="56"/>
      <c r="M46" s="62">
        <f t="shared" si="3"/>
        <v>1.3083333333333334E-2</v>
      </c>
      <c r="N46" s="56">
        <f t="shared" si="4"/>
        <v>0.90552366666666673</v>
      </c>
      <c r="O46" s="58">
        <f t="shared" si="5"/>
        <v>1.8110473333333335</v>
      </c>
      <c r="P46" s="56">
        <f t="shared" si="6"/>
        <v>0.18110473333333335</v>
      </c>
      <c r="Q46" s="57"/>
      <c r="R46" s="56"/>
      <c r="S46" s="58"/>
      <c r="T46" s="63">
        <f>D87</f>
        <v>188</v>
      </c>
      <c r="U46" s="64">
        <f>Q84</f>
        <v>0.66328166666666677</v>
      </c>
    </row>
    <row r="47" spans="1:21" ht="14.45" customHeight="1" x14ac:dyDescent="0.25">
      <c r="A47" s="18">
        <v>189</v>
      </c>
      <c r="B47" s="30">
        <v>10</v>
      </c>
      <c r="D47" s="80"/>
      <c r="E47" s="22" t="s">
        <v>70</v>
      </c>
      <c r="F47" s="22">
        <f t="shared" ref="F47" si="18">F45</f>
        <v>10</v>
      </c>
      <c r="G47">
        <v>4.9000000000000002E-2</v>
      </c>
      <c r="H47">
        <v>3.6900000000000002E-2</v>
      </c>
      <c r="I47" s="56"/>
      <c r="J47" s="57">
        <f t="shared" si="1"/>
        <v>1.2483333333333332E-2</v>
      </c>
      <c r="K47" s="58">
        <f t="shared" si="2"/>
        <v>1.5999999999999973E-3</v>
      </c>
      <c r="L47" s="56"/>
      <c r="M47" s="62">
        <f t="shared" si="3"/>
        <v>1.2083333333333333E-2</v>
      </c>
      <c r="N47" s="56">
        <f t="shared" si="4"/>
        <v>0.83631166666666668</v>
      </c>
      <c r="O47" s="58">
        <f t="shared" si="5"/>
        <v>1.6726233333333334</v>
      </c>
      <c r="P47" s="56">
        <f t="shared" si="6"/>
        <v>0.16726233333333335</v>
      </c>
      <c r="Q47" s="57"/>
      <c r="R47" s="56"/>
      <c r="S47" s="58"/>
      <c r="T47" s="63">
        <f>D90</f>
        <v>189</v>
      </c>
      <c r="U47" s="64">
        <f>Q87</f>
        <v>0.45206971333333335</v>
      </c>
    </row>
    <row r="48" spans="1:21" ht="14.45" customHeight="1" x14ac:dyDescent="0.25">
      <c r="A48" s="18">
        <v>190</v>
      </c>
      <c r="B48" s="30">
        <v>10</v>
      </c>
      <c r="D48" s="78">
        <f>A34</f>
        <v>176</v>
      </c>
      <c r="E48" s="12" t="s">
        <v>71</v>
      </c>
      <c r="F48" s="12">
        <f>B34</f>
        <v>10</v>
      </c>
      <c r="G48">
        <v>0.21959999999999999</v>
      </c>
      <c r="H48">
        <v>0.1862</v>
      </c>
      <c r="I48" s="56"/>
      <c r="J48" s="57">
        <f t="shared" si="1"/>
        <v>0.18308333333333332</v>
      </c>
      <c r="K48" s="58">
        <f t="shared" si="2"/>
        <v>0.15090000000000001</v>
      </c>
      <c r="L48" s="56"/>
      <c r="M48" s="62">
        <f t="shared" si="3"/>
        <v>0.14535833333333331</v>
      </c>
      <c r="N48" s="56">
        <f t="shared" si="4"/>
        <v>10.060540966666666</v>
      </c>
      <c r="O48" s="58">
        <f t="shared" si="5"/>
        <v>20.121081933333333</v>
      </c>
      <c r="P48" s="56">
        <f t="shared" si="6"/>
        <v>2.0121081933333334</v>
      </c>
      <c r="Q48" s="57">
        <f>AVERAGE(P48:P50)</f>
        <v>0.92294202000000014</v>
      </c>
      <c r="R48" s="56">
        <f>STDEV(P48:P50)</f>
        <v>0.94327357003050283</v>
      </c>
      <c r="S48" s="58">
        <f>R48/Q48*100</f>
        <v>102.20290653041269</v>
      </c>
      <c r="T48" s="63">
        <f>D96</f>
        <v>190</v>
      </c>
      <c r="U48" s="64">
        <f>Q90</f>
        <v>1.1080841199999998</v>
      </c>
    </row>
    <row r="49" spans="1:22" ht="14.45" customHeight="1" x14ac:dyDescent="0.25">
      <c r="A49" s="18">
        <v>191</v>
      </c>
      <c r="B49" s="30">
        <v>10</v>
      </c>
      <c r="D49" s="79"/>
      <c r="E49" s="17" t="s">
        <v>72</v>
      </c>
      <c r="F49" s="17">
        <f t="shared" ref="F49" si="19">F48</f>
        <v>10</v>
      </c>
      <c r="G49">
        <v>6.3799999999999996E-2</v>
      </c>
      <c r="H49">
        <v>3.7199999999999997E-2</v>
      </c>
      <c r="I49" s="56"/>
      <c r="J49" s="57">
        <f t="shared" si="1"/>
        <v>2.7283333333333326E-2</v>
      </c>
      <c r="K49" s="58">
        <f t="shared" si="2"/>
        <v>1.899999999999992E-3</v>
      </c>
      <c r="L49" s="56"/>
      <c r="M49" s="62">
        <f t="shared" si="3"/>
        <v>2.680833333333333E-2</v>
      </c>
      <c r="N49" s="56">
        <f t="shared" si="4"/>
        <v>1.8554583666666664</v>
      </c>
      <c r="O49" s="58">
        <f t="shared" si="5"/>
        <v>3.7109167333333328</v>
      </c>
      <c r="P49" s="56">
        <f t="shared" si="6"/>
        <v>0.37109167333333326</v>
      </c>
      <c r="Q49" s="57"/>
      <c r="R49" s="56"/>
      <c r="S49" s="58"/>
      <c r="T49" s="63">
        <f>D99</f>
        <v>191</v>
      </c>
      <c r="U49" s="64">
        <f>Q93</f>
        <v>0.50997708666666675</v>
      </c>
    </row>
    <row r="50" spans="1:22" ht="14.45" customHeight="1" x14ac:dyDescent="0.25">
      <c r="A50" s="18">
        <v>192</v>
      </c>
      <c r="B50" s="30">
        <v>10</v>
      </c>
      <c r="D50" s="80"/>
      <c r="E50" s="22" t="s">
        <v>73</v>
      </c>
      <c r="F50" s="22">
        <f t="shared" ref="F50" si="20">F48</f>
        <v>10</v>
      </c>
      <c r="G50">
        <v>6.5100000000000005E-2</v>
      </c>
      <c r="H50">
        <v>3.8199999999999998E-2</v>
      </c>
      <c r="I50" s="56"/>
      <c r="J50" s="57">
        <f t="shared" si="1"/>
        <v>2.8583333333333336E-2</v>
      </c>
      <c r="K50" s="58">
        <f t="shared" si="2"/>
        <v>2.8999999999999929E-3</v>
      </c>
      <c r="L50" s="56"/>
      <c r="M50" s="62">
        <f t="shared" si="3"/>
        <v>2.7858333333333339E-2</v>
      </c>
      <c r="N50" s="56">
        <f t="shared" si="4"/>
        <v>1.9281309666666671</v>
      </c>
      <c r="O50" s="58">
        <f t="shared" si="5"/>
        <v>3.8562619333333341</v>
      </c>
      <c r="P50" s="56">
        <f t="shared" si="6"/>
        <v>0.38562619333333342</v>
      </c>
      <c r="Q50" s="57"/>
      <c r="R50" s="56"/>
      <c r="S50" s="58"/>
      <c r="T50" s="67">
        <f>D102</f>
        <v>192</v>
      </c>
      <c r="U50" s="68">
        <f>Q96</f>
        <v>0.29888048666666672</v>
      </c>
    </row>
    <row r="51" spans="1:22" ht="14.45" customHeight="1" x14ac:dyDescent="0.25">
      <c r="D51" s="78">
        <f>A35</f>
        <v>177</v>
      </c>
      <c r="E51" s="12" t="s">
        <v>74</v>
      </c>
      <c r="F51" s="12">
        <f>B35</f>
        <v>10</v>
      </c>
      <c r="G51">
        <v>7.4099999999999999E-2</v>
      </c>
      <c r="H51">
        <v>9.4399999999999998E-2</v>
      </c>
      <c r="I51" s="56"/>
      <c r="J51" s="57">
        <f t="shared" si="1"/>
        <v>3.758333333333333E-2</v>
      </c>
      <c r="K51" s="58">
        <f t="shared" si="2"/>
        <v>5.9099999999999993E-2</v>
      </c>
      <c r="L51" s="56"/>
      <c r="M51" s="62">
        <f t="shared" si="3"/>
        <v>2.2808333333333333E-2</v>
      </c>
      <c r="N51" s="56">
        <f t="shared" si="4"/>
        <v>1.5786103666666667</v>
      </c>
      <c r="O51" s="58">
        <f t="shared" si="5"/>
        <v>3.1572207333333333</v>
      </c>
      <c r="P51" s="56">
        <f t="shared" si="6"/>
        <v>0.31572207333333335</v>
      </c>
      <c r="Q51" s="57">
        <f>AVERAGE(P51:P53)</f>
        <v>0.22090163333333335</v>
      </c>
      <c r="R51" s="56">
        <f>STDEV(P51:P53)</f>
        <v>8.2189796408709978E-2</v>
      </c>
      <c r="S51" s="58">
        <f>R51/Q51*100</f>
        <v>37.206513672394742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4.99E-2</v>
      </c>
      <c r="H52">
        <v>3.7699999999999997E-2</v>
      </c>
      <c r="I52" s="56"/>
      <c r="J52" s="57">
        <f t="shared" si="1"/>
        <v>1.338333333333333E-2</v>
      </c>
      <c r="K52" s="58">
        <f t="shared" si="2"/>
        <v>2.3999999999999924E-3</v>
      </c>
      <c r="L52" s="56"/>
      <c r="M52" s="62">
        <f t="shared" si="3"/>
        <v>1.2783333333333332E-2</v>
      </c>
      <c r="N52" s="56">
        <f t="shared" si="4"/>
        <v>0.88476006666666662</v>
      </c>
      <c r="O52" s="58">
        <f t="shared" si="5"/>
        <v>1.7695201333333332</v>
      </c>
      <c r="P52" s="56">
        <f t="shared" si="6"/>
        <v>0.17695201333333332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4.9500000000000002E-2</v>
      </c>
      <c r="H53">
        <v>3.8100000000000002E-2</v>
      </c>
      <c r="I53" s="56"/>
      <c r="J53" s="57">
        <f t="shared" si="1"/>
        <v>1.2983333333333333E-2</v>
      </c>
      <c r="K53" s="58">
        <f t="shared" si="2"/>
        <v>2.7999999999999969E-3</v>
      </c>
      <c r="L53" s="56"/>
      <c r="M53" s="62">
        <f t="shared" si="3"/>
        <v>1.2283333333333334E-2</v>
      </c>
      <c r="N53" s="56">
        <f t="shared" si="4"/>
        <v>0.85015406666666671</v>
      </c>
      <c r="O53" s="58">
        <f t="shared" si="5"/>
        <v>1.7003081333333334</v>
      </c>
      <c r="P53" s="56">
        <f t="shared" si="6"/>
        <v>0.17003081333333334</v>
      </c>
      <c r="Q53" s="57"/>
      <c r="R53" s="56"/>
      <c r="S53" s="58"/>
      <c r="T53" s="56"/>
    </row>
    <row r="54" spans="1:22" ht="14.45" customHeight="1" x14ac:dyDescent="0.25">
      <c r="D54" s="78">
        <f>A36</f>
        <v>178</v>
      </c>
      <c r="E54" s="12" t="s">
        <v>77</v>
      </c>
      <c r="F54" s="12">
        <f>B36</f>
        <v>10</v>
      </c>
      <c r="G54">
        <v>6.4899999999999999E-2</v>
      </c>
      <c r="H54">
        <v>3.9399999999999998E-2</v>
      </c>
      <c r="I54" s="56"/>
      <c r="J54" s="57">
        <f t="shared" si="1"/>
        <v>2.838333333333333E-2</v>
      </c>
      <c r="K54" s="58">
        <f t="shared" si="2"/>
        <v>4.0999999999999925E-3</v>
      </c>
      <c r="L54" s="56"/>
      <c r="M54" s="62">
        <f t="shared" si="3"/>
        <v>2.7358333333333332E-2</v>
      </c>
      <c r="N54" s="56">
        <f t="shared" si="4"/>
        <v>1.8935249666666667</v>
      </c>
      <c r="O54" s="58">
        <f t="shared" si="5"/>
        <v>3.7870499333333334</v>
      </c>
      <c r="P54" s="56">
        <f t="shared" si="6"/>
        <v>0.37870499333333335</v>
      </c>
      <c r="Q54" s="57">
        <f>AVERAGE(P54:P56)</f>
        <v>0.39866111999999992</v>
      </c>
      <c r="R54" s="56">
        <f>STDEV(P54:P56)</f>
        <v>1.7902822468206847E-2</v>
      </c>
      <c r="S54" s="58">
        <f>R54/Q54*100</f>
        <v>4.4907370119782062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6.6799999999999998E-2</v>
      </c>
      <c r="H55">
        <v>3.9699999999999999E-2</v>
      </c>
      <c r="I55" s="56"/>
      <c r="J55" s="57">
        <f t="shared" si="1"/>
        <v>3.0283333333333329E-2</v>
      </c>
      <c r="K55" s="58">
        <f t="shared" si="2"/>
        <v>4.3999999999999942E-3</v>
      </c>
      <c r="L55" s="56"/>
      <c r="M55" s="62">
        <f t="shared" si="3"/>
        <v>2.9183333333333332E-2</v>
      </c>
      <c r="N55" s="56">
        <f t="shared" si="4"/>
        <v>2.0198368666666666</v>
      </c>
      <c r="O55" s="58">
        <f t="shared" si="5"/>
        <v>4.0396737333333332</v>
      </c>
      <c r="P55" s="56">
        <f t="shared" si="6"/>
        <v>0.40396737333333332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6.7699999999999996E-2</v>
      </c>
      <c r="H56">
        <v>4.0599999999999997E-2</v>
      </c>
      <c r="I56" s="56"/>
      <c r="J56" s="57">
        <f t="shared" si="1"/>
        <v>3.1183333333333327E-2</v>
      </c>
      <c r="K56" s="58">
        <f t="shared" si="2"/>
        <v>5.2999999999999922E-3</v>
      </c>
      <c r="L56" s="56"/>
      <c r="M56" s="62">
        <f t="shared" si="3"/>
        <v>2.9858333333333327E-2</v>
      </c>
      <c r="N56" s="56">
        <f t="shared" si="4"/>
        <v>2.0665549666666663</v>
      </c>
      <c r="O56" s="58">
        <f t="shared" si="5"/>
        <v>4.1331099333333325</v>
      </c>
      <c r="P56" s="56">
        <f t="shared" si="6"/>
        <v>0.41331099333333327</v>
      </c>
      <c r="Q56" s="57"/>
      <c r="R56" s="56"/>
      <c r="S56" s="58"/>
      <c r="T56" s="56"/>
    </row>
    <row r="57" spans="1:22" ht="14.45" customHeight="1" x14ac:dyDescent="0.25">
      <c r="D57" s="78">
        <f>A37</f>
        <v>179</v>
      </c>
      <c r="E57" s="12" t="s">
        <v>80</v>
      </c>
      <c r="F57" s="12">
        <f>B37</f>
        <v>10</v>
      </c>
      <c r="G57">
        <v>5.7599999999999998E-2</v>
      </c>
      <c r="H57">
        <v>3.6999999999999998E-2</v>
      </c>
      <c r="I57" s="56"/>
      <c r="J57" s="57">
        <f t="shared" si="1"/>
        <v>2.1083333333333329E-2</v>
      </c>
      <c r="K57" s="58">
        <f t="shared" si="2"/>
        <v>1.6999999999999932E-3</v>
      </c>
      <c r="L57" s="56"/>
      <c r="M57" s="62">
        <f t="shared" si="3"/>
        <v>2.0658333333333331E-2</v>
      </c>
      <c r="N57" s="56">
        <f t="shared" si="4"/>
        <v>1.4298045666666666</v>
      </c>
      <c r="O57" s="58">
        <f t="shared" si="5"/>
        <v>2.8596091333333331</v>
      </c>
      <c r="P57" s="56">
        <f t="shared" si="6"/>
        <v>0.28596091333333329</v>
      </c>
      <c r="Q57" s="57">
        <f>AVERAGE(P57:P59)</f>
        <v>0.33429395999999995</v>
      </c>
      <c r="R57" s="56">
        <f>STDEV(P57:P59)</f>
        <v>4.1875166623259463E-2</v>
      </c>
      <c r="S57" s="58">
        <f>R57/Q57*100</f>
        <v>12.526450260501107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10</v>
      </c>
      <c r="G58">
        <v>6.3299999999999995E-2</v>
      </c>
      <c r="H58">
        <v>3.85E-2</v>
      </c>
      <c r="I58" s="56"/>
      <c r="J58" s="57">
        <f t="shared" si="1"/>
        <v>2.6783333333333326E-2</v>
      </c>
      <c r="K58" s="58">
        <f t="shared" si="2"/>
        <v>3.1999999999999945E-3</v>
      </c>
      <c r="L58" s="56"/>
      <c r="M58" s="62">
        <f t="shared" si="3"/>
        <v>2.5983333333333327E-2</v>
      </c>
      <c r="N58" s="56">
        <f t="shared" si="4"/>
        <v>1.7983584666666663</v>
      </c>
      <c r="O58" s="58">
        <f t="shared" si="5"/>
        <v>3.5967169333333326</v>
      </c>
      <c r="P58" s="56">
        <f t="shared" si="6"/>
        <v>0.35967169333333326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10</v>
      </c>
      <c r="G59">
        <v>6.3E-2</v>
      </c>
      <c r="H59">
        <v>3.7999999999999999E-2</v>
      </c>
      <c r="I59" s="56"/>
      <c r="J59" s="57">
        <f t="shared" si="1"/>
        <v>2.6483333333333331E-2</v>
      </c>
      <c r="K59" s="58">
        <f t="shared" si="2"/>
        <v>2.6999999999999941E-3</v>
      </c>
      <c r="L59" s="56"/>
      <c r="M59" s="62">
        <f t="shared" si="3"/>
        <v>2.5808333333333332E-2</v>
      </c>
      <c r="N59" s="56">
        <f t="shared" si="4"/>
        <v>1.7862463666666666</v>
      </c>
      <c r="O59" s="58">
        <f t="shared" si="5"/>
        <v>3.5724927333333332</v>
      </c>
      <c r="P59" s="56">
        <f t="shared" si="6"/>
        <v>0.35724927333333334</v>
      </c>
      <c r="Q59" s="57"/>
      <c r="R59" s="56"/>
      <c r="S59" s="58"/>
      <c r="T59" s="56"/>
    </row>
    <row r="60" spans="1:22" ht="14.45" customHeight="1" x14ac:dyDescent="0.25">
      <c r="D60" s="78">
        <f>A38</f>
        <v>180</v>
      </c>
      <c r="E60" s="12" t="s">
        <v>83</v>
      </c>
      <c r="F60" s="12">
        <f>B38</f>
        <v>10</v>
      </c>
      <c r="G60">
        <v>7.9200000000000007E-2</v>
      </c>
      <c r="H60">
        <v>4.0899999999999999E-2</v>
      </c>
      <c r="I60" s="56"/>
      <c r="J60" s="57">
        <f t="shared" si="1"/>
        <v>4.2683333333333337E-2</v>
      </c>
      <c r="K60" s="58">
        <f t="shared" si="2"/>
        <v>5.5999999999999939E-3</v>
      </c>
      <c r="L60" s="56"/>
      <c r="M60" s="62">
        <f t="shared" si="3"/>
        <v>4.1283333333333339E-2</v>
      </c>
      <c r="N60" s="56">
        <f t="shared" si="4"/>
        <v>2.8573020666666671</v>
      </c>
      <c r="O60" s="58">
        <f t="shared" si="5"/>
        <v>5.7146041333333342</v>
      </c>
      <c r="P60" s="56">
        <f t="shared" si="6"/>
        <v>0.57146041333333342</v>
      </c>
      <c r="Q60" s="57">
        <f>AVERAGE(P60:P62)</f>
        <v>0.60087551333333333</v>
      </c>
      <c r="R60" s="56">
        <f>STDEV(P60:P62)</f>
        <v>2.5643489662828586E-2</v>
      </c>
      <c r="S60" s="58">
        <f>R60/Q60*100</f>
        <v>4.2676875815045836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10</v>
      </c>
      <c r="G61">
        <v>8.1900000000000001E-2</v>
      </c>
      <c r="H61">
        <v>3.9800000000000002E-2</v>
      </c>
      <c r="I61" s="56"/>
      <c r="J61" s="57">
        <f t="shared" si="1"/>
        <v>4.5383333333333331E-2</v>
      </c>
      <c r="K61" s="58">
        <f t="shared" si="2"/>
        <v>4.4999999999999971E-3</v>
      </c>
      <c r="L61" s="56"/>
      <c r="M61" s="62">
        <f t="shared" si="3"/>
        <v>4.425833333333333E-2</v>
      </c>
      <c r="N61" s="56">
        <f t="shared" si="4"/>
        <v>3.0632077666666664</v>
      </c>
      <c r="O61" s="58">
        <f t="shared" si="5"/>
        <v>6.1264155333333328</v>
      </c>
      <c r="P61" s="56">
        <f t="shared" si="6"/>
        <v>0.61264155333333326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10</v>
      </c>
      <c r="G62">
        <v>8.2400000000000001E-2</v>
      </c>
      <c r="H62">
        <v>4.0099999999999997E-2</v>
      </c>
      <c r="I62" s="56"/>
      <c r="J62" s="57">
        <f t="shared" si="1"/>
        <v>4.5883333333333332E-2</v>
      </c>
      <c r="K62" s="58">
        <f t="shared" si="2"/>
        <v>4.7999999999999918E-3</v>
      </c>
      <c r="L62" s="56"/>
      <c r="M62" s="62">
        <f t="shared" si="3"/>
        <v>4.4683333333333332E-2</v>
      </c>
      <c r="N62" s="56">
        <f t="shared" si="4"/>
        <v>3.0926228666666669</v>
      </c>
      <c r="O62" s="58">
        <f t="shared" si="5"/>
        <v>6.1852457333333337</v>
      </c>
      <c r="P62" s="56">
        <f t="shared" si="6"/>
        <v>0.61852457333333333</v>
      </c>
      <c r="Q62" s="57"/>
      <c r="R62" s="56"/>
      <c r="S62" s="58"/>
      <c r="T62" s="56"/>
    </row>
    <row r="63" spans="1:22" ht="14.45" customHeight="1" x14ac:dyDescent="0.25">
      <c r="D63" s="78">
        <f>A39</f>
        <v>181</v>
      </c>
      <c r="E63" s="12" t="s">
        <v>86</v>
      </c>
      <c r="F63" s="12">
        <f>B39</f>
        <v>10</v>
      </c>
      <c r="G63">
        <v>6.1199999999999997E-2</v>
      </c>
      <c r="H63">
        <v>3.9800000000000002E-2</v>
      </c>
      <c r="I63" s="56"/>
      <c r="J63" s="57">
        <f t="shared" si="1"/>
        <v>2.4683333333333328E-2</v>
      </c>
      <c r="K63" s="58">
        <f t="shared" si="2"/>
        <v>4.4999999999999971E-3</v>
      </c>
      <c r="L63" s="56"/>
      <c r="M63" s="62">
        <f t="shared" si="3"/>
        <v>2.3558333333333327E-2</v>
      </c>
      <c r="N63" s="56">
        <f t="shared" si="4"/>
        <v>1.6305193666666664</v>
      </c>
      <c r="O63" s="58">
        <f t="shared" si="5"/>
        <v>3.2610387333333328</v>
      </c>
      <c r="P63" s="56">
        <f t="shared" si="6"/>
        <v>0.32610387333333329</v>
      </c>
      <c r="Q63" s="57">
        <f>AVERAGE(P63:P65)</f>
        <v>0.32252791999999997</v>
      </c>
      <c r="R63" s="56">
        <f>STDEV(P63:P65)</f>
        <v>1.7407655036866171E-2</v>
      </c>
      <c r="S63" s="58">
        <f>R63/Q63*100</f>
        <v>5.3972552320016733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10</v>
      </c>
      <c r="G64">
        <v>6.2300000000000001E-2</v>
      </c>
      <c r="H64">
        <v>4.0800000000000003E-2</v>
      </c>
      <c r="I64" s="56"/>
      <c r="J64" s="57">
        <f t="shared" si="1"/>
        <v>2.5783333333333332E-2</v>
      </c>
      <c r="K64" s="58">
        <f t="shared" si="2"/>
        <v>5.4999999999999979E-3</v>
      </c>
      <c r="L64" s="56"/>
      <c r="M64" s="62">
        <f t="shared" si="3"/>
        <v>2.440833333333333E-2</v>
      </c>
      <c r="N64" s="56">
        <f t="shared" si="4"/>
        <v>1.6893495666666665</v>
      </c>
      <c r="O64" s="58">
        <f t="shared" si="5"/>
        <v>3.3786991333333329</v>
      </c>
      <c r="P64" s="56">
        <f t="shared" si="6"/>
        <v>0.33786991333333327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10</v>
      </c>
      <c r="G65">
        <v>5.9700000000000003E-2</v>
      </c>
      <c r="H65">
        <v>4.0300000000000002E-2</v>
      </c>
      <c r="I65" s="56"/>
      <c r="J65" s="57">
        <f t="shared" si="1"/>
        <v>2.3183333333333334E-2</v>
      </c>
      <c r="K65" s="58">
        <f t="shared" si="2"/>
        <v>4.9999999999999975E-3</v>
      </c>
      <c r="L65" s="56"/>
      <c r="M65" s="62">
        <f t="shared" si="3"/>
        <v>2.1933333333333332E-2</v>
      </c>
      <c r="N65" s="56">
        <f t="shared" si="4"/>
        <v>1.5180498666666666</v>
      </c>
      <c r="O65" s="58">
        <f t="shared" si="5"/>
        <v>3.0360997333333333</v>
      </c>
      <c r="P65" s="56">
        <f t="shared" si="6"/>
        <v>0.30360997333333334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0.24940000000000001</v>
      </c>
      <c r="H66">
        <v>3.6499999999999998E-2</v>
      </c>
      <c r="I66" s="56"/>
      <c r="J66" s="57">
        <f>G69-$J$14</f>
        <v>2.7583333333333335E-2</v>
      </c>
      <c r="K66" s="58">
        <f>H69-$K$14</f>
        <v>2.2999999999999965E-3</v>
      </c>
      <c r="L66" s="56"/>
      <c r="M66" s="62">
        <f t="shared" si="3"/>
        <v>2.7008333333333336E-2</v>
      </c>
      <c r="N66" s="56">
        <f t="shared" si="4"/>
        <v>1.869300766666667</v>
      </c>
      <c r="O66" s="58">
        <f t="shared" si="5"/>
        <v>3.738601533333334</v>
      </c>
      <c r="P66" s="56">
        <f>O66/F69</f>
        <v>0.37386015333333339</v>
      </c>
      <c r="Q66" s="57">
        <f>AVERAGE(P66:P68)</f>
        <v>0.41111928000000003</v>
      </c>
      <c r="R66" s="56">
        <f>STDEV(P66:P68)</f>
        <v>3.9834998517315548E-2</v>
      </c>
      <c r="S66" s="58">
        <f>R66/Q66*100</f>
        <v>9.6894017029110255</v>
      </c>
      <c r="T66" s="56"/>
    </row>
    <row r="67" spans="4:20" ht="14.45" customHeight="1" x14ac:dyDescent="0.25">
      <c r="D67" s="71"/>
      <c r="E67" s="17" t="s">
        <v>126</v>
      </c>
      <c r="F67" s="17"/>
      <c r="G67">
        <v>0.9909</v>
      </c>
      <c r="H67">
        <v>3.9800000000000002E-2</v>
      </c>
      <c r="I67" s="56"/>
      <c r="J67" s="57">
        <f>G70-$J$14</f>
        <v>3.4583333333333327E-2</v>
      </c>
      <c r="K67" s="58">
        <f>H70-$K$14</f>
        <v>7.3999999999999969E-3</v>
      </c>
      <c r="L67" s="56"/>
      <c r="M67" s="62">
        <f t="shared" si="3"/>
        <v>3.273333333333333E-2</v>
      </c>
      <c r="N67" s="56">
        <f t="shared" si="4"/>
        <v>2.2655394666666666</v>
      </c>
      <c r="O67" s="58">
        <f t="shared" si="5"/>
        <v>4.5310789333333332</v>
      </c>
      <c r="P67" s="56">
        <f>O67/F70</f>
        <v>0.45310789333333334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1.8062</v>
      </c>
      <c r="H68">
        <v>3.6799999999999999E-2</v>
      </c>
      <c r="I68" s="56"/>
      <c r="J68" s="57">
        <f>G71-$J$14</f>
        <v>3.0183333333333326E-2</v>
      </c>
      <c r="K68" s="58">
        <f>H71-$K$14</f>
        <v>3.2999999999999974E-3</v>
      </c>
      <c r="L68" s="56"/>
      <c r="M68" s="62">
        <f t="shared" si="3"/>
        <v>2.9358333333333327E-2</v>
      </c>
      <c r="N68" s="56">
        <f t="shared" si="4"/>
        <v>2.0319489666666661</v>
      </c>
      <c r="O68" s="58">
        <f t="shared" si="5"/>
        <v>4.0638979333333323</v>
      </c>
      <c r="P68" s="56">
        <f>O68/F71</f>
        <v>0.40638979333333325</v>
      </c>
      <c r="Q68" s="57"/>
      <c r="R68" s="56"/>
      <c r="S68" s="58"/>
      <c r="T68" s="56"/>
    </row>
    <row r="69" spans="4:20" ht="14.45" customHeight="1" x14ac:dyDescent="0.25">
      <c r="D69" s="78">
        <f>A40</f>
        <v>182</v>
      </c>
      <c r="E69" s="12" t="s">
        <v>89</v>
      </c>
      <c r="F69" s="12">
        <f>B40</f>
        <v>10</v>
      </c>
      <c r="G69">
        <v>6.4100000000000004E-2</v>
      </c>
      <c r="H69">
        <v>3.7600000000000001E-2</v>
      </c>
      <c r="I69" s="56"/>
      <c r="J69" s="57">
        <f>G72-$J$14</f>
        <v>3.7283333333333335E-2</v>
      </c>
      <c r="K69" s="58">
        <f>H72-$K$14</f>
        <v>2.8999999999999929E-3</v>
      </c>
      <c r="L69" s="56"/>
      <c r="M69" s="62">
        <f t="shared" si="3"/>
        <v>3.6558333333333339E-2</v>
      </c>
      <c r="N69" s="56">
        <f t="shared" si="4"/>
        <v>2.5302753666666673</v>
      </c>
      <c r="O69" s="58">
        <f t="shared" si="5"/>
        <v>5.0605507333333346</v>
      </c>
      <c r="P69" s="56">
        <f>O69/F72</f>
        <v>0.50605507333333344</v>
      </c>
      <c r="Q69" s="57">
        <f>AVERAGE(P69:P71)</f>
        <v>0.54273743333333335</v>
      </c>
      <c r="R69" s="56">
        <f>STDEV(P69:P71)</f>
        <v>3.2924840221741351E-2</v>
      </c>
      <c r="S69" s="58">
        <f>R69/Q69*100</f>
        <v>6.0664399025375282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10</v>
      </c>
      <c r="G70">
        <v>7.1099999999999997E-2</v>
      </c>
      <c r="H70">
        <v>4.2700000000000002E-2</v>
      </c>
      <c r="I70" s="56"/>
      <c r="J70" s="57">
        <f>G73-$J$14</f>
        <v>4.1883333333333328E-2</v>
      </c>
      <c r="K70" s="58">
        <f>H73-$K$14</f>
        <v>2.8999999999999929E-3</v>
      </c>
      <c r="L70" s="56"/>
      <c r="M70" s="62">
        <f t="shared" si="3"/>
        <v>4.1158333333333331E-2</v>
      </c>
      <c r="N70" s="56">
        <f t="shared" si="4"/>
        <v>2.8486505666666666</v>
      </c>
      <c r="O70" s="58">
        <f t="shared" si="5"/>
        <v>5.6973011333333332</v>
      </c>
      <c r="P70" s="56">
        <f>O70/F73</f>
        <v>0.56973011333333334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10</v>
      </c>
      <c r="G71">
        <v>6.6699999999999995E-2</v>
      </c>
      <c r="H71">
        <v>3.8600000000000002E-2</v>
      </c>
      <c r="I71" s="56"/>
      <c r="J71" s="57">
        <f>G74-$J$14</f>
        <v>4.0583333333333332E-2</v>
      </c>
      <c r="K71" s="58">
        <f>H74-$K$14</f>
        <v>2.6999999999999941E-3</v>
      </c>
      <c r="L71" s="56"/>
      <c r="M71" s="62">
        <f t="shared" si="3"/>
        <v>3.9908333333333337E-2</v>
      </c>
      <c r="N71" s="56">
        <f t="shared" si="4"/>
        <v>2.7621355666666672</v>
      </c>
      <c r="O71" s="58">
        <f t="shared" si="5"/>
        <v>5.5242711333333343</v>
      </c>
      <c r="P71" s="56">
        <f>O71/F74</f>
        <v>0.55242711333333339</v>
      </c>
      <c r="Q71" s="57"/>
      <c r="R71" s="56"/>
      <c r="S71" s="58"/>
      <c r="T71" s="56"/>
    </row>
    <row r="72" spans="4:20" ht="14.45" customHeight="1" x14ac:dyDescent="0.25">
      <c r="D72" s="78">
        <f>A41</f>
        <v>183</v>
      </c>
      <c r="E72" s="12" t="s">
        <v>92</v>
      </c>
      <c r="F72" s="12">
        <f>B41</f>
        <v>10</v>
      </c>
      <c r="G72">
        <v>7.3800000000000004E-2</v>
      </c>
      <c r="H72">
        <v>3.8199999999999998E-2</v>
      </c>
      <c r="I72" s="56"/>
      <c r="J72" s="57">
        <f>G75-$J$14</f>
        <v>3.3683333333333329E-2</v>
      </c>
      <c r="K72" s="58">
        <f>H75-$K$14</f>
        <v>2.8999999999999929E-3</v>
      </c>
      <c r="L72" s="56"/>
      <c r="M72" s="62">
        <f t="shared" si="3"/>
        <v>3.2958333333333333E-2</v>
      </c>
      <c r="N72" s="56">
        <f t="shared" si="4"/>
        <v>2.2811121666666669</v>
      </c>
      <c r="O72" s="58">
        <f t="shared" si="5"/>
        <v>4.5622243333333339</v>
      </c>
      <c r="P72" s="56">
        <f>O72/F75</f>
        <v>0.4562224333333334</v>
      </c>
      <c r="Q72" s="57">
        <f>AVERAGE(P72:P74)</f>
        <v>0.48644500666666673</v>
      </c>
      <c r="R72" s="56">
        <f>STDEV(P72:P74)</f>
        <v>3.2983590822664083E-2</v>
      </c>
      <c r="S72" s="58">
        <f>R72/Q72*100</f>
        <v>6.7805384721043858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10</v>
      </c>
      <c r="G73">
        <v>7.8399999999999997E-2</v>
      </c>
      <c r="H73">
        <v>3.8199999999999998E-2</v>
      </c>
      <c r="I73" s="56"/>
      <c r="J73" s="57">
        <f>G76-$J$14</f>
        <v>3.5383333333333336E-2</v>
      </c>
      <c r="K73" s="58">
        <f>H76-$K$14</f>
        <v>2.3999999999999924E-3</v>
      </c>
      <c r="L73" s="56"/>
      <c r="M73" s="62">
        <f t="shared" si="3"/>
        <v>3.478333333333334E-2</v>
      </c>
      <c r="N73" s="56">
        <f t="shared" si="4"/>
        <v>2.4074240666666671</v>
      </c>
      <c r="O73" s="58">
        <f t="shared" si="5"/>
        <v>4.8148481333333342</v>
      </c>
      <c r="P73" s="56">
        <f>O73/F76</f>
        <v>0.48148481333333343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10</v>
      </c>
      <c r="G74">
        <v>7.7100000000000002E-2</v>
      </c>
      <c r="H74">
        <v>3.7999999999999999E-2</v>
      </c>
      <c r="I74" s="56"/>
      <c r="J74" s="57">
        <f>G77-$J$14</f>
        <v>3.8983333333333328E-2</v>
      </c>
      <c r="K74" s="58">
        <f>H77-$K$14</f>
        <v>5.1999999999999963E-3</v>
      </c>
      <c r="L74" s="56"/>
      <c r="M74" s="62">
        <f t="shared" si="3"/>
        <v>3.7683333333333333E-2</v>
      </c>
      <c r="N74" s="56">
        <f t="shared" si="4"/>
        <v>2.6081388666666667</v>
      </c>
      <c r="O74" s="58">
        <f t="shared" si="5"/>
        <v>5.2162777333333334</v>
      </c>
      <c r="P74" s="56">
        <f>O74/F77</f>
        <v>0.52162777333333332</v>
      </c>
      <c r="Q74" s="57"/>
      <c r="R74" s="56"/>
      <c r="S74" s="58"/>
      <c r="T74" s="56"/>
    </row>
    <row r="75" spans="4:20" ht="14.45" customHeight="1" x14ac:dyDescent="0.25">
      <c r="D75" s="78">
        <f>A42</f>
        <v>184</v>
      </c>
      <c r="E75" s="12" t="s">
        <v>95</v>
      </c>
      <c r="F75" s="12">
        <f>B42</f>
        <v>10</v>
      </c>
      <c r="G75">
        <v>7.0199999999999999E-2</v>
      </c>
      <c r="H75">
        <v>3.8199999999999998E-2</v>
      </c>
      <c r="I75" s="56"/>
      <c r="J75" s="57">
        <f>G78-$J$14</f>
        <v>2.5683333333333329E-2</v>
      </c>
      <c r="K75" s="58">
        <f>H78-$K$14</f>
        <v>2.2999999999999965E-3</v>
      </c>
      <c r="L75" s="56"/>
      <c r="M75" s="62">
        <f t="shared" si="3"/>
        <v>2.510833333333333E-2</v>
      </c>
      <c r="N75" s="56">
        <f t="shared" si="4"/>
        <v>1.7377979666666665</v>
      </c>
      <c r="O75" s="58">
        <f t="shared" si="5"/>
        <v>3.4755959333333331</v>
      </c>
      <c r="P75" s="56">
        <f>O75/F78</f>
        <v>0.34755959333333331</v>
      </c>
      <c r="Q75" s="57">
        <f>AVERAGE(P75:P77)</f>
        <v>0.34652141333333336</v>
      </c>
      <c r="R75" s="56">
        <f>STDEV(P75:P77)</f>
        <v>8.8702138083137181E-3</v>
      </c>
      <c r="S75" s="58">
        <f>R75/Q75*100</f>
        <v>2.5597880728314735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10</v>
      </c>
      <c r="G76">
        <v>7.1900000000000006E-2</v>
      </c>
      <c r="H76">
        <v>3.7699999999999997E-2</v>
      </c>
      <c r="I76" s="56"/>
      <c r="J76" s="57">
        <f>G79-$J$14</f>
        <v>2.5583333333333333E-2</v>
      </c>
      <c r="K76" s="58">
        <f>H79-$K$14</f>
        <v>4.8999999999999946E-3</v>
      </c>
      <c r="L76" s="56"/>
      <c r="M76" s="62">
        <f t="shared" si="3"/>
        <v>2.4358333333333336E-2</v>
      </c>
      <c r="N76" s="56">
        <f t="shared" si="4"/>
        <v>1.685888966666667</v>
      </c>
      <c r="O76" s="58">
        <f t="shared" si="5"/>
        <v>3.371777933333334</v>
      </c>
      <c r="P76" s="56">
        <f>O76/F79</f>
        <v>0.33717779333333342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10</v>
      </c>
      <c r="G77">
        <v>7.5499999999999998E-2</v>
      </c>
      <c r="H77">
        <v>4.0500000000000001E-2</v>
      </c>
      <c r="I77" s="56"/>
      <c r="J77" s="57">
        <f>G80-$J$14</f>
        <v>2.6583333333333334E-2</v>
      </c>
      <c r="K77" s="58">
        <f>H80-$K$14</f>
        <v>3.7999999999999978E-3</v>
      </c>
      <c r="L77" s="56"/>
      <c r="M77" s="62">
        <f t="shared" si="3"/>
        <v>2.5633333333333334E-2</v>
      </c>
      <c r="N77" s="56">
        <f t="shared" si="4"/>
        <v>1.7741342666666668</v>
      </c>
      <c r="O77" s="58">
        <f t="shared" si="5"/>
        <v>3.5482685333333337</v>
      </c>
      <c r="P77" s="56">
        <f>O77/F80</f>
        <v>0.35482685333333336</v>
      </c>
      <c r="Q77" s="57"/>
      <c r="R77" s="56"/>
      <c r="S77" s="58"/>
      <c r="T77" s="56"/>
    </row>
    <row r="78" spans="4:20" ht="14.45" customHeight="1" x14ac:dyDescent="0.25">
      <c r="D78" s="78">
        <f>A43</f>
        <v>185</v>
      </c>
      <c r="E78" s="12" t="s">
        <v>98</v>
      </c>
      <c r="F78" s="12">
        <f>B43</f>
        <v>10</v>
      </c>
      <c r="G78">
        <v>6.2199999999999998E-2</v>
      </c>
      <c r="H78">
        <v>3.7600000000000001E-2</v>
      </c>
      <c r="I78" s="56"/>
      <c r="J78" s="57">
        <f>G81-$J$14</f>
        <v>8.4183333333333332E-2</v>
      </c>
      <c r="K78" s="58">
        <f>H81-$K$14</f>
        <v>3.8999999999999937E-3</v>
      </c>
      <c r="L78" s="56"/>
      <c r="M78" s="62">
        <f t="shared" si="3"/>
        <v>8.3208333333333329E-2</v>
      </c>
      <c r="N78" s="56">
        <f t="shared" si="4"/>
        <v>5.7590151666666669</v>
      </c>
      <c r="O78" s="58">
        <f t="shared" si="5"/>
        <v>11.518030333333334</v>
      </c>
      <c r="P78" s="56">
        <f>O78/F81</f>
        <v>1.1518030333333333</v>
      </c>
      <c r="Q78" s="57">
        <f>AVERAGE(P78:P80)</f>
        <v>0.73722315333333333</v>
      </c>
      <c r="R78" s="56">
        <f>STDEV(P78:P80)</f>
        <v>0.35916743668394169</v>
      </c>
      <c r="S78" s="58">
        <f>R78/Q78*100</f>
        <v>48.718957761971588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10</v>
      </c>
      <c r="G79">
        <v>6.2100000000000002E-2</v>
      </c>
      <c r="H79">
        <v>4.02E-2</v>
      </c>
      <c r="I79" s="56"/>
      <c r="J79" s="57">
        <f>G82-$J$14</f>
        <v>4.0083333333333332E-2</v>
      </c>
      <c r="K79" s="58">
        <f>H82-$K$14</f>
        <v>4.3999999999999942E-3</v>
      </c>
      <c r="L79" s="56"/>
      <c r="M79" s="62">
        <f t="shared" si="3"/>
        <v>3.8983333333333335E-2</v>
      </c>
      <c r="N79" s="56">
        <f t="shared" si="4"/>
        <v>2.698114466666667</v>
      </c>
      <c r="O79" s="58">
        <f t="shared" si="5"/>
        <v>5.396228933333334</v>
      </c>
      <c r="P79" s="56">
        <f>O79/F82</f>
        <v>0.53962289333333335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10</v>
      </c>
      <c r="G80">
        <v>6.3100000000000003E-2</v>
      </c>
      <c r="H80">
        <v>3.9100000000000003E-2</v>
      </c>
      <c r="I80" s="56"/>
      <c r="J80" s="57">
        <f>G83-$J$14</f>
        <v>3.8583333333333331E-2</v>
      </c>
      <c r="K80" s="58">
        <f>H83-$K$14</f>
        <v>3.9999999999999966E-3</v>
      </c>
      <c r="L80" s="56"/>
      <c r="M80" s="62">
        <f t="shared" si="3"/>
        <v>3.758333333333333E-2</v>
      </c>
      <c r="N80" s="56">
        <f t="shared" si="4"/>
        <v>2.6012176666666664</v>
      </c>
      <c r="O80" s="58">
        <f t="shared" si="5"/>
        <v>5.2024353333333329</v>
      </c>
      <c r="P80" s="56">
        <f>O80/F83</f>
        <v>0.52024353333333329</v>
      </c>
      <c r="Q80" s="57"/>
      <c r="R80" s="56"/>
      <c r="S80" s="58"/>
      <c r="T80" s="56"/>
    </row>
    <row r="81" spans="4:20" ht="14.45" customHeight="1" x14ac:dyDescent="0.25">
      <c r="D81" s="78">
        <f>A44</f>
        <v>186</v>
      </c>
      <c r="E81" s="12" t="s">
        <v>101</v>
      </c>
      <c r="F81" s="12">
        <f>B44</f>
        <v>10</v>
      </c>
      <c r="G81">
        <v>0.1207</v>
      </c>
      <c r="H81">
        <v>3.9199999999999999E-2</v>
      </c>
      <c r="I81" s="56"/>
      <c r="J81" s="57">
        <f>G84-$J$14</f>
        <v>4.3583333333333335E-2</v>
      </c>
      <c r="K81" s="58">
        <f>H84-$K$14</f>
        <v>3.4999999999999962E-3</v>
      </c>
      <c r="L81" s="56"/>
      <c r="M81" s="62">
        <f t="shared" si="3"/>
        <v>4.2708333333333334E-2</v>
      </c>
      <c r="N81" s="56">
        <f t="shared" si="4"/>
        <v>2.9559291666666669</v>
      </c>
      <c r="O81" s="58">
        <f t="shared" si="5"/>
        <v>5.9118583333333339</v>
      </c>
      <c r="P81" s="56">
        <f>O81/F84</f>
        <v>0.59118583333333341</v>
      </c>
      <c r="Q81" s="57">
        <f>AVERAGE(P81:P83)</f>
        <v>0.61448720666666679</v>
      </c>
      <c r="R81" s="56">
        <f>STDEV(P81:P83)</f>
        <v>2.028612260300458E-2</v>
      </c>
      <c r="S81" s="58">
        <f>R81/Q81*100</f>
        <v>3.3013091864106032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10</v>
      </c>
      <c r="G82">
        <v>7.6600000000000001E-2</v>
      </c>
      <c r="H82">
        <v>3.9699999999999999E-2</v>
      </c>
      <c r="I82" s="56"/>
      <c r="J82" s="57">
        <f>G85-$J$14</f>
        <v>4.5983333333333334E-2</v>
      </c>
      <c r="K82" s="58">
        <f>H85-$K$14</f>
        <v>3.5999999999999921E-3</v>
      </c>
      <c r="L82" s="56"/>
      <c r="M82" s="62">
        <f t="shared" si="3"/>
        <v>4.5083333333333336E-2</v>
      </c>
      <c r="N82" s="56">
        <f t="shared" si="4"/>
        <v>3.1203076666666671</v>
      </c>
      <c r="O82" s="58">
        <f t="shared" si="5"/>
        <v>6.2406153333333343</v>
      </c>
      <c r="P82" s="56">
        <f>O82/F85</f>
        <v>0.62406153333333347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10</v>
      </c>
      <c r="G83">
        <v>7.51E-2</v>
      </c>
      <c r="H83">
        <v>3.9300000000000002E-2</v>
      </c>
      <c r="I83" s="56"/>
      <c r="J83" s="57">
        <f>G86-$J$14</f>
        <v>4.6183333333333326E-2</v>
      </c>
      <c r="K83" s="58">
        <f>H86-$K$14</f>
        <v>3.1999999999999945E-3</v>
      </c>
      <c r="L83" s="56"/>
      <c r="M83" s="62">
        <f t="shared" si="3"/>
        <v>4.5383333333333331E-2</v>
      </c>
      <c r="N83" s="56">
        <f t="shared" si="4"/>
        <v>3.1410712666666667</v>
      </c>
      <c r="O83" s="58">
        <f t="shared" si="5"/>
        <v>6.2821425333333334</v>
      </c>
      <c r="P83" s="56">
        <f>O83/F86</f>
        <v>0.62821425333333336</v>
      </c>
      <c r="Q83" s="57"/>
      <c r="R83" s="56"/>
      <c r="S83" s="58"/>
      <c r="T83" s="56"/>
    </row>
    <row r="84" spans="4:20" ht="14.45" customHeight="1" x14ac:dyDescent="0.25">
      <c r="D84" s="78">
        <f>A45</f>
        <v>187</v>
      </c>
      <c r="E84" s="12" t="s">
        <v>104</v>
      </c>
      <c r="F84" s="12">
        <f>B45</f>
        <v>10</v>
      </c>
      <c r="G84">
        <v>8.0100000000000005E-2</v>
      </c>
      <c r="H84">
        <v>3.8800000000000001E-2</v>
      </c>
      <c r="I84" s="56"/>
      <c r="J84" s="57">
        <f>G87-$J$14</f>
        <v>4.6183333333333326E-2</v>
      </c>
      <c r="K84" s="58">
        <f>H87-$K$14</f>
        <v>3.1999999999999945E-3</v>
      </c>
      <c r="L84" s="56"/>
      <c r="M84" s="62">
        <f t="shared" si="3"/>
        <v>4.5383333333333331E-2</v>
      </c>
      <c r="N84" s="56">
        <f t="shared" si="4"/>
        <v>3.1410712666666667</v>
      </c>
      <c r="O84" s="58">
        <f t="shared" si="5"/>
        <v>6.2821425333333334</v>
      </c>
      <c r="P84" s="56">
        <f>O84/F87</f>
        <v>0.62821425333333336</v>
      </c>
      <c r="Q84" s="57">
        <f>AVERAGE(P84:P86)</f>
        <v>0.66328166666666677</v>
      </c>
      <c r="R84" s="56">
        <f>STDEV(P84:P86)</f>
        <v>3.0753293856816924E-2</v>
      </c>
      <c r="S84" s="58">
        <f>R84/Q84*100</f>
        <v>4.6365360905221644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10</v>
      </c>
      <c r="G85">
        <v>8.2500000000000004E-2</v>
      </c>
      <c r="H85">
        <v>3.8899999999999997E-2</v>
      </c>
      <c r="I85" s="56"/>
      <c r="J85" s="57">
        <f>G88-$J$14</f>
        <v>5.0383333333333336E-2</v>
      </c>
      <c r="K85" s="58">
        <f>H88-$K$14</f>
        <v>3.3999999999999933E-3</v>
      </c>
      <c r="L85" s="56"/>
      <c r="M85" s="62">
        <f t="shared" si="3"/>
        <v>4.9533333333333339E-2</v>
      </c>
      <c r="N85" s="56">
        <f t="shared" si="4"/>
        <v>3.4283010666666671</v>
      </c>
      <c r="O85" s="58">
        <f t="shared" si="5"/>
        <v>6.8566021333333342</v>
      </c>
      <c r="P85" s="56">
        <f>O85/F88</f>
        <v>0.68566021333333338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10</v>
      </c>
      <c r="G86">
        <v>8.2699999999999996E-2</v>
      </c>
      <c r="H86">
        <v>3.85E-2</v>
      </c>
      <c r="I86" s="56"/>
      <c r="J86" s="57">
        <f>G89-$J$14</f>
        <v>4.9783333333333332E-2</v>
      </c>
      <c r="K86" s="58">
        <f>H89-$K$14</f>
        <v>3.7999999999999978E-3</v>
      </c>
      <c r="L86" s="56"/>
      <c r="M86" s="62">
        <f t="shared" si="3"/>
        <v>4.8833333333333333E-2</v>
      </c>
      <c r="N86" s="56">
        <f t="shared" si="4"/>
        <v>3.3798526666666668</v>
      </c>
      <c r="O86" s="58">
        <f t="shared" si="5"/>
        <v>6.7597053333333337</v>
      </c>
      <c r="P86" s="56">
        <f>O86/F89</f>
        <v>0.67597053333333335</v>
      </c>
      <c r="Q86" s="57"/>
      <c r="R86" s="56"/>
      <c r="S86" s="58"/>
      <c r="T86" s="56"/>
    </row>
    <row r="87" spans="4:20" ht="14.45" customHeight="1" x14ac:dyDescent="0.25">
      <c r="D87" s="78">
        <f>A46</f>
        <v>188</v>
      </c>
      <c r="E87" s="12" t="s">
        <v>107</v>
      </c>
      <c r="F87" s="12">
        <f>B46</f>
        <v>10</v>
      </c>
      <c r="G87">
        <v>8.2699999999999996E-2</v>
      </c>
      <c r="H87">
        <v>3.85E-2</v>
      </c>
      <c r="I87" s="56"/>
      <c r="J87" s="57">
        <f>G90-$J$14</f>
        <v>3.128333333333333E-2</v>
      </c>
      <c r="K87" s="58">
        <f>H90-$K$14</f>
        <v>2.7999999999999969E-3</v>
      </c>
      <c r="L87" s="56"/>
      <c r="M87" s="62">
        <f t="shared" si="3"/>
        <v>3.058333333333333E-2</v>
      </c>
      <c r="N87" s="56">
        <f t="shared" si="4"/>
        <v>2.1167336666666667</v>
      </c>
      <c r="O87" s="58">
        <f t="shared" si="5"/>
        <v>4.2334673333333335</v>
      </c>
      <c r="P87" s="56">
        <f>O87/F90</f>
        <v>0.42334673333333334</v>
      </c>
      <c r="Q87" s="57">
        <f>AVERAGE(P87:P89)</f>
        <v>0.45206971333333335</v>
      </c>
      <c r="R87" s="56">
        <f>STDEV(P87:P89)</f>
        <v>2.5009868967325669E-2</v>
      </c>
      <c r="S87" s="58">
        <f>R87/Q87*100</f>
        <v>5.5323035871869291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10</v>
      </c>
      <c r="G88">
        <v>8.6900000000000005E-2</v>
      </c>
      <c r="H88">
        <v>3.8699999999999998E-2</v>
      </c>
      <c r="I88" s="56"/>
      <c r="J88" s="57">
        <f>G91-$J$14</f>
        <v>3.4783333333333333E-2</v>
      </c>
      <c r="K88" s="58">
        <f>H91-$K$14</f>
        <v>3.5999999999999921E-3</v>
      </c>
      <c r="L88" s="56"/>
      <c r="M88" s="62">
        <f t="shared" si="3"/>
        <v>3.3883333333333335E-2</v>
      </c>
      <c r="N88" s="56">
        <f t="shared" si="4"/>
        <v>2.3451332666666667</v>
      </c>
      <c r="O88" s="58">
        <f t="shared" si="5"/>
        <v>4.6902665333333333</v>
      </c>
      <c r="P88" s="56">
        <f>O88/F91</f>
        <v>0.46902665333333332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10</v>
      </c>
      <c r="G89">
        <v>8.6300000000000002E-2</v>
      </c>
      <c r="H89">
        <v>3.9100000000000003E-2</v>
      </c>
      <c r="I89" s="56"/>
      <c r="J89" s="57">
        <f>G92-$J$14</f>
        <v>3.4583333333333327E-2</v>
      </c>
      <c r="K89" s="58">
        <f>H92-$K$14</f>
        <v>4.2999999999999983E-3</v>
      </c>
      <c r="L89" s="56"/>
      <c r="M89" s="62">
        <f t="shared" si="3"/>
        <v>3.3508333333333327E-2</v>
      </c>
      <c r="N89" s="56">
        <f t="shared" si="4"/>
        <v>2.3191787666666666</v>
      </c>
      <c r="O89" s="58">
        <f t="shared" si="5"/>
        <v>4.6383575333333331</v>
      </c>
      <c r="P89" s="56">
        <f>O89/F92</f>
        <v>0.46383575333333332</v>
      </c>
      <c r="Q89" s="57"/>
      <c r="R89" s="56"/>
      <c r="S89" s="58"/>
      <c r="T89" s="56"/>
    </row>
    <row r="90" spans="4:20" ht="14.45" customHeight="1" x14ac:dyDescent="0.25">
      <c r="D90" s="78">
        <f>A47</f>
        <v>189</v>
      </c>
      <c r="E90" s="12" t="s">
        <v>110</v>
      </c>
      <c r="F90" s="12">
        <f>B47</f>
        <v>10</v>
      </c>
      <c r="G90">
        <v>6.7799999999999999E-2</v>
      </c>
      <c r="H90">
        <v>3.8100000000000002E-2</v>
      </c>
      <c r="I90" s="56"/>
      <c r="J90" s="57">
        <f>G96-$J$14</f>
        <v>0.21098333333333333</v>
      </c>
      <c r="K90" s="58">
        <f>H96-$K$14</f>
        <v>0.15490000000000001</v>
      </c>
      <c r="L90" s="56"/>
      <c r="M90" s="62">
        <f t="shared" si="3"/>
        <v>0.17225833333333332</v>
      </c>
      <c r="N90" s="56">
        <f t="shared" si="4"/>
        <v>11.922343766666666</v>
      </c>
      <c r="O90" s="58">
        <f t="shared" si="5"/>
        <v>23.844687533333332</v>
      </c>
      <c r="P90" s="56">
        <f>O90/F96</f>
        <v>2.3844687533333331</v>
      </c>
      <c r="Q90" s="57">
        <f>AVERAGE(P90:P92)</f>
        <v>1.1080841199999998</v>
      </c>
      <c r="R90" s="56">
        <f>STDEV(P90:P92)</f>
        <v>1.1054459916927493</v>
      </c>
      <c r="S90" s="58">
        <f>R90/Q90*100</f>
        <v>99.761919852506281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10</v>
      </c>
      <c r="G91">
        <v>7.1300000000000002E-2</v>
      </c>
      <c r="H91">
        <v>3.8899999999999997E-2</v>
      </c>
      <c r="I91" s="56"/>
      <c r="J91" s="57">
        <f>G97-$J$14</f>
        <v>3.5683333333333331E-2</v>
      </c>
      <c r="K91" s="58">
        <f>H97-$K$14</f>
        <v>3.4999999999999962E-3</v>
      </c>
      <c r="L91" s="56"/>
      <c r="M91" s="62">
        <f t="shared" si="3"/>
        <v>3.480833333333333E-2</v>
      </c>
      <c r="N91" s="56">
        <f t="shared" si="4"/>
        <v>2.4091543666666664</v>
      </c>
      <c r="O91" s="58">
        <f t="shared" si="5"/>
        <v>4.8183087333333328</v>
      </c>
      <c r="P91" s="56">
        <f>O91/F97</f>
        <v>0.4818308733333333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10</v>
      </c>
      <c r="G92">
        <v>7.1099999999999997E-2</v>
      </c>
      <c r="H92">
        <v>3.9600000000000003E-2</v>
      </c>
      <c r="I92" s="56"/>
      <c r="J92" s="57">
        <f>G98-$J$14</f>
        <v>3.3683333333333329E-2</v>
      </c>
      <c r="K92" s="58">
        <f>H98-$K$14</f>
        <v>2.3999999999999924E-3</v>
      </c>
      <c r="L92" s="56"/>
      <c r="M92" s="62">
        <f t="shared" ref="M92:M98" si="47">J92-(0.25*K92)</f>
        <v>3.3083333333333333E-2</v>
      </c>
      <c r="N92" s="56">
        <f t="shared" ref="N92:N98" si="48">M92*69.212</f>
        <v>2.2897636666666665</v>
      </c>
      <c r="O92" s="58">
        <f t="shared" ref="O92:O98" si="49">N92*2</f>
        <v>4.5795273333333331</v>
      </c>
      <c r="P92" s="56">
        <f>O92/F98</f>
        <v>0.45795273333333331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3.5999999999999997E-2</v>
      </c>
      <c r="H93">
        <v>3.5200000000000002E-2</v>
      </c>
      <c r="I93" s="56"/>
      <c r="J93" s="57">
        <f>G99-$J$14</f>
        <v>3.4283333333333332E-2</v>
      </c>
      <c r="K93" s="58">
        <f>H99-$K$14</f>
        <v>3.1999999999999945E-3</v>
      </c>
      <c r="L93" s="56"/>
      <c r="M93" s="62">
        <f t="shared" si="47"/>
        <v>3.3483333333333337E-2</v>
      </c>
      <c r="N93" s="56">
        <f t="shared" si="48"/>
        <v>2.3174484666666673</v>
      </c>
      <c r="O93" s="58">
        <f t="shared" si="49"/>
        <v>4.6348969333333345</v>
      </c>
      <c r="P93" s="56">
        <f>O93/F99</f>
        <v>0.46348969333333345</v>
      </c>
      <c r="Q93" s="57">
        <f>AVERAGE(P93:P95)</f>
        <v>0.50997708666666675</v>
      </c>
      <c r="R93" s="56">
        <f>STDEV(P93:P95)</f>
        <v>4.4168880205621305E-2</v>
      </c>
      <c r="S93" s="58">
        <f>R93/Q93*100</f>
        <v>8.6609538664412877</v>
      </c>
      <c r="T93" s="56"/>
    </row>
    <row r="94" spans="4:20" ht="14.45" customHeight="1" x14ac:dyDescent="0.25">
      <c r="D94" s="71"/>
      <c r="E94" s="17" t="s">
        <v>129</v>
      </c>
      <c r="F94" s="17"/>
      <c r="G94">
        <v>3.7499999999999999E-2</v>
      </c>
      <c r="H94">
        <v>3.6499999999999998E-2</v>
      </c>
      <c r="I94" s="56"/>
      <c r="J94" s="57">
        <f>G100-$J$14</f>
        <v>4.1083333333333333E-2</v>
      </c>
      <c r="K94" s="58">
        <f>H100-$K$14</f>
        <v>4.9999999999999975E-3</v>
      </c>
      <c r="L94" s="56"/>
      <c r="M94" s="62">
        <f t="shared" si="47"/>
        <v>3.9833333333333332E-2</v>
      </c>
      <c r="N94" s="56">
        <f t="shared" si="48"/>
        <v>2.7569446666666666</v>
      </c>
      <c r="O94" s="58">
        <f t="shared" si="49"/>
        <v>5.5138893333333332</v>
      </c>
      <c r="P94" s="56">
        <f>O94/F100</f>
        <v>0.55138893333333328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3.6600000000000001E-2</v>
      </c>
      <c r="H95">
        <v>3.5299999999999998E-2</v>
      </c>
      <c r="I95" s="56"/>
      <c r="J95" s="57">
        <f>G101-$J$14</f>
        <v>3.808333333333333E-2</v>
      </c>
      <c r="K95" s="58">
        <f>H101-$K$14</f>
        <v>3.4999999999999962E-3</v>
      </c>
      <c r="L95" s="56"/>
      <c r="M95" s="62">
        <f t="shared" si="47"/>
        <v>3.7208333333333329E-2</v>
      </c>
      <c r="N95" s="56">
        <f t="shared" si="48"/>
        <v>2.5752631666666663</v>
      </c>
      <c r="O95" s="58">
        <f t="shared" si="49"/>
        <v>5.1505263333333327</v>
      </c>
      <c r="P95" s="56">
        <f>O95/F101</f>
        <v>0.51505263333333329</v>
      </c>
      <c r="Q95" s="57"/>
      <c r="R95" s="56"/>
      <c r="S95" s="58"/>
      <c r="T95" s="56"/>
    </row>
    <row r="96" spans="4:20" ht="14.45" customHeight="1" x14ac:dyDescent="0.25">
      <c r="D96" s="78">
        <f>A48</f>
        <v>190</v>
      </c>
      <c r="E96" s="12" t="s">
        <v>113</v>
      </c>
      <c r="F96" s="12">
        <f>B48</f>
        <v>10</v>
      </c>
      <c r="G96">
        <v>0.2475</v>
      </c>
      <c r="H96">
        <v>0.19020000000000001</v>
      </c>
      <c r="I96" s="56"/>
      <c r="J96" s="57">
        <f>G102-$J$14</f>
        <v>2.2283333333333329E-2</v>
      </c>
      <c r="K96" s="58">
        <f>H102-$K$14</f>
        <v>6.0999999999999943E-3</v>
      </c>
      <c r="L96" s="56"/>
      <c r="M96" s="62">
        <f t="shared" si="47"/>
        <v>2.075833333333333E-2</v>
      </c>
      <c r="N96" s="56">
        <f t="shared" si="48"/>
        <v>1.4367257666666664</v>
      </c>
      <c r="O96" s="58">
        <f t="shared" si="49"/>
        <v>2.8734515333333328</v>
      </c>
      <c r="P96" s="56">
        <f>O96/F102</f>
        <v>0.28734515333333327</v>
      </c>
      <c r="Q96" s="57">
        <f>AVERAGE(P96:P98)</f>
        <v>0.29888048666666672</v>
      </c>
      <c r="R96" s="56">
        <f>STDEV(P96:P98)</f>
        <v>1.1593440414895585E-2</v>
      </c>
      <c r="S96" s="58">
        <f>R96/Q96*100</f>
        <v>3.8789552788119734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10</v>
      </c>
      <c r="G97">
        <v>7.22E-2</v>
      </c>
      <c r="H97">
        <v>3.8800000000000001E-2</v>
      </c>
      <c r="I97" s="56"/>
      <c r="J97" s="57">
        <f>G103-$J$14</f>
        <v>2.428333333333333E-2</v>
      </c>
      <c r="K97" s="58">
        <f>H103-$K$14</f>
        <v>7.3999999999999969E-3</v>
      </c>
      <c r="L97" s="56"/>
      <c r="M97" s="62">
        <f t="shared" si="47"/>
        <v>2.2433333333333333E-2</v>
      </c>
      <c r="N97" s="56">
        <f t="shared" si="48"/>
        <v>1.5526558666666668</v>
      </c>
      <c r="O97" s="58">
        <f t="shared" si="49"/>
        <v>3.1053117333333335</v>
      </c>
      <c r="P97" s="56">
        <f>O97/F103</f>
        <v>0.31053117333333335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10</v>
      </c>
      <c r="G98">
        <v>7.0199999999999999E-2</v>
      </c>
      <c r="H98">
        <v>3.7699999999999997E-2</v>
      </c>
      <c r="I98" s="56"/>
      <c r="J98" s="65">
        <f>G104-$J$14</f>
        <v>2.3183333333333334E-2</v>
      </c>
      <c r="K98" s="66">
        <f>H104-$K$14</f>
        <v>6.399999999999996E-3</v>
      </c>
      <c r="L98" s="56"/>
      <c r="M98" s="69">
        <f t="shared" si="47"/>
        <v>2.1583333333333336E-2</v>
      </c>
      <c r="N98" s="56">
        <f t="shared" si="48"/>
        <v>1.4938256666666669</v>
      </c>
      <c r="O98" s="66">
        <f t="shared" si="49"/>
        <v>2.9876513333333339</v>
      </c>
      <c r="P98" s="70">
        <f>O98/F104</f>
        <v>0.29876513333333338</v>
      </c>
      <c r="Q98" s="65"/>
      <c r="R98" s="70"/>
      <c r="S98" s="66"/>
      <c r="T98" s="56"/>
    </row>
    <row r="99" spans="4:20" x14ac:dyDescent="0.25">
      <c r="D99" s="78">
        <f>A49</f>
        <v>191</v>
      </c>
      <c r="E99" s="12" t="s">
        <v>116</v>
      </c>
      <c r="F99" s="12">
        <f>B49</f>
        <v>10</v>
      </c>
      <c r="G99">
        <v>7.0800000000000002E-2</v>
      </c>
      <c r="H99">
        <v>3.85E-2</v>
      </c>
      <c r="N99" s="35"/>
    </row>
    <row r="100" spans="4:20" x14ac:dyDescent="0.25">
      <c r="D100" s="79"/>
      <c r="E100" s="17" t="s">
        <v>117</v>
      </c>
      <c r="F100" s="17">
        <f t="shared" si="45"/>
        <v>10</v>
      </c>
      <c r="G100">
        <v>7.7600000000000002E-2</v>
      </c>
      <c r="H100">
        <v>4.0300000000000002E-2</v>
      </c>
    </row>
    <row r="101" spans="4:20" x14ac:dyDescent="0.25">
      <c r="D101" s="80"/>
      <c r="E101" s="22" t="s">
        <v>118</v>
      </c>
      <c r="F101" s="22">
        <f t="shared" si="46"/>
        <v>10</v>
      </c>
      <c r="G101">
        <v>7.46E-2</v>
      </c>
      <c r="H101">
        <v>3.8800000000000001E-2</v>
      </c>
    </row>
    <row r="102" spans="4:20" x14ac:dyDescent="0.25">
      <c r="D102" s="78">
        <f>A50</f>
        <v>192</v>
      </c>
      <c r="E102" s="12" t="s">
        <v>119</v>
      </c>
      <c r="F102" s="12">
        <f>B50</f>
        <v>10</v>
      </c>
      <c r="G102">
        <v>5.8799999999999998E-2</v>
      </c>
      <c r="H102">
        <v>4.1399999999999999E-2</v>
      </c>
    </row>
    <row r="103" spans="4:20" x14ac:dyDescent="0.25">
      <c r="D103" s="79"/>
      <c r="E103" s="17" t="s">
        <v>120</v>
      </c>
      <c r="F103" s="17">
        <f t="shared" si="45"/>
        <v>10</v>
      </c>
      <c r="G103">
        <v>6.08E-2</v>
      </c>
      <c r="H103">
        <v>4.2700000000000002E-2</v>
      </c>
    </row>
    <row r="104" spans="4:20" x14ac:dyDescent="0.25">
      <c r="D104" s="80"/>
      <c r="E104" s="22" t="s">
        <v>121</v>
      </c>
      <c r="F104" s="22">
        <f t="shared" si="46"/>
        <v>10</v>
      </c>
      <c r="G104">
        <v>5.9700000000000003E-2</v>
      </c>
      <c r="H104">
        <v>4.1700000000000001E-2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CC0B-2503-43BC-B3BA-870FF5523838}">
  <dimension ref="A1:X104"/>
  <sheetViews>
    <sheetView tabSelected="1" topLeftCell="A7" zoomScale="80" zoomScaleNormal="80" workbookViewId="0">
      <selection activeCell="T27" sqref="T27:U36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5:17" x14ac:dyDescent="0.25">
      <c r="E1" s="81" t="s">
        <v>0</v>
      </c>
      <c r="F1" s="81"/>
      <c r="G1" s="81"/>
    </row>
    <row r="2" spans="5:17" x14ac:dyDescent="0.25">
      <c r="E2" s="81"/>
      <c r="F2" s="81"/>
      <c r="G2" s="81"/>
    </row>
    <row r="4" spans="5:17" ht="28.5" customHeight="1" x14ac:dyDescent="0.25">
      <c r="E4" s="1"/>
      <c r="F4" s="82" t="s">
        <v>1</v>
      </c>
      <c r="G4" s="83"/>
      <c r="I4" s="1"/>
      <c r="J4" s="82" t="s">
        <v>1</v>
      </c>
      <c r="K4" s="83"/>
      <c r="L4" s="2"/>
      <c r="M4" s="72" t="s">
        <v>2</v>
      </c>
      <c r="N4" s="73"/>
      <c r="O4" s="2"/>
      <c r="P4" s="84" t="s">
        <v>3</v>
      </c>
      <c r="Q4" s="85"/>
    </row>
    <row r="5" spans="5:17" ht="17.25" customHeight="1" x14ac:dyDescent="0.25"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4" t="s">
        <v>1</v>
      </c>
      <c r="Q5" s="85"/>
    </row>
    <row r="6" spans="5:17" x14ac:dyDescent="0.25">
      <c r="E6" s="11" t="s">
        <v>8</v>
      </c>
      <c r="F6">
        <v>3.49E-2</v>
      </c>
      <c r="G6">
        <v>3.4299999999999997E-2</v>
      </c>
      <c r="I6" s="13">
        <v>12.5</v>
      </c>
      <c r="J6" s="14">
        <f>AVERAGE(F9:F11,G66)</f>
        <v>0.22867500000000002</v>
      </c>
      <c r="K6" s="15">
        <f>AVERAGE(G9:G11,H66)</f>
        <v>3.6850000000000001E-2</v>
      </c>
      <c r="M6" s="14">
        <f>J6-$J$14</f>
        <v>0.19117500000000001</v>
      </c>
      <c r="N6" s="15">
        <f>K6-$K$14</f>
        <v>5.8333333333333154E-4</v>
      </c>
      <c r="P6" s="1" t="s">
        <v>5</v>
      </c>
      <c r="Q6" s="7" t="s">
        <v>7</v>
      </c>
    </row>
    <row r="7" spans="5:17" x14ac:dyDescent="0.25">
      <c r="E7" s="16" t="s">
        <v>9</v>
      </c>
      <c r="F7">
        <v>3.85E-2</v>
      </c>
      <c r="G7">
        <v>3.6799999999999999E-2</v>
      </c>
      <c r="I7" s="18">
        <v>25</v>
      </c>
      <c r="J7" s="19">
        <f>AVERAGE(F12:F14)</f>
        <v>0.53520000000000001</v>
      </c>
      <c r="K7" s="20">
        <f>AVERAGE(G12:G14)</f>
        <v>3.7666666666666668E-2</v>
      </c>
      <c r="M7" s="19">
        <f>J7-$J$14</f>
        <v>0.49770000000000003</v>
      </c>
      <c r="N7" s="20">
        <f>K7-$K$14</f>
        <v>1.3999999999999985E-3</v>
      </c>
      <c r="P7" s="17">
        <f>M6</f>
        <v>0.19117500000000001</v>
      </c>
      <c r="Q7" s="12">
        <v>12.5</v>
      </c>
    </row>
    <row r="8" spans="5:17" x14ac:dyDescent="0.25">
      <c r="E8" s="21" t="s">
        <v>10</v>
      </c>
      <c r="F8">
        <v>3.8800000000000001E-2</v>
      </c>
      <c r="G8">
        <v>3.7100000000000001E-2</v>
      </c>
      <c r="I8" s="18">
        <v>50</v>
      </c>
      <c r="J8" s="19">
        <f>AVERAGE(F15:F17,G67)</f>
        <v>0.81502500000000011</v>
      </c>
      <c r="K8" s="20">
        <f>AVERAGE(G15:G17,H67)</f>
        <v>3.705E-2</v>
      </c>
      <c r="M8" s="19">
        <f>J8-$J$14</f>
        <v>0.77752500000000013</v>
      </c>
      <c r="N8" s="20">
        <f>K8-$K$14</f>
        <v>7.8333333333333033E-4</v>
      </c>
      <c r="P8" s="17">
        <f>M7</f>
        <v>0.49770000000000003</v>
      </c>
      <c r="Q8" s="17">
        <v>25</v>
      </c>
    </row>
    <row r="9" spans="5:17" x14ac:dyDescent="0.25">
      <c r="E9" s="11" t="s">
        <v>11</v>
      </c>
      <c r="F9">
        <v>0.20630000000000001</v>
      </c>
      <c r="G9">
        <v>3.6799999999999999E-2</v>
      </c>
      <c r="I9" s="18">
        <v>100</v>
      </c>
      <c r="J9" s="19">
        <f>AVERAGE(F18:F20,G68)</f>
        <v>2.0442999999999998</v>
      </c>
      <c r="K9" s="20">
        <f>AVERAGE(G18:G20,H68)</f>
        <v>3.5975E-2</v>
      </c>
      <c r="M9" s="19">
        <f>J9-$J$14</f>
        <v>2.0067999999999997</v>
      </c>
      <c r="N9" s="20">
        <f>K9-$K$14</f>
        <v>-2.9166666666666924E-4</v>
      </c>
      <c r="P9" s="17">
        <f>M8</f>
        <v>0.77752500000000013</v>
      </c>
      <c r="Q9" s="17">
        <v>50</v>
      </c>
    </row>
    <row r="10" spans="5:17" x14ac:dyDescent="0.25">
      <c r="E10" s="16" t="s">
        <v>12</v>
      </c>
      <c r="F10">
        <v>0.2457</v>
      </c>
      <c r="G10">
        <v>3.7499999999999999E-2</v>
      </c>
      <c r="I10" s="23">
        <v>250</v>
      </c>
      <c r="J10" s="24">
        <f>AVERAGE(F21:F23)</f>
        <v>3.7639666666666667</v>
      </c>
      <c r="K10" s="25">
        <f>AVERAGE(G21:G23)</f>
        <v>3.56E-2</v>
      </c>
      <c r="M10" s="19">
        <f>J10-$J$14</f>
        <v>3.7264666666666666</v>
      </c>
      <c r="N10" s="20">
        <f>K10-$K$14</f>
        <v>-6.6666666666666957E-4</v>
      </c>
      <c r="P10" s="17">
        <f>M9</f>
        <v>2.0067999999999997</v>
      </c>
      <c r="Q10" s="17">
        <v>100</v>
      </c>
    </row>
    <row r="11" spans="5:17" x14ac:dyDescent="0.25">
      <c r="E11" s="21" t="s">
        <v>13</v>
      </c>
      <c r="F11">
        <v>0.21990000000000001</v>
      </c>
      <c r="G11">
        <v>3.7600000000000001E-2</v>
      </c>
      <c r="I11" s="26" t="s">
        <v>14</v>
      </c>
      <c r="J11" s="13">
        <f t="shared" ref="J11:K13" si="0">F6</f>
        <v>3.49E-2</v>
      </c>
      <c r="K11" s="27">
        <f t="shared" si="0"/>
        <v>3.4299999999999997E-2</v>
      </c>
      <c r="M11" s="23"/>
      <c r="N11" s="28"/>
      <c r="P11" s="22">
        <f>M10</f>
        <v>3.7264666666666666</v>
      </c>
      <c r="Q11" s="22">
        <v>250</v>
      </c>
    </row>
    <row r="12" spans="5:17" x14ac:dyDescent="0.25">
      <c r="E12" s="11" t="s">
        <v>15</v>
      </c>
      <c r="F12">
        <v>0.50029999999999997</v>
      </c>
      <c r="G12">
        <v>3.73E-2</v>
      </c>
      <c r="I12" s="29" t="s">
        <v>14</v>
      </c>
      <c r="J12" s="18">
        <f t="shared" si="0"/>
        <v>3.85E-2</v>
      </c>
      <c r="K12" s="30">
        <f t="shared" si="0"/>
        <v>3.6799999999999999E-2</v>
      </c>
    </row>
    <row r="13" spans="5:17" x14ac:dyDescent="0.25">
      <c r="E13" s="16" t="s">
        <v>16</v>
      </c>
      <c r="F13">
        <v>0.57240000000000002</v>
      </c>
      <c r="G13">
        <v>3.8800000000000001E-2</v>
      </c>
      <c r="I13" s="31" t="s">
        <v>14</v>
      </c>
      <c r="J13" s="23">
        <f t="shared" si="0"/>
        <v>3.8800000000000001E-2</v>
      </c>
      <c r="K13" s="28">
        <f t="shared" si="0"/>
        <v>3.7100000000000001E-2</v>
      </c>
    </row>
    <row r="14" spans="5:17" x14ac:dyDescent="0.25">
      <c r="E14" s="21" t="s">
        <v>17</v>
      </c>
      <c r="F14">
        <v>0.53290000000000004</v>
      </c>
      <c r="G14">
        <v>3.6900000000000002E-2</v>
      </c>
      <c r="I14" s="32" t="s">
        <v>18</v>
      </c>
      <c r="J14" s="33">
        <f>AVERAGE(J11:J13,G93:G95)</f>
        <v>3.7499999999999999E-2</v>
      </c>
      <c r="K14" s="34">
        <f>AVERAGE(K11:K13,H93:H95)</f>
        <v>3.6266666666666669E-2</v>
      </c>
    </row>
    <row r="15" spans="5:17" x14ac:dyDescent="0.25">
      <c r="E15" s="11" t="s">
        <v>19</v>
      </c>
      <c r="F15">
        <v>1.1069</v>
      </c>
      <c r="G15">
        <v>3.8399999999999997E-2</v>
      </c>
      <c r="M15" s="13" t="s">
        <v>20</v>
      </c>
      <c r="N15" s="35"/>
      <c r="O15" s="27"/>
    </row>
    <row r="16" spans="5:17" x14ac:dyDescent="0.25">
      <c r="E16" s="16" t="s">
        <v>21</v>
      </c>
      <c r="F16">
        <v>1.1331</v>
      </c>
      <c r="G16">
        <v>3.9300000000000002E-2</v>
      </c>
      <c r="M16" s="18" t="s">
        <v>22</v>
      </c>
      <c r="O16" s="30"/>
    </row>
    <row r="17" spans="1:24" x14ac:dyDescent="0.25">
      <c r="E17" s="21" t="s">
        <v>23</v>
      </c>
      <c r="F17">
        <v>0.50380000000000003</v>
      </c>
      <c r="G17">
        <v>3.5499999999999997E-2</v>
      </c>
      <c r="M17" s="23" t="s">
        <v>124</v>
      </c>
      <c r="N17" s="36"/>
      <c r="O17" s="28"/>
    </row>
    <row r="18" spans="1:24" x14ac:dyDescent="0.25">
      <c r="E18" s="11" t="s">
        <v>24</v>
      </c>
      <c r="F18">
        <v>1.986</v>
      </c>
      <c r="G18">
        <v>3.9E-2</v>
      </c>
      <c r="I18" s="84" t="s">
        <v>25</v>
      </c>
      <c r="J18" s="86"/>
      <c r="K18" s="85"/>
      <c r="W18" s="37"/>
      <c r="X18" s="37"/>
    </row>
    <row r="19" spans="1:24" ht="18" x14ac:dyDescent="0.25">
      <c r="E19" s="16" t="s">
        <v>26</v>
      </c>
      <c r="F19">
        <v>2.0381999999999998</v>
      </c>
      <c r="G19">
        <v>3.4599999999999999E-2</v>
      </c>
      <c r="I19" s="38" t="s">
        <v>27</v>
      </c>
      <c r="J19" s="36"/>
      <c r="K19" s="28"/>
    </row>
    <row r="20" spans="1:24" x14ac:dyDescent="0.25">
      <c r="E20" s="21" t="s">
        <v>28</v>
      </c>
      <c r="F20">
        <v>2.0922000000000001</v>
      </c>
      <c r="G20">
        <v>3.5000000000000003E-2</v>
      </c>
      <c r="U20" s="37"/>
      <c r="V20" s="37"/>
    </row>
    <row r="21" spans="1:24" x14ac:dyDescent="0.25">
      <c r="E21" s="11" t="s">
        <v>29</v>
      </c>
      <c r="F21">
        <v>3.7077</v>
      </c>
      <c r="G21">
        <v>3.4700000000000002E-2</v>
      </c>
      <c r="U21" s="37"/>
      <c r="V21" s="37"/>
    </row>
    <row r="22" spans="1:24" x14ac:dyDescent="0.25">
      <c r="E22" s="16" t="s">
        <v>30</v>
      </c>
      <c r="F22">
        <v>3.7734999999999999</v>
      </c>
      <c r="G22">
        <v>3.5900000000000001E-2</v>
      </c>
      <c r="U22" s="37"/>
      <c r="V22" s="37"/>
    </row>
    <row r="23" spans="1:24" x14ac:dyDescent="0.25">
      <c r="E23" s="21" t="s">
        <v>31</v>
      </c>
      <c r="F23">
        <v>3.8107000000000002</v>
      </c>
      <c r="G23">
        <v>3.6200000000000003E-2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7" t="s">
        <v>32</v>
      </c>
      <c r="B25" s="88"/>
      <c r="J25" s="36"/>
      <c r="K25" s="36"/>
      <c r="M25" s="74"/>
      <c r="N25" s="77" t="s">
        <v>33</v>
      </c>
      <c r="O25" s="42" t="s">
        <v>123</v>
      </c>
      <c r="P25" s="76" t="s">
        <v>34</v>
      </c>
      <c r="Q25" s="72" t="s">
        <v>35</v>
      </c>
      <c r="R25" s="76" t="s">
        <v>36</v>
      </c>
      <c r="S25" s="75" t="s">
        <v>36</v>
      </c>
      <c r="T25" s="73" t="s">
        <v>37</v>
      </c>
      <c r="U25" s="6" t="s">
        <v>35</v>
      </c>
      <c r="V25" s="37"/>
    </row>
    <row r="26" spans="1:24" ht="30.75" customHeight="1" x14ac:dyDescent="0.25">
      <c r="A26" s="45" t="s">
        <v>38</v>
      </c>
      <c r="B26" s="1" t="s">
        <v>39</v>
      </c>
      <c r="D26" s="46" t="s">
        <v>37</v>
      </c>
      <c r="E26" s="46" t="s">
        <v>40</v>
      </c>
      <c r="F26" s="47" t="s">
        <v>41</v>
      </c>
      <c r="G26" s="47" t="s">
        <v>5</v>
      </c>
      <c r="H26" s="47" t="s">
        <v>6</v>
      </c>
      <c r="I26" s="48"/>
      <c r="J26" s="49" t="s">
        <v>42</v>
      </c>
      <c r="K26" s="50" t="s">
        <v>43</v>
      </c>
      <c r="M26" s="47" t="s">
        <v>44</v>
      </c>
      <c r="N26" s="51" t="s">
        <v>45</v>
      </c>
      <c r="O26" s="52" t="s">
        <v>46</v>
      </c>
      <c r="P26" s="53" t="s">
        <v>47</v>
      </c>
      <c r="Q26" s="72" t="s">
        <v>48</v>
      </c>
      <c r="R26" s="41" t="s">
        <v>48</v>
      </c>
      <c r="S26" s="75" t="s">
        <v>49</v>
      </c>
      <c r="T26" s="75"/>
      <c r="U26" s="6" t="s">
        <v>48</v>
      </c>
      <c r="V26" s="37"/>
    </row>
    <row r="27" spans="1:24" ht="15" customHeight="1" x14ac:dyDescent="0.25">
      <c r="A27" s="18">
        <v>193</v>
      </c>
      <c r="B27" s="30">
        <v>10</v>
      </c>
      <c r="D27" s="78">
        <f>A27</f>
        <v>193</v>
      </c>
      <c r="E27" s="12" t="s">
        <v>50</v>
      </c>
      <c r="F27" s="12">
        <f>B27</f>
        <v>10</v>
      </c>
      <c r="G27">
        <v>4.7899999999999998E-2</v>
      </c>
      <c r="H27">
        <v>3.6700000000000003E-2</v>
      </c>
      <c r="I27" s="56"/>
      <c r="J27" s="57">
        <f t="shared" ref="J27:J65" si="1">G27-$J$14</f>
        <v>1.04E-2</v>
      </c>
      <c r="K27" s="58">
        <f t="shared" ref="K27:K65" si="2">H27-$K$14</f>
        <v>4.3333333333333418E-4</v>
      </c>
      <c r="L27" s="56"/>
      <c r="M27" s="59">
        <f>J27-(0.25*K27)</f>
        <v>1.0291666666666666E-2</v>
      </c>
      <c r="N27" s="56">
        <f>M27*65.916</f>
        <v>0.67838549999999997</v>
      </c>
      <c r="O27" s="58">
        <f>N27*2</f>
        <v>1.3567709999999999</v>
      </c>
      <c r="P27" s="56">
        <f>O27/F27</f>
        <v>0.13567709999999999</v>
      </c>
      <c r="Q27" s="57">
        <f>AVERAGE(P27:P29)</f>
        <v>0.14611380000000002</v>
      </c>
      <c r="R27" s="56">
        <f>STDEV(P27:P29)</f>
        <v>1.4268695295380017E-2</v>
      </c>
      <c r="S27" s="58">
        <f>R27/Q27*100</f>
        <v>9.7654672559197113</v>
      </c>
      <c r="T27" s="60">
        <f>D27</f>
        <v>193</v>
      </c>
      <c r="U27" s="61">
        <f>Q27</f>
        <v>0.14611380000000002</v>
      </c>
      <c r="V27" s="37"/>
    </row>
    <row r="28" spans="1:24" ht="14.45" customHeight="1" x14ac:dyDescent="0.25">
      <c r="A28" s="18">
        <v>194</v>
      </c>
      <c r="B28" s="30">
        <v>10</v>
      </c>
      <c r="D28" s="79"/>
      <c r="E28" s="17" t="s">
        <v>51</v>
      </c>
      <c r="F28" s="17">
        <f>F27</f>
        <v>10</v>
      </c>
      <c r="G28">
        <v>5.0299999999999997E-2</v>
      </c>
      <c r="H28">
        <v>3.8199999999999998E-2</v>
      </c>
      <c r="I28" s="56"/>
      <c r="J28" s="57">
        <f t="shared" si="1"/>
        <v>1.2799999999999999E-2</v>
      </c>
      <c r="K28" s="58">
        <f t="shared" si="2"/>
        <v>1.9333333333333286E-3</v>
      </c>
      <c r="L28" s="56"/>
      <c r="M28" s="62">
        <f t="shared" ref="M28:M91" si="3">J28-(0.25*K28)</f>
        <v>1.2316666666666667E-2</v>
      </c>
      <c r="N28" s="56">
        <f t="shared" ref="N28:N91" si="4">M28*65.916</f>
        <v>0.81186539999999996</v>
      </c>
      <c r="O28" s="58">
        <f t="shared" ref="O28:O91" si="5">N28*2</f>
        <v>1.6237307999999999</v>
      </c>
      <c r="P28" s="56">
        <f t="shared" ref="P28:P65" si="6">O28/F28</f>
        <v>0.16237308</v>
      </c>
      <c r="Q28" s="57"/>
      <c r="R28" s="56"/>
      <c r="S28" s="58"/>
      <c r="T28" s="63">
        <f>D30</f>
        <v>194</v>
      </c>
      <c r="U28" s="64">
        <f>Q30</f>
        <v>0.32375742000000002</v>
      </c>
    </row>
    <row r="29" spans="1:24" ht="14.45" customHeight="1" x14ac:dyDescent="0.25">
      <c r="A29" s="18">
        <v>195</v>
      </c>
      <c r="B29" s="30">
        <v>10</v>
      </c>
      <c r="D29" s="80"/>
      <c r="E29" s="22" t="s">
        <v>52</v>
      </c>
      <c r="F29" s="22">
        <f>F27</f>
        <v>10</v>
      </c>
      <c r="G29">
        <v>4.9000000000000002E-2</v>
      </c>
      <c r="H29">
        <v>3.9699999999999999E-2</v>
      </c>
      <c r="I29" s="56"/>
      <c r="J29" s="57">
        <f t="shared" si="1"/>
        <v>1.1500000000000003E-2</v>
      </c>
      <c r="K29" s="58">
        <f t="shared" si="2"/>
        <v>3.4333333333333299E-3</v>
      </c>
      <c r="L29" s="56"/>
      <c r="M29" s="62">
        <f t="shared" si="3"/>
        <v>1.0641666666666671E-2</v>
      </c>
      <c r="N29" s="56">
        <f t="shared" si="4"/>
        <v>0.70145610000000025</v>
      </c>
      <c r="O29" s="58">
        <f t="shared" si="5"/>
        <v>1.4029122000000005</v>
      </c>
      <c r="P29" s="56">
        <f t="shared" si="6"/>
        <v>0.14029122000000005</v>
      </c>
      <c r="Q29" s="57"/>
      <c r="R29" s="56"/>
      <c r="S29" s="58"/>
      <c r="T29" s="63">
        <f>D33</f>
        <v>195</v>
      </c>
      <c r="U29" s="64">
        <f>Q33</f>
        <v>0.65037120000000004</v>
      </c>
    </row>
    <row r="30" spans="1:24" ht="14.45" customHeight="1" x14ac:dyDescent="0.25">
      <c r="A30" s="18">
        <v>196</v>
      </c>
      <c r="B30" s="30">
        <v>10</v>
      </c>
      <c r="D30" s="78">
        <f>A28</f>
        <v>194</v>
      </c>
      <c r="E30" s="12" t="s">
        <v>53</v>
      </c>
      <c r="F30" s="12">
        <f>B28</f>
        <v>10</v>
      </c>
      <c r="G30">
        <v>6.0100000000000001E-2</v>
      </c>
      <c r="H30">
        <v>3.8399999999999997E-2</v>
      </c>
      <c r="I30" s="56"/>
      <c r="J30" s="57">
        <f t="shared" si="1"/>
        <v>2.2600000000000002E-2</v>
      </c>
      <c r="K30" s="58">
        <f t="shared" si="2"/>
        <v>2.1333333333333274E-3</v>
      </c>
      <c r="L30" s="56"/>
      <c r="M30" s="62">
        <f t="shared" si="3"/>
        <v>2.2066666666666672E-2</v>
      </c>
      <c r="N30" s="56">
        <f t="shared" si="4"/>
        <v>1.4545464000000004</v>
      </c>
      <c r="O30" s="58">
        <f t="shared" si="5"/>
        <v>2.9090928000000007</v>
      </c>
      <c r="P30" s="56">
        <f t="shared" si="6"/>
        <v>0.29090928000000005</v>
      </c>
      <c r="Q30" s="57">
        <f>AVERAGE(P30:P32)</f>
        <v>0.32375742000000002</v>
      </c>
      <c r="R30" s="56">
        <f>STDEV(P30:P32)</f>
        <v>2.8584930227999461E-2</v>
      </c>
      <c r="S30" s="58">
        <f>R30/Q30*100</f>
        <v>8.8291197242674642</v>
      </c>
      <c r="T30" s="63">
        <f>D36</f>
        <v>196</v>
      </c>
      <c r="U30" s="64">
        <f>Q36</f>
        <v>0.47459519999999999</v>
      </c>
    </row>
    <row r="31" spans="1:24" ht="14.45" customHeight="1" x14ac:dyDescent="0.25">
      <c r="A31" s="18">
        <v>197</v>
      </c>
      <c r="B31" s="30">
        <v>10</v>
      </c>
      <c r="D31" s="79"/>
      <c r="E31" s="17" t="s">
        <v>54</v>
      </c>
      <c r="F31" s="17">
        <f t="shared" ref="F31" si="7">F30</f>
        <v>10</v>
      </c>
      <c r="G31">
        <v>6.4199999999999993E-2</v>
      </c>
      <c r="H31">
        <v>3.9E-2</v>
      </c>
      <c r="I31" s="56"/>
      <c r="J31" s="57">
        <f t="shared" si="1"/>
        <v>2.6699999999999995E-2</v>
      </c>
      <c r="K31" s="58">
        <f t="shared" si="2"/>
        <v>2.7333333333333307E-3</v>
      </c>
      <c r="L31" s="56"/>
      <c r="M31" s="62">
        <f t="shared" si="3"/>
        <v>2.601666666666666E-2</v>
      </c>
      <c r="N31" s="56">
        <f t="shared" si="4"/>
        <v>1.7149145999999995</v>
      </c>
      <c r="O31" s="58">
        <f t="shared" si="5"/>
        <v>3.429829199999999</v>
      </c>
      <c r="P31" s="56">
        <f t="shared" si="6"/>
        <v>0.34298291999999991</v>
      </c>
      <c r="Q31" s="57"/>
      <c r="R31" s="56"/>
      <c r="S31" s="58"/>
      <c r="T31" s="63">
        <f>D39</f>
        <v>197</v>
      </c>
      <c r="U31" s="64">
        <f>Q39</f>
        <v>0.46086270000000007</v>
      </c>
    </row>
    <row r="32" spans="1:24" ht="14.45" customHeight="1" x14ac:dyDescent="0.25">
      <c r="A32" s="18">
        <v>198</v>
      </c>
      <c r="B32" s="30">
        <v>10</v>
      </c>
      <c r="D32" s="80"/>
      <c r="E32" s="22" t="s">
        <v>55</v>
      </c>
      <c r="F32" s="22">
        <f t="shared" ref="F32" si="8">F30</f>
        <v>10</v>
      </c>
      <c r="G32">
        <v>6.4000000000000001E-2</v>
      </c>
      <c r="H32">
        <v>3.9899999999999998E-2</v>
      </c>
      <c r="I32" s="56"/>
      <c r="J32" s="57">
        <f t="shared" si="1"/>
        <v>2.6500000000000003E-2</v>
      </c>
      <c r="K32" s="58">
        <f t="shared" si="2"/>
        <v>3.6333333333333287E-3</v>
      </c>
      <c r="L32" s="56"/>
      <c r="M32" s="62">
        <f t="shared" si="3"/>
        <v>2.5591666666666672E-2</v>
      </c>
      <c r="N32" s="56">
        <f t="shared" si="4"/>
        <v>1.6869003000000002</v>
      </c>
      <c r="O32" s="58">
        <f t="shared" si="5"/>
        <v>3.3738006000000005</v>
      </c>
      <c r="P32" s="56">
        <f t="shared" si="6"/>
        <v>0.33738006000000004</v>
      </c>
      <c r="Q32" s="57"/>
      <c r="R32" s="56"/>
      <c r="S32" s="58"/>
      <c r="T32" s="63">
        <f>D42</f>
        <v>198</v>
      </c>
      <c r="U32" s="64">
        <f>Q42</f>
        <v>0.13655598000000005</v>
      </c>
    </row>
    <row r="33" spans="1:21" ht="14.45" customHeight="1" x14ac:dyDescent="0.25">
      <c r="A33" s="18">
        <v>199</v>
      </c>
      <c r="B33" s="30">
        <v>10</v>
      </c>
      <c r="D33" s="78">
        <f>A29</f>
        <v>195</v>
      </c>
      <c r="E33" s="12" t="s">
        <v>56</v>
      </c>
      <c r="F33" s="12">
        <f>B29</f>
        <v>10</v>
      </c>
      <c r="G33">
        <v>0.17780000000000001</v>
      </c>
      <c r="H33">
        <v>0.13569999999999999</v>
      </c>
      <c r="I33" s="56"/>
      <c r="J33" s="57">
        <f t="shared" si="1"/>
        <v>0.14030000000000001</v>
      </c>
      <c r="K33" s="58">
        <f t="shared" si="2"/>
        <v>9.9433333333333318E-2</v>
      </c>
      <c r="L33" s="56"/>
      <c r="M33" s="62">
        <f t="shared" si="3"/>
        <v>0.11544166666666668</v>
      </c>
      <c r="N33" s="56">
        <f t="shared" si="4"/>
        <v>7.6094529000000009</v>
      </c>
      <c r="O33" s="58">
        <f t="shared" si="5"/>
        <v>15.218905800000002</v>
      </c>
      <c r="P33" s="56">
        <f t="shared" si="6"/>
        <v>1.5218905800000002</v>
      </c>
      <c r="Q33" s="57">
        <f>AVERAGE(P33:P35)</f>
        <v>0.65037120000000004</v>
      </c>
      <c r="R33" s="56">
        <f>STDEV(P33:P35)</f>
        <v>0.75475794096016813</v>
      </c>
      <c r="S33" s="58">
        <f>R33/Q33*100</f>
        <v>116.05033263468125</v>
      </c>
      <c r="T33" s="63">
        <f>D45</f>
        <v>199</v>
      </c>
      <c r="U33" s="64">
        <f>Q45</f>
        <v>0.39505655999999995</v>
      </c>
    </row>
    <row r="34" spans="1:21" ht="14.45" customHeight="1" x14ac:dyDescent="0.25">
      <c r="A34" s="18">
        <v>200</v>
      </c>
      <c r="B34" s="30">
        <v>10</v>
      </c>
      <c r="D34" s="79"/>
      <c r="E34" s="17" t="s">
        <v>57</v>
      </c>
      <c r="F34" s="17">
        <f t="shared" ref="F34" si="9">F33</f>
        <v>10</v>
      </c>
      <c r="G34">
        <v>5.4800000000000001E-2</v>
      </c>
      <c r="H34">
        <v>4.0300000000000002E-2</v>
      </c>
      <c r="I34" s="56"/>
      <c r="J34" s="57">
        <f t="shared" si="1"/>
        <v>1.7300000000000003E-2</v>
      </c>
      <c r="K34" s="58">
        <f t="shared" si="2"/>
        <v>4.0333333333333332E-3</v>
      </c>
      <c r="L34" s="56"/>
      <c r="M34" s="62">
        <f t="shared" si="3"/>
        <v>1.629166666666667E-2</v>
      </c>
      <c r="N34" s="56">
        <f t="shared" si="4"/>
        <v>1.0738815000000002</v>
      </c>
      <c r="O34" s="58">
        <f t="shared" si="5"/>
        <v>2.1477630000000003</v>
      </c>
      <c r="P34" s="56">
        <f t="shared" si="6"/>
        <v>0.21477630000000003</v>
      </c>
      <c r="Q34" s="57"/>
      <c r="R34" s="56"/>
      <c r="S34" s="58"/>
      <c r="T34" s="63">
        <f>D48</f>
        <v>200</v>
      </c>
      <c r="U34" s="64">
        <f>Q48</f>
        <v>0.22927782000000005</v>
      </c>
    </row>
    <row r="35" spans="1:21" ht="14.45" customHeight="1" x14ac:dyDescent="0.25">
      <c r="A35" s="18">
        <v>201</v>
      </c>
      <c r="B35" s="30">
        <v>10</v>
      </c>
      <c r="D35" s="80"/>
      <c r="E35" s="22" t="s">
        <v>58</v>
      </c>
      <c r="F35" s="22">
        <f t="shared" ref="F35" si="10">F33</f>
        <v>10</v>
      </c>
      <c r="G35">
        <v>5.4699999999999999E-2</v>
      </c>
      <c r="H35">
        <v>0.04</v>
      </c>
      <c r="I35" s="56"/>
      <c r="J35" s="57">
        <f t="shared" si="1"/>
        <v>1.72E-2</v>
      </c>
      <c r="K35" s="58">
        <f t="shared" si="2"/>
        <v>3.7333333333333316E-3</v>
      </c>
      <c r="L35" s="56"/>
      <c r="M35" s="62">
        <f t="shared" si="3"/>
        <v>1.6266666666666665E-2</v>
      </c>
      <c r="N35" s="56">
        <f t="shared" si="4"/>
        <v>1.0722335999999999</v>
      </c>
      <c r="O35" s="58">
        <f t="shared" si="5"/>
        <v>2.1444671999999998</v>
      </c>
      <c r="P35" s="56">
        <f t="shared" si="6"/>
        <v>0.21444671999999998</v>
      </c>
      <c r="Q35" s="57"/>
      <c r="R35" s="56"/>
      <c r="S35" s="58"/>
      <c r="T35" s="63">
        <f>D51</f>
        <v>201</v>
      </c>
      <c r="U35" s="64">
        <f>Q51</f>
        <v>0.26509218000000007</v>
      </c>
    </row>
    <row r="36" spans="1:21" ht="14.45" customHeight="1" x14ac:dyDescent="0.25">
      <c r="A36" s="18">
        <v>202</v>
      </c>
      <c r="B36" s="30">
        <v>10</v>
      </c>
      <c r="D36" s="78">
        <f>A30</f>
        <v>196</v>
      </c>
      <c r="E36" s="12" t="s">
        <v>59</v>
      </c>
      <c r="F36" s="12">
        <f>B30</f>
        <v>10</v>
      </c>
      <c r="G36">
        <v>7.0499999999999993E-2</v>
      </c>
      <c r="H36">
        <v>4.0099999999999997E-2</v>
      </c>
      <c r="I36" s="56"/>
      <c r="J36" s="57">
        <f t="shared" si="1"/>
        <v>3.2999999999999995E-2</v>
      </c>
      <c r="K36" s="58">
        <f t="shared" si="2"/>
        <v>3.8333333333333275E-3</v>
      </c>
      <c r="L36" s="56"/>
      <c r="M36" s="62">
        <f t="shared" si="3"/>
        <v>3.2041666666666663E-2</v>
      </c>
      <c r="N36" s="56">
        <f t="shared" si="4"/>
        <v>2.1120584999999998</v>
      </c>
      <c r="O36" s="58">
        <f t="shared" si="5"/>
        <v>4.2241169999999997</v>
      </c>
      <c r="P36" s="56">
        <f t="shared" si="6"/>
        <v>0.42241169999999995</v>
      </c>
      <c r="Q36" s="57">
        <f>AVERAGE(P36:P38)</f>
        <v>0.47459519999999999</v>
      </c>
      <c r="R36" s="56">
        <f>STDEV(P36:P38)</f>
        <v>5.1589886367500379E-2</v>
      </c>
      <c r="S36" s="58">
        <f>R36/Q36*100</f>
        <v>10.870292486628683</v>
      </c>
      <c r="T36" s="63">
        <f>D54</f>
        <v>202</v>
      </c>
      <c r="U36" s="64">
        <f>Q54</f>
        <v>0.31738554000000002</v>
      </c>
    </row>
    <row r="37" spans="1:21" ht="14.45" customHeight="1" x14ac:dyDescent="0.25">
      <c r="A37" s="18"/>
      <c r="B37" s="30"/>
      <c r="D37" s="79"/>
      <c r="E37" s="17" t="s">
        <v>60</v>
      </c>
      <c r="F37" s="17">
        <f t="shared" ref="F37" si="11">F36</f>
        <v>10</v>
      </c>
      <c r="G37">
        <v>7.51E-2</v>
      </c>
      <c r="H37">
        <v>4.2299999999999997E-2</v>
      </c>
      <c r="I37" s="56"/>
      <c r="J37" s="57">
        <f t="shared" si="1"/>
        <v>3.7600000000000001E-2</v>
      </c>
      <c r="K37" s="58">
        <f t="shared" si="2"/>
        <v>6.0333333333333281E-3</v>
      </c>
      <c r="L37" s="56"/>
      <c r="M37" s="62">
        <f t="shared" si="3"/>
        <v>3.6091666666666668E-2</v>
      </c>
      <c r="N37" s="56">
        <f t="shared" si="4"/>
        <v>2.3790182999999998</v>
      </c>
      <c r="O37" s="58">
        <f t="shared" si="5"/>
        <v>4.7580365999999996</v>
      </c>
      <c r="P37" s="56">
        <f t="shared" si="6"/>
        <v>0.47580365999999996</v>
      </c>
      <c r="Q37" s="57"/>
      <c r="R37" s="56"/>
      <c r="S37" s="58"/>
      <c r="T37" s="63">
        <f>D57</f>
        <v>0</v>
      </c>
      <c r="U37" s="64" t="e">
        <f>Q57</f>
        <v>#DIV/0!</v>
      </c>
    </row>
    <row r="38" spans="1:21" ht="14.45" customHeight="1" x14ac:dyDescent="0.25">
      <c r="A38" s="18"/>
      <c r="B38" s="30"/>
      <c r="D38" s="80"/>
      <c r="E38" s="22" t="s">
        <v>61</v>
      </c>
      <c r="F38" s="22">
        <f t="shared" ref="F38" si="12">F36</f>
        <v>10</v>
      </c>
      <c r="G38">
        <v>7.85E-2</v>
      </c>
      <c r="H38">
        <v>4.0800000000000003E-2</v>
      </c>
      <c r="I38" s="56"/>
      <c r="J38" s="57">
        <f t="shared" si="1"/>
        <v>4.1000000000000002E-2</v>
      </c>
      <c r="K38" s="58">
        <f t="shared" si="2"/>
        <v>4.5333333333333337E-3</v>
      </c>
      <c r="L38" s="56"/>
      <c r="M38" s="62">
        <f t="shared" si="3"/>
        <v>3.9866666666666668E-2</v>
      </c>
      <c r="N38" s="56">
        <f t="shared" si="4"/>
        <v>2.6278511999999998</v>
      </c>
      <c r="O38" s="58">
        <f t="shared" si="5"/>
        <v>5.2557023999999997</v>
      </c>
      <c r="P38" s="56">
        <f t="shared" si="6"/>
        <v>0.52557023999999997</v>
      </c>
      <c r="Q38" s="57"/>
      <c r="R38" s="56"/>
      <c r="S38" s="58"/>
      <c r="T38" s="63">
        <f>D60</f>
        <v>0</v>
      </c>
      <c r="U38" s="64" t="e">
        <f>Q60</f>
        <v>#DIV/0!</v>
      </c>
    </row>
    <row r="39" spans="1:21" ht="14.45" customHeight="1" x14ac:dyDescent="0.25">
      <c r="A39" s="18"/>
      <c r="B39" s="30"/>
      <c r="D39" s="78">
        <f>A31</f>
        <v>197</v>
      </c>
      <c r="E39" s="12" t="s">
        <v>62</v>
      </c>
      <c r="F39" s="12">
        <f>B31</f>
        <v>10</v>
      </c>
      <c r="G39">
        <v>7.1999999999999995E-2</v>
      </c>
      <c r="H39">
        <v>3.9899999999999998E-2</v>
      </c>
      <c r="I39" s="56"/>
      <c r="J39" s="57">
        <f t="shared" si="1"/>
        <v>3.4499999999999996E-2</v>
      </c>
      <c r="K39" s="58">
        <f t="shared" si="2"/>
        <v>3.6333333333333287E-3</v>
      </c>
      <c r="L39" s="56"/>
      <c r="M39" s="62">
        <f t="shared" si="3"/>
        <v>3.3591666666666666E-2</v>
      </c>
      <c r="N39" s="56">
        <f t="shared" si="4"/>
        <v>2.2142282999999998</v>
      </c>
      <c r="O39" s="58">
        <f t="shared" si="5"/>
        <v>4.4284565999999996</v>
      </c>
      <c r="P39" s="56">
        <f t="shared" si="6"/>
        <v>0.44284565999999997</v>
      </c>
      <c r="Q39" s="57">
        <f>AVERAGE(P39:P41)</f>
        <v>0.46086270000000007</v>
      </c>
      <c r="R39" s="56">
        <f>STDEV(P39:P41)</f>
        <v>1.5772850839807079E-2</v>
      </c>
      <c r="S39" s="58">
        <f>R39/Q39*100</f>
        <v>3.4224620130479373</v>
      </c>
      <c r="T39" s="63">
        <f>D63</f>
        <v>0</v>
      </c>
      <c r="U39" s="64" t="e">
        <f>Q63</f>
        <v>#DIV/0!</v>
      </c>
    </row>
    <row r="40" spans="1:21" ht="14.45" customHeight="1" x14ac:dyDescent="0.25">
      <c r="A40" s="18"/>
      <c r="B40" s="30"/>
      <c r="D40" s="79"/>
      <c r="E40" s="17" t="s">
        <v>63</v>
      </c>
      <c r="F40" s="17">
        <f t="shared" ref="F40" si="13">F39</f>
        <v>10</v>
      </c>
      <c r="G40">
        <v>7.4800000000000005E-2</v>
      </c>
      <c r="H40">
        <v>4.2200000000000001E-2</v>
      </c>
      <c r="I40" s="56"/>
      <c r="J40" s="57">
        <f t="shared" si="1"/>
        <v>3.7300000000000007E-2</v>
      </c>
      <c r="K40" s="58">
        <f t="shared" si="2"/>
        <v>5.9333333333333321E-3</v>
      </c>
      <c r="L40" s="56"/>
      <c r="M40" s="62">
        <f t="shared" si="3"/>
        <v>3.5816666666666677E-2</v>
      </c>
      <c r="N40" s="56">
        <f t="shared" si="4"/>
        <v>2.3608914000000008</v>
      </c>
      <c r="O40" s="58">
        <f t="shared" si="5"/>
        <v>4.7217828000000015</v>
      </c>
      <c r="P40" s="56">
        <f t="shared" si="6"/>
        <v>0.47217828000000017</v>
      </c>
      <c r="Q40" s="57"/>
      <c r="R40" s="56"/>
      <c r="S40" s="58"/>
      <c r="T40" s="63">
        <f>D69</f>
        <v>0</v>
      </c>
      <c r="U40" s="64" t="e">
        <f>Q66</f>
        <v>#DIV/0!</v>
      </c>
    </row>
    <row r="41" spans="1:21" ht="14.45" customHeight="1" x14ac:dyDescent="0.25">
      <c r="A41" s="18"/>
      <c r="B41" s="30"/>
      <c r="D41" s="80"/>
      <c r="E41" s="22" t="s">
        <v>64</v>
      </c>
      <c r="F41" s="22">
        <f t="shared" ref="F41" si="14">F39</f>
        <v>10</v>
      </c>
      <c r="G41">
        <v>7.3800000000000004E-2</v>
      </c>
      <c r="H41">
        <v>3.9600000000000003E-2</v>
      </c>
      <c r="I41" s="56"/>
      <c r="J41" s="57">
        <f t="shared" si="1"/>
        <v>3.6300000000000006E-2</v>
      </c>
      <c r="K41" s="58">
        <f t="shared" si="2"/>
        <v>3.333333333333334E-3</v>
      </c>
      <c r="L41" s="56"/>
      <c r="M41" s="62">
        <f t="shared" si="3"/>
        <v>3.5466666666666674E-2</v>
      </c>
      <c r="N41" s="56">
        <f t="shared" si="4"/>
        <v>2.3378208000000003</v>
      </c>
      <c r="O41" s="58">
        <f t="shared" si="5"/>
        <v>4.6756416000000005</v>
      </c>
      <c r="P41" s="56">
        <f t="shared" si="6"/>
        <v>0.46756416000000006</v>
      </c>
      <c r="Q41" s="57"/>
      <c r="R41" s="56"/>
      <c r="S41" s="58"/>
      <c r="T41" s="63">
        <f>D72</f>
        <v>0</v>
      </c>
      <c r="U41" s="64" t="e">
        <f>Q69</f>
        <v>#DIV/0!</v>
      </c>
    </row>
    <row r="42" spans="1:21" ht="14.45" customHeight="1" x14ac:dyDescent="0.25">
      <c r="A42" s="18"/>
      <c r="B42" s="30"/>
      <c r="D42" s="78">
        <f>A32</f>
        <v>198</v>
      </c>
      <c r="E42" s="12" t="s">
        <v>65</v>
      </c>
      <c r="F42" s="12">
        <f>B32</f>
        <v>10</v>
      </c>
      <c r="G42">
        <v>4.7600000000000003E-2</v>
      </c>
      <c r="H42">
        <v>3.78E-2</v>
      </c>
      <c r="I42" s="56"/>
      <c r="J42" s="57">
        <f t="shared" si="1"/>
        <v>1.0100000000000005E-2</v>
      </c>
      <c r="K42" s="58">
        <f t="shared" si="2"/>
        <v>1.533333333333331E-3</v>
      </c>
      <c r="L42" s="56"/>
      <c r="M42" s="62">
        <f t="shared" si="3"/>
        <v>9.7166666666666721E-3</v>
      </c>
      <c r="N42" s="56">
        <f t="shared" si="4"/>
        <v>0.64048380000000027</v>
      </c>
      <c r="O42" s="58">
        <f t="shared" si="5"/>
        <v>1.2809676000000005</v>
      </c>
      <c r="P42" s="56">
        <f t="shared" si="6"/>
        <v>0.12809676000000006</v>
      </c>
      <c r="Q42" s="57">
        <f>AVERAGE(P42:P44)</f>
        <v>0.13655598000000005</v>
      </c>
      <c r="R42" s="56">
        <f>STDEV(P42:P44)</f>
        <v>7.8432654106054545E-3</v>
      </c>
      <c r="S42" s="58">
        <f>R42/Q42*100</f>
        <v>5.7436264677720095</v>
      </c>
      <c r="T42" s="63">
        <f>D75</f>
        <v>0</v>
      </c>
      <c r="U42" s="64" t="e">
        <f>Q72</f>
        <v>#DIV/0!</v>
      </c>
    </row>
    <row r="43" spans="1:21" ht="14.45" customHeight="1" x14ac:dyDescent="0.25">
      <c r="A43" s="18"/>
      <c r="B43" s="30"/>
      <c r="D43" s="79"/>
      <c r="E43" s="17" t="s">
        <v>66</v>
      </c>
      <c r="F43" s="17">
        <f t="shared" ref="F43" si="15">F42</f>
        <v>10</v>
      </c>
      <c r="G43">
        <v>4.8399999999999999E-2</v>
      </c>
      <c r="H43">
        <v>3.7999999999999999E-2</v>
      </c>
      <c r="I43" s="56"/>
      <c r="J43" s="57">
        <f t="shared" si="1"/>
        <v>1.09E-2</v>
      </c>
      <c r="K43" s="58">
        <f t="shared" si="2"/>
        <v>1.7333333333333298E-3</v>
      </c>
      <c r="L43" s="56"/>
      <c r="M43" s="62">
        <f t="shared" si="3"/>
        <v>1.0466666666666668E-2</v>
      </c>
      <c r="N43" s="56">
        <f t="shared" si="4"/>
        <v>0.6899208</v>
      </c>
      <c r="O43" s="58">
        <f t="shared" si="5"/>
        <v>1.3798416</v>
      </c>
      <c r="P43" s="56">
        <f t="shared" si="6"/>
        <v>0.13798415999999999</v>
      </c>
      <c r="Q43" s="57"/>
      <c r="R43" s="56"/>
      <c r="S43" s="58"/>
      <c r="T43" s="63">
        <f>D78</f>
        <v>0</v>
      </c>
      <c r="U43" s="64" t="e">
        <f>Q75</f>
        <v>#DIV/0!</v>
      </c>
    </row>
    <row r="44" spans="1:21" ht="14.45" customHeight="1" x14ac:dyDescent="0.25">
      <c r="A44" s="18"/>
      <c r="B44" s="30"/>
      <c r="D44" s="80"/>
      <c r="E44" s="22" t="s">
        <v>67</v>
      </c>
      <c r="F44" s="22">
        <f t="shared" ref="F44" si="16">F42</f>
        <v>10</v>
      </c>
      <c r="G44">
        <v>4.8800000000000003E-2</v>
      </c>
      <c r="H44">
        <v>3.7900000000000003E-2</v>
      </c>
      <c r="I44" s="56"/>
      <c r="J44" s="57">
        <f t="shared" si="1"/>
        <v>1.1300000000000004E-2</v>
      </c>
      <c r="K44" s="58">
        <f t="shared" si="2"/>
        <v>1.6333333333333339E-3</v>
      </c>
      <c r="L44" s="56"/>
      <c r="M44" s="62">
        <f t="shared" si="3"/>
        <v>1.0891666666666671E-2</v>
      </c>
      <c r="N44" s="56">
        <f t="shared" si="4"/>
        <v>0.71793510000000027</v>
      </c>
      <c r="O44" s="58">
        <f t="shared" si="5"/>
        <v>1.4358702000000005</v>
      </c>
      <c r="P44" s="56">
        <f t="shared" si="6"/>
        <v>0.14358702000000007</v>
      </c>
      <c r="Q44" s="57"/>
      <c r="R44" s="56"/>
      <c r="S44" s="58"/>
      <c r="T44" s="63">
        <f>D81</f>
        <v>0</v>
      </c>
      <c r="U44" s="64" t="e">
        <f>Q78</f>
        <v>#DIV/0!</v>
      </c>
    </row>
    <row r="45" spans="1:21" ht="14.45" customHeight="1" x14ac:dyDescent="0.25">
      <c r="A45" s="18"/>
      <c r="B45" s="30"/>
      <c r="D45" s="78">
        <f>A33</f>
        <v>199</v>
      </c>
      <c r="E45" s="12" t="s">
        <v>68</v>
      </c>
      <c r="F45" s="12">
        <f>B33</f>
        <v>10</v>
      </c>
      <c r="G45">
        <v>6.54E-2</v>
      </c>
      <c r="H45">
        <v>3.7499999999999999E-2</v>
      </c>
      <c r="I45" s="56"/>
      <c r="J45" s="57">
        <f t="shared" si="1"/>
        <v>2.7900000000000001E-2</v>
      </c>
      <c r="K45" s="58">
        <f t="shared" si="2"/>
        <v>1.2333333333333293E-3</v>
      </c>
      <c r="L45" s="56"/>
      <c r="M45" s="62">
        <f t="shared" si="3"/>
        <v>2.7591666666666667E-2</v>
      </c>
      <c r="N45" s="56">
        <f t="shared" si="4"/>
        <v>1.8187323</v>
      </c>
      <c r="O45" s="58">
        <f t="shared" si="5"/>
        <v>3.6374645999999999</v>
      </c>
      <c r="P45" s="56">
        <f t="shared" si="6"/>
        <v>0.36374645999999999</v>
      </c>
      <c r="Q45" s="57">
        <f>AVERAGE(P45:P47)</f>
        <v>0.39505655999999995</v>
      </c>
      <c r="R45" s="56">
        <f>STDEV(P45:P47)</f>
        <v>2.7335278572855202E-2</v>
      </c>
      <c r="S45" s="58">
        <f>R45/Q45*100</f>
        <v>6.9193329109267818</v>
      </c>
      <c r="T45" s="63">
        <f>D84</f>
        <v>0</v>
      </c>
      <c r="U45" s="64" t="e">
        <f>Q81</f>
        <v>#DIV/0!</v>
      </c>
    </row>
    <row r="46" spans="1:21" ht="14.45" customHeight="1" x14ac:dyDescent="0.25">
      <c r="A46" s="18"/>
      <c r="B46" s="30"/>
      <c r="D46" s="79"/>
      <c r="E46" s="17" t="s">
        <v>69</v>
      </c>
      <c r="F46" s="17">
        <f t="shared" ref="F46" si="17">F45</f>
        <v>10</v>
      </c>
      <c r="G46">
        <v>6.8599999999999994E-2</v>
      </c>
      <c r="H46">
        <v>3.7100000000000001E-2</v>
      </c>
      <c r="I46" s="56"/>
      <c r="J46" s="57">
        <f t="shared" si="1"/>
        <v>3.1099999999999996E-2</v>
      </c>
      <c r="K46" s="58">
        <f t="shared" si="2"/>
        <v>8.3333333333333176E-4</v>
      </c>
      <c r="L46" s="56"/>
      <c r="M46" s="62">
        <f t="shared" si="3"/>
        <v>3.0891666666666664E-2</v>
      </c>
      <c r="N46" s="56">
        <f t="shared" si="4"/>
        <v>2.0362550999999995</v>
      </c>
      <c r="O46" s="58">
        <f t="shared" si="5"/>
        <v>4.0725101999999991</v>
      </c>
      <c r="P46" s="56">
        <f t="shared" si="6"/>
        <v>0.40725101999999991</v>
      </c>
      <c r="Q46" s="57"/>
      <c r="R46" s="56"/>
      <c r="S46" s="58"/>
      <c r="T46" s="63">
        <f>D87</f>
        <v>0</v>
      </c>
      <c r="U46" s="64" t="e">
        <f>Q84</f>
        <v>#DIV/0!</v>
      </c>
    </row>
    <row r="47" spans="1:21" ht="14.45" customHeight="1" x14ac:dyDescent="0.25">
      <c r="A47" s="18"/>
      <c r="B47" s="30"/>
      <c r="D47" s="80"/>
      <c r="E47" s="22" t="s">
        <v>70</v>
      </c>
      <c r="F47" s="22">
        <f t="shared" ref="F47" si="18">F45</f>
        <v>10</v>
      </c>
      <c r="G47">
        <v>6.9099999999999995E-2</v>
      </c>
      <c r="H47">
        <v>3.6999999999999998E-2</v>
      </c>
      <c r="I47" s="56"/>
      <c r="J47" s="57">
        <f t="shared" si="1"/>
        <v>3.1599999999999996E-2</v>
      </c>
      <c r="K47" s="58">
        <f t="shared" si="2"/>
        <v>7.333333333333289E-4</v>
      </c>
      <c r="L47" s="56"/>
      <c r="M47" s="62">
        <f t="shared" si="3"/>
        <v>3.1416666666666662E-2</v>
      </c>
      <c r="N47" s="56">
        <f t="shared" si="4"/>
        <v>2.0708609999999994</v>
      </c>
      <c r="O47" s="58">
        <f t="shared" si="5"/>
        <v>4.1417219999999988</v>
      </c>
      <c r="P47" s="56">
        <f t="shared" si="6"/>
        <v>0.41417219999999988</v>
      </c>
      <c r="Q47" s="57"/>
      <c r="R47" s="56"/>
      <c r="S47" s="58"/>
      <c r="T47" s="63">
        <f>D90</f>
        <v>0</v>
      </c>
      <c r="U47" s="64" t="e">
        <f>Q87</f>
        <v>#DIV/0!</v>
      </c>
    </row>
    <row r="48" spans="1:21" ht="14.45" customHeight="1" x14ac:dyDescent="0.25">
      <c r="A48" s="18"/>
      <c r="B48" s="30"/>
      <c r="D48" s="78">
        <f>A34</f>
        <v>200</v>
      </c>
      <c r="E48" s="12" t="s">
        <v>71</v>
      </c>
      <c r="F48" s="12">
        <f>B34</f>
        <v>10</v>
      </c>
      <c r="G48">
        <v>5.45E-2</v>
      </c>
      <c r="H48">
        <v>3.9199999999999999E-2</v>
      </c>
      <c r="I48" s="56"/>
      <c r="J48" s="57">
        <f t="shared" si="1"/>
        <v>1.7000000000000001E-2</v>
      </c>
      <c r="K48" s="58">
        <f t="shared" si="2"/>
        <v>2.9333333333333295E-3</v>
      </c>
      <c r="L48" s="56"/>
      <c r="M48" s="62">
        <f t="shared" si="3"/>
        <v>1.6266666666666669E-2</v>
      </c>
      <c r="N48" s="56">
        <f t="shared" si="4"/>
        <v>1.0722336000000001</v>
      </c>
      <c r="O48" s="58">
        <f t="shared" si="5"/>
        <v>2.1444672000000002</v>
      </c>
      <c r="P48" s="56">
        <f t="shared" si="6"/>
        <v>0.21444672000000004</v>
      </c>
      <c r="Q48" s="57">
        <f>AVERAGE(P48:P50)</f>
        <v>0.22927782000000005</v>
      </c>
      <c r="R48" s="56">
        <f>STDEV(P48:P50)</f>
        <v>1.3488642832768608E-2</v>
      </c>
      <c r="S48" s="58">
        <f>R48/Q48*100</f>
        <v>5.8830997402054006</v>
      </c>
      <c r="T48" s="63">
        <f>D96</f>
        <v>0</v>
      </c>
      <c r="U48" s="64" t="e">
        <f>Q90</f>
        <v>#DIV/0!</v>
      </c>
    </row>
    <row r="49" spans="1:22" ht="14.45" customHeight="1" x14ac:dyDescent="0.25">
      <c r="A49" s="18"/>
      <c r="B49" s="30"/>
      <c r="D49" s="79"/>
      <c r="E49" s="17" t="s">
        <v>72</v>
      </c>
      <c r="F49" s="17">
        <f t="shared" ref="F49" si="19">F48</f>
        <v>10</v>
      </c>
      <c r="G49">
        <v>5.5800000000000002E-2</v>
      </c>
      <c r="H49">
        <v>3.8899999999999997E-2</v>
      </c>
      <c r="I49" s="56"/>
      <c r="J49" s="57">
        <f t="shared" si="1"/>
        <v>1.8300000000000004E-2</v>
      </c>
      <c r="K49" s="58">
        <f t="shared" si="2"/>
        <v>2.6333333333333278E-3</v>
      </c>
      <c r="L49" s="56"/>
      <c r="M49" s="62">
        <f t="shared" si="3"/>
        <v>1.7641666666666674E-2</v>
      </c>
      <c r="N49" s="56">
        <f t="shared" si="4"/>
        <v>1.1628681000000003</v>
      </c>
      <c r="O49" s="58">
        <f t="shared" si="5"/>
        <v>2.3257362000000006</v>
      </c>
      <c r="P49" s="56">
        <f t="shared" si="6"/>
        <v>0.23257362000000006</v>
      </c>
      <c r="Q49" s="57"/>
      <c r="R49" s="56"/>
      <c r="S49" s="58"/>
      <c r="T49" s="63">
        <f>D99</f>
        <v>0</v>
      </c>
      <c r="U49" s="64" t="e">
        <f>Q93</f>
        <v>#DIV/0!</v>
      </c>
    </row>
    <row r="50" spans="1:22" ht="14.45" customHeight="1" x14ac:dyDescent="0.25">
      <c r="A50" s="18"/>
      <c r="B50" s="30"/>
      <c r="D50" s="80"/>
      <c r="E50" s="22" t="s">
        <v>73</v>
      </c>
      <c r="F50" s="22">
        <f t="shared" ref="F50" si="20">F48</f>
        <v>10</v>
      </c>
      <c r="G50">
        <v>5.6599999999999998E-2</v>
      </c>
      <c r="H50">
        <v>3.9600000000000003E-2</v>
      </c>
      <c r="I50" s="56"/>
      <c r="J50" s="57">
        <f t="shared" si="1"/>
        <v>1.9099999999999999E-2</v>
      </c>
      <c r="K50" s="58">
        <f t="shared" si="2"/>
        <v>3.333333333333334E-3</v>
      </c>
      <c r="L50" s="56"/>
      <c r="M50" s="62">
        <f t="shared" si="3"/>
        <v>1.8266666666666667E-2</v>
      </c>
      <c r="N50" s="56">
        <f t="shared" si="4"/>
        <v>1.2040656000000001</v>
      </c>
      <c r="O50" s="58">
        <f t="shared" si="5"/>
        <v>2.4081312000000001</v>
      </c>
      <c r="P50" s="56">
        <f t="shared" si="6"/>
        <v>0.24081312000000002</v>
      </c>
      <c r="Q50" s="57"/>
      <c r="R50" s="56"/>
      <c r="S50" s="58"/>
      <c r="T50" s="67">
        <f>D102</f>
        <v>0</v>
      </c>
      <c r="U50" s="68" t="e">
        <f>Q96</f>
        <v>#DIV/0!</v>
      </c>
    </row>
    <row r="51" spans="1:22" ht="14.45" customHeight="1" x14ac:dyDescent="0.25">
      <c r="D51" s="78">
        <f>A35</f>
        <v>201</v>
      </c>
      <c r="E51" s="12" t="s">
        <v>74</v>
      </c>
      <c r="F51" s="12">
        <f>B35</f>
        <v>10</v>
      </c>
      <c r="G51">
        <v>5.6300000000000003E-2</v>
      </c>
      <c r="H51">
        <v>3.7900000000000003E-2</v>
      </c>
      <c r="I51" s="56"/>
      <c r="J51" s="57">
        <f t="shared" si="1"/>
        <v>1.8800000000000004E-2</v>
      </c>
      <c r="K51" s="58">
        <f t="shared" si="2"/>
        <v>1.6333333333333339E-3</v>
      </c>
      <c r="L51" s="56"/>
      <c r="M51" s="62">
        <f t="shared" si="3"/>
        <v>1.8391666666666671E-2</v>
      </c>
      <c r="N51" s="56">
        <f t="shared" si="4"/>
        <v>1.2123051000000002</v>
      </c>
      <c r="O51" s="58">
        <f t="shared" si="5"/>
        <v>2.4246102000000005</v>
      </c>
      <c r="P51" s="56">
        <f t="shared" si="6"/>
        <v>0.24246102000000005</v>
      </c>
      <c r="Q51" s="57">
        <f>AVERAGE(P51:P53)</f>
        <v>0.26509218000000007</v>
      </c>
      <c r="R51" s="56">
        <f>STDEV(P51:P53)</f>
        <v>2.0134973443826542E-2</v>
      </c>
      <c r="S51" s="58">
        <f>R51/Q51*100</f>
        <v>7.5954611123672287</v>
      </c>
      <c r="T51" s="56"/>
      <c r="U51" s="56"/>
      <c r="V51" s="56"/>
    </row>
    <row r="52" spans="1:22" ht="14.45" customHeight="1" x14ac:dyDescent="0.25">
      <c r="D52" s="79"/>
      <c r="E52" s="17" t="s">
        <v>75</v>
      </c>
      <c r="F52" s="17">
        <f t="shared" ref="F52" si="21">F51</f>
        <v>10</v>
      </c>
      <c r="G52">
        <v>5.9400000000000001E-2</v>
      </c>
      <c r="H52">
        <v>3.8600000000000002E-2</v>
      </c>
      <c r="I52" s="56"/>
      <c r="J52" s="57">
        <f t="shared" si="1"/>
        <v>2.1900000000000003E-2</v>
      </c>
      <c r="K52" s="58">
        <f t="shared" si="2"/>
        <v>2.3333333333333331E-3</v>
      </c>
      <c r="L52" s="56"/>
      <c r="M52" s="62">
        <f t="shared" si="3"/>
        <v>2.1316666666666671E-2</v>
      </c>
      <c r="N52" s="56">
        <f t="shared" si="4"/>
        <v>1.4051094000000002</v>
      </c>
      <c r="O52" s="58">
        <f t="shared" si="5"/>
        <v>2.8102188000000003</v>
      </c>
      <c r="P52" s="56">
        <f t="shared" si="6"/>
        <v>0.28102188000000006</v>
      </c>
      <c r="Q52" s="57"/>
      <c r="R52" s="56"/>
      <c r="S52" s="58"/>
      <c r="T52" s="56"/>
    </row>
    <row r="53" spans="1:22" ht="14.45" customHeight="1" x14ac:dyDescent="0.25">
      <c r="D53" s="80"/>
      <c r="E53" s="22" t="s">
        <v>76</v>
      </c>
      <c r="F53" s="22">
        <f t="shared" ref="F53" si="22">F51</f>
        <v>10</v>
      </c>
      <c r="G53">
        <v>5.8700000000000002E-2</v>
      </c>
      <c r="H53">
        <v>3.8600000000000002E-2</v>
      </c>
      <c r="I53" s="56"/>
      <c r="J53" s="57">
        <f t="shared" si="1"/>
        <v>2.1200000000000004E-2</v>
      </c>
      <c r="K53" s="58">
        <f t="shared" si="2"/>
        <v>2.3333333333333331E-3</v>
      </c>
      <c r="L53" s="56"/>
      <c r="M53" s="62">
        <f t="shared" si="3"/>
        <v>2.0616666666666672E-2</v>
      </c>
      <c r="N53" s="56">
        <f t="shared" si="4"/>
        <v>1.3589682000000003</v>
      </c>
      <c r="O53" s="58">
        <f t="shared" si="5"/>
        <v>2.7179364000000006</v>
      </c>
      <c r="P53" s="56">
        <f t="shared" si="6"/>
        <v>0.27179364000000006</v>
      </c>
      <c r="Q53" s="57"/>
      <c r="R53" s="56"/>
      <c r="S53" s="58"/>
      <c r="T53" s="56"/>
    </row>
    <row r="54" spans="1:22" ht="14.45" customHeight="1" x14ac:dyDescent="0.25">
      <c r="D54" s="78">
        <f>A36</f>
        <v>202</v>
      </c>
      <c r="E54" s="12" t="s">
        <v>77</v>
      </c>
      <c r="F54" s="12">
        <f>B36</f>
        <v>10</v>
      </c>
      <c r="G54">
        <v>5.7700000000000001E-2</v>
      </c>
      <c r="H54">
        <v>3.9300000000000002E-2</v>
      </c>
      <c r="I54" s="56"/>
      <c r="J54" s="57">
        <f t="shared" si="1"/>
        <v>2.0200000000000003E-2</v>
      </c>
      <c r="K54" s="58">
        <f t="shared" si="2"/>
        <v>3.0333333333333323E-3</v>
      </c>
      <c r="L54" s="56"/>
      <c r="M54" s="62">
        <f t="shared" si="3"/>
        <v>1.944166666666667E-2</v>
      </c>
      <c r="N54" s="56">
        <f t="shared" si="4"/>
        <v>1.2815169000000002</v>
      </c>
      <c r="O54" s="58">
        <f t="shared" si="5"/>
        <v>2.5630338000000004</v>
      </c>
      <c r="P54" s="56">
        <f t="shared" si="6"/>
        <v>0.25630338000000003</v>
      </c>
      <c r="Q54" s="57">
        <f>AVERAGE(P54:P56)</f>
        <v>0.31738554000000002</v>
      </c>
      <c r="R54" s="56">
        <f>STDEV(P54:P56)</f>
        <v>8.6068561793546883E-2</v>
      </c>
      <c r="S54" s="58">
        <f>R54/Q54*100</f>
        <v>27.117984579116893</v>
      </c>
      <c r="T54" s="56"/>
    </row>
    <row r="55" spans="1:22" ht="14.45" customHeight="1" x14ac:dyDescent="0.25">
      <c r="D55" s="79"/>
      <c r="E55" s="17" t="s">
        <v>78</v>
      </c>
      <c r="F55" s="17">
        <f t="shared" ref="F55" si="23">F54</f>
        <v>10</v>
      </c>
      <c r="G55">
        <v>5.9700000000000003E-2</v>
      </c>
      <c r="H55">
        <v>4.0099999999999997E-2</v>
      </c>
      <c r="I55" s="56"/>
      <c r="J55" s="57">
        <f t="shared" si="1"/>
        <v>2.2200000000000004E-2</v>
      </c>
      <c r="K55" s="58">
        <f t="shared" si="2"/>
        <v>3.8333333333333275E-3</v>
      </c>
      <c r="L55" s="56"/>
      <c r="M55" s="62">
        <f t="shared" si="3"/>
        <v>2.1241666666666673E-2</v>
      </c>
      <c r="N55" s="56">
        <f t="shared" si="4"/>
        <v>1.4001657000000003</v>
      </c>
      <c r="O55" s="58">
        <f t="shared" si="5"/>
        <v>2.8003314000000006</v>
      </c>
      <c r="P55" s="56">
        <f t="shared" si="6"/>
        <v>0.28003314000000007</v>
      </c>
      <c r="Q55" s="57"/>
      <c r="R55" s="56"/>
      <c r="S55" s="58"/>
      <c r="T55" s="56"/>
    </row>
    <row r="56" spans="1:22" ht="14.45" customHeight="1" x14ac:dyDescent="0.25">
      <c r="D56" s="80"/>
      <c r="E56" s="22" t="s">
        <v>79</v>
      </c>
      <c r="F56" s="22">
        <f t="shared" ref="F56" si="24">F54</f>
        <v>10</v>
      </c>
      <c r="G56">
        <v>7.85E-2</v>
      </c>
      <c r="H56">
        <v>7.4099999999999999E-2</v>
      </c>
      <c r="I56" s="56"/>
      <c r="J56" s="57">
        <f t="shared" si="1"/>
        <v>4.1000000000000002E-2</v>
      </c>
      <c r="K56" s="58">
        <f t="shared" si="2"/>
        <v>3.783333333333333E-2</v>
      </c>
      <c r="L56" s="56"/>
      <c r="M56" s="62">
        <f t="shared" si="3"/>
        <v>3.1541666666666669E-2</v>
      </c>
      <c r="N56" s="56">
        <f t="shared" si="4"/>
        <v>2.0791005</v>
      </c>
      <c r="O56" s="58">
        <f t="shared" si="5"/>
        <v>4.158201</v>
      </c>
      <c r="P56" s="56">
        <f t="shared" si="6"/>
        <v>0.41582010000000003</v>
      </c>
      <c r="Q56" s="57"/>
      <c r="R56" s="56"/>
      <c r="S56" s="58"/>
      <c r="T56" s="56"/>
    </row>
    <row r="57" spans="1:22" ht="14.45" customHeight="1" x14ac:dyDescent="0.25">
      <c r="D57" s="78">
        <f>A37</f>
        <v>0</v>
      </c>
      <c r="E57" s="12" t="s">
        <v>80</v>
      </c>
      <c r="F57" s="12">
        <f>B37</f>
        <v>0</v>
      </c>
      <c r="I57" s="56"/>
      <c r="J57" s="57">
        <f t="shared" si="1"/>
        <v>-3.7499999999999999E-2</v>
      </c>
      <c r="K57" s="58">
        <f t="shared" si="2"/>
        <v>-3.6266666666666669E-2</v>
      </c>
      <c r="L57" s="56"/>
      <c r="M57" s="62">
        <f t="shared" si="3"/>
        <v>-2.8433333333333331E-2</v>
      </c>
      <c r="N57" s="56">
        <f t="shared" si="4"/>
        <v>-1.8742115999999998</v>
      </c>
      <c r="O57" s="58">
        <f t="shared" si="5"/>
        <v>-3.7484231999999995</v>
      </c>
      <c r="P57" s="56" t="e">
        <f t="shared" si="6"/>
        <v>#DIV/0!</v>
      </c>
      <c r="Q57" s="57" t="e">
        <f>AVERAGE(P57:P59)</f>
        <v>#DIV/0!</v>
      </c>
      <c r="R57" s="56" t="e">
        <f>STDEV(P57:P59)</f>
        <v>#DIV/0!</v>
      </c>
      <c r="S57" s="58" t="e">
        <f>R57/Q57*100</f>
        <v>#DIV/0!</v>
      </c>
      <c r="T57" s="56"/>
    </row>
    <row r="58" spans="1:22" ht="14.45" customHeight="1" x14ac:dyDescent="0.25">
      <c r="D58" s="79"/>
      <c r="E58" s="17" t="s">
        <v>81</v>
      </c>
      <c r="F58" s="17">
        <f t="shared" ref="F58" si="25">F57</f>
        <v>0</v>
      </c>
      <c r="I58" s="56"/>
      <c r="J58" s="57">
        <f t="shared" si="1"/>
        <v>-3.7499999999999999E-2</v>
      </c>
      <c r="K58" s="58">
        <f t="shared" si="2"/>
        <v>-3.6266666666666669E-2</v>
      </c>
      <c r="L58" s="56"/>
      <c r="M58" s="62">
        <f t="shared" si="3"/>
        <v>-2.8433333333333331E-2</v>
      </c>
      <c r="N58" s="56">
        <f t="shared" si="4"/>
        <v>-1.8742115999999998</v>
      </c>
      <c r="O58" s="58">
        <f t="shared" si="5"/>
        <v>-3.7484231999999995</v>
      </c>
      <c r="P58" s="56" t="e">
        <f t="shared" si="6"/>
        <v>#DIV/0!</v>
      </c>
      <c r="Q58" s="57"/>
      <c r="R58" s="56"/>
      <c r="S58" s="58"/>
      <c r="T58" s="56"/>
    </row>
    <row r="59" spans="1:22" ht="14.45" customHeight="1" x14ac:dyDescent="0.25">
      <c r="D59" s="80"/>
      <c r="E59" s="22" t="s">
        <v>82</v>
      </c>
      <c r="F59" s="22">
        <f t="shared" ref="F59" si="26">F57</f>
        <v>0</v>
      </c>
      <c r="I59" s="56"/>
      <c r="J59" s="57">
        <f t="shared" si="1"/>
        <v>-3.7499999999999999E-2</v>
      </c>
      <c r="K59" s="58">
        <f t="shared" si="2"/>
        <v>-3.6266666666666669E-2</v>
      </c>
      <c r="L59" s="56"/>
      <c r="M59" s="62">
        <f t="shared" si="3"/>
        <v>-2.8433333333333331E-2</v>
      </c>
      <c r="N59" s="56">
        <f t="shared" si="4"/>
        <v>-1.8742115999999998</v>
      </c>
      <c r="O59" s="58">
        <f t="shared" si="5"/>
        <v>-3.7484231999999995</v>
      </c>
      <c r="P59" s="56" t="e">
        <f t="shared" si="6"/>
        <v>#DIV/0!</v>
      </c>
      <c r="Q59" s="57"/>
      <c r="R59" s="56"/>
      <c r="S59" s="58"/>
      <c r="T59" s="56"/>
    </row>
    <row r="60" spans="1:22" ht="14.45" customHeight="1" x14ac:dyDescent="0.25">
      <c r="D60" s="78">
        <f>A38</f>
        <v>0</v>
      </c>
      <c r="E60" s="12" t="s">
        <v>83</v>
      </c>
      <c r="F60" s="12">
        <f>B38</f>
        <v>0</v>
      </c>
      <c r="I60" s="56"/>
      <c r="J60" s="57">
        <f t="shared" si="1"/>
        <v>-3.7499999999999999E-2</v>
      </c>
      <c r="K60" s="58">
        <f t="shared" si="2"/>
        <v>-3.6266666666666669E-2</v>
      </c>
      <c r="L60" s="56"/>
      <c r="M60" s="62">
        <f t="shared" si="3"/>
        <v>-2.8433333333333331E-2</v>
      </c>
      <c r="N60" s="56">
        <f t="shared" si="4"/>
        <v>-1.8742115999999998</v>
      </c>
      <c r="O60" s="58">
        <f t="shared" si="5"/>
        <v>-3.7484231999999995</v>
      </c>
      <c r="P60" s="56" t="e">
        <f t="shared" si="6"/>
        <v>#DIV/0!</v>
      </c>
      <c r="Q60" s="57" t="e">
        <f>AVERAGE(P60:P62)</f>
        <v>#DIV/0!</v>
      </c>
      <c r="R60" s="56" t="e">
        <f>STDEV(P60:P62)</f>
        <v>#DIV/0!</v>
      </c>
      <c r="S60" s="58" t="e">
        <f>R60/Q60*100</f>
        <v>#DIV/0!</v>
      </c>
      <c r="T60" s="56"/>
    </row>
    <row r="61" spans="1:22" ht="14.45" customHeight="1" x14ac:dyDescent="0.25">
      <c r="D61" s="79"/>
      <c r="E61" s="17" t="s">
        <v>84</v>
      </c>
      <c r="F61" s="17">
        <f t="shared" ref="F61" si="27">F60</f>
        <v>0</v>
      </c>
      <c r="I61" s="56"/>
      <c r="J61" s="57">
        <f t="shared" si="1"/>
        <v>-3.7499999999999999E-2</v>
      </c>
      <c r="K61" s="58">
        <f t="shared" si="2"/>
        <v>-3.6266666666666669E-2</v>
      </c>
      <c r="L61" s="56"/>
      <c r="M61" s="62">
        <f t="shared" si="3"/>
        <v>-2.8433333333333331E-2</v>
      </c>
      <c r="N61" s="56">
        <f t="shared" si="4"/>
        <v>-1.8742115999999998</v>
      </c>
      <c r="O61" s="58">
        <f t="shared" si="5"/>
        <v>-3.7484231999999995</v>
      </c>
      <c r="P61" s="56" t="e">
        <f t="shared" si="6"/>
        <v>#DIV/0!</v>
      </c>
      <c r="Q61" s="57"/>
      <c r="R61" s="56"/>
      <c r="S61" s="58"/>
      <c r="T61" s="56"/>
    </row>
    <row r="62" spans="1:22" ht="14.45" customHeight="1" x14ac:dyDescent="0.25">
      <c r="D62" s="80"/>
      <c r="E62" s="22" t="s">
        <v>85</v>
      </c>
      <c r="F62" s="22">
        <f t="shared" ref="F62" si="28">F60</f>
        <v>0</v>
      </c>
      <c r="I62" s="56"/>
      <c r="J62" s="57">
        <f t="shared" si="1"/>
        <v>-3.7499999999999999E-2</v>
      </c>
      <c r="K62" s="58">
        <f t="shared" si="2"/>
        <v>-3.6266666666666669E-2</v>
      </c>
      <c r="L62" s="56"/>
      <c r="M62" s="62">
        <f t="shared" si="3"/>
        <v>-2.8433333333333331E-2</v>
      </c>
      <c r="N62" s="56">
        <f t="shared" si="4"/>
        <v>-1.8742115999999998</v>
      </c>
      <c r="O62" s="58">
        <f t="shared" si="5"/>
        <v>-3.7484231999999995</v>
      </c>
      <c r="P62" s="56" t="e">
        <f t="shared" si="6"/>
        <v>#DIV/0!</v>
      </c>
      <c r="Q62" s="57"/>
      <c r="R62" s="56"/>
      <c r="S62" s="58"/>
      <c r="T62" s="56"/>
    </row>
    <row r="63" spans="1:22" ht="14.45" customHeight="1" x14ac:dyDescent="0.25">
      <c r="D63" s="78">
        <f>A39</f>
        <v>0</v>
      </c>
      <c r="E63" s="12" t="s">
        <v>86</v>
      </c>
      <c r="F63" s="12">
        <f>B39</f>
        <v>0</v>
      </c>
      <c r="I63" s="56"/>
      <c r="J63" s="57">
        <f t="shared" si="1"/>
        <v>-3.7499999999999999E-2</v>
      </c>
      <c r="K63" s="58">
        <f t="shared" si="2"/>
        <v>-3.6266666666666669E-2</v>
      </c>
      <c r="L63" s="56"/>
      <c r="M63" s="62">
        <f t="shared" si="3"/>
        <v>-2.8433333333333331E-2</v>
      </c>
      <c r="N63" s="56">
        <f t="shared" si="4"/>
        <v>-1.8742115999999998</v>
      </c>
      <c r="O63" s="58">
        <f t="shared" si="5"/>
        <v>-3.7484231999999995</v>
      </c>
      <c r="P63" s="56" t="e">
        <f t="shared" si="6"/>
        <v>#DIV/0!</v>
      </c>
      <c r="Q63" s="57" t="e">
        <f>AVERAGE(P63:P65)</f>
        <v>#DIV/0!</v>
      </c>
      <c r="R63" s="56" t="e">
        <f>STDEV(P63:P65)</f>
        <v>#DIV/0!</v>
      </c>
      <c r="S63" s="58" t="e">
        <f>R63/Q63*100</f>
        <v>#DIV/0!</v>
      </c>
      <c r="T63" s="56"/>
    </row>
    <row r="64" spans="1:22" ht="14.45" customHeight="1" x14ac:dyDescent="0.25">
      <c r="D64" s="79"/>
      <c r="E64" s="17" t="s">
        <v>87</v>
      </c>
      <c r="F64" s="17">
        <f t="shared" ref="F64" si="29">F63</f>
        <v>0</v>
      </c>
      <c r="I64" s="56"/>
      <c r="J64" s="57">
        <f t="shared" si="1"/>
        <v>-3.7499999999999999E-2</v>
      </c>
      <c r="K64" s="58">
        <f t="shared" si="2"/>
        <v>-3.6266666666666669E-2</v>
      </c>
      <c r="L64" s="56"/>
      <c r="M64" s="62">
        <f t="shared" si="3"/>
        <v>-2.8433333333333331E-2</v>
      </c>
      <c r="N64" s="56">
        <f t="shared" si="4"/>
        <v>-1.8742115999999998</v>
      </c>
      <c r="O64" s="58">
        <f t="shared" si="5"/>
        <v>-3.7484231999999995</v>
      </c>
      <c r="P64" s="56" t="e">
        <f t="shared" si="6"/>
        <v>#DIV/0!</v>
      </c>
      <c r="Q64" s="57"/>
      <c r="R64" s="56"/>
      <c r="S64" s="58"/>
      <c r="T64" s="56"/>
    </row>
    <row r="65" spans="4:20" ht="14.45" customHeight="1" x14ac:dyDescent="0.25">
      <c r="D65" s="80"/>
      <c r="E65" s="22" t="s">
        <v>88</v>
      </c>
      <c r="F65" s="22">
        <f t="shared" ref="F65" si="30">F63</f>
        <v>0</v>
      </c>
      <c r="I65" s="56"/>
      <c r="J65" s="57">
        <f t="shared" si="1"/>
        <v>-3.7499999999999999E-2</v>
      </c>
      <c r="K65" s="58">
        <f t="shared" si="2"/>
        <v>-3.6266666666666669E-2</v>
      </c>
      <c r="L65" s="56"/>
      <c r="M65" s="62">
        <f t="shared" si="3"/>
        <v>-2.8433333333333331E-2</v>
      </c>
      <c r="N65" s="56">
        <f t="shared" si="4"/>
        <v>-1.8742115999999998</v>
      </c>
      <c r="O65" s="58">
        <f t="shared" si="5"/>
        <v>-3.7484231999999995</v>
      </c>
      <c r="P65" s="56" t="e">
        <f t="shared" si="6"/>
        <v>#DIV/0!</v>
      </c>
      <c r="Q65" s="57"/>
      <c r="R65" s="56"/>
      <c r="S65" s="58"/>
      <c r="T65" s="56"/>
    </row>
    <row r="66" spans="4:20" ht="14.45" customHeight="1" x14ac:dyDescent="0.25">
      <c r="D66" s="71"/>
      <c r="E66" s="17" t="s">
        <v>125</v>
      </c>
      <c r="F66" s="17"/>
      <c r="G66">
        <v>0.24279999999999999</v>
      </c>
      <c r="H66">
        <v>3.5499999999999997E-2</v>
      </c>
      <c r="I66" s="56"/>
      <c r="J66" s="57">
        <f>G69-$J$14</f>
        <v>-3.7499999999999999E-2</v>
      </c>
      <c r="K66" s="58">
        <f>H69-$K$14</f>
        <v>-3.6266666666666669E-2</v>
      </c>
      <c r="L66" s="56"/>
      <c r="M66" s="62">
        <f t="shared" si="3"/>
        <v>-2.8433333333333331E-2</v>
      </c>
      <c r="N66" s="56">
        <f t="shared" si="4"/>
        <v>-1.8742115999999998</v>
      </c>
      <c r="O66" s="58">
        <f t="shared" si="5"/>
        <v>-3.7484231999999995</v>
      </c>
      <c r="P66" s="56" t="e">
        <f>O66/F69</f>
        <v>#DIV/0!</v>
      </c>
      <c r="Q66" s="57" t="e">
        <f>AVERAGE(P66:P68)</f>
        <v>#DIV/0!</v>
      </c>
      <c r="R66" s="56" t="e">
        <f>STDEV(P66:P68)</f>
        <v>#DIV/0!</v>
      </c>
      <c r="S66" s="58" t="e">
        <f>R66/Q66*100</f>
        <v>#DIV/0!</v>
      </c>
      <c r="T66" s="56"/>
    </row>
    <row r="67" spans="4:20" ht="14.45" customHeight="1" x14ac:dyDescent="0.25">
      <c r="D67" s="71"/>
      <c r="E67" s="17" t="s">
        <v>126</v>
      </c>
      <c r="F67" s="17"/>
      <c r="G67">
        <v>0.51629999999999998</v>
      </c>
      <c r="H67">
        <v>3.5000000000000003E-2</v>
      </c>
      <c r="I67" s="56"/>
      <c r="J67" s="57">
        <f>G70-$J$14</f>
        <v>-3.7499999999999999E-2</v>
      </c>
      <c r="K67" s="58">
        <f>H70-$K$14</f>
        <v>-3.6266666666666669E-2</v>
      </c>
      <c r="L67" s="56"/>
      <c r="M67" s="62">
        <f t="shared" si="3"/>
        <v>-2.8433333333333331E-2</v>
      </c>
      <c r="N67" s="56">
        <f t="shared" si="4"/>
        <v>-1.8742115999999998</v>
      </c>
      <c r="O67" s="58">
        <f t="shared" si="5"/>
        <v>-3.7484231999999995</v>
      </c>
      <c r="P67" s="56" t="e">
        <f>O67/F70</f>
        <v>#DIV/0!</v>
      </c>
      <c r="Q67" s="57"/>
      <c r="R67" s="56"/>
      <c r="S67" s="58"/>
      <c r="T67" s="56"/>
    </row>
    <row r="68" spans="4:20" ht="14.45" customHeight="1" x14ac:dyDescent="0.25">
      <c r="D68" s="71"/>
      <c r="E68" s="17" t="s">
        <v>127</v>
      </c>
      <c r="F68" s="17"/>
      <c r="G68">
        <v>2.0608</v>
      </c>
      <c r="H68">
        <v>3.5299999999999998E-2</v>
      </c>
      <c r="I68" s="56"/>
      <c r="J68" s="57">
        <f>G71-$J$14</f>
        <v>-3.7499999999999999E-2</v>
      </c>
      <c r="K68" s="58">
        <f>H71-$K$14</f>
        <v>-3.6266666666666669E-2</v>
      </c>
      <c r="L68" s="56"/>
      <c r="M68" s="62">
        <f t="shared" si="3"/>
        <v>-2.8433333333333331E-2</v>
      </c>
      <c r="N68" s="56">
        <f t="shared" si="4"/>
        <v>-1.8742115999999998</v>
      </c>
      <c r="O68" s="58">
        <f t="shared" si="5"/>
        <v>-3.7484231999999995</v>
      </c>
      <c r="P68" s="56" t="e">
        <f>O68/F71</f>
        <v>#DIV/0!</v>
      </c>
      <c r="Q68" s="57"/>
      <c r="R68" s="56"/>
      <c r="S68" s="58"/>
      <c r="T68" s="56"/>
    </row>
    <row r="69" spans="4:20" ht="14.45" customHeight="1" x14ac:dyDescent="0.25">
      <c r="D69" s="78">
        <f>A40</f>
        <v>0</v>
      </c>
      <c r="E69" s="12" t="s">
        <v>89</v>
      </c>
      <c r="F69" s="12">
        <f>B40</f>
        <v>0</v>
      </c>
      <c r="I69" s="56"/>
      <c r="J69" s="57">
        <f>G72-$J$14</f>
        <v>-3.7499999999999999E-2</v>
      </c>
      <c r="K69" s="58">
        <f>H72-$K$14</f>
        <v>-3.6266666666666669E-2</v>
      </c>
      <c r="L69" s="56"/>
      <c r="M69" s="62">
        <f t="shared" si="3"/>
        <v>-2.8433333333333331E-2</v>
      </c>
      <c r="N69" s="56">
        <f t="shared" si="4"/>
        <v>-1.8742115999999998</v>
      </c>
      <c r="O69" s="58">
        <f t="shared" si="5"/>
        <v>-3.7484231999999995</v>
      </c>
      <c r="P69" s="56" t="e">
        <f>O69/F72</f>
        <v>#DIV/0!</v>
      </c>
      <c r="Q69" s="57" t="e">
        <f>AVERAGE(P69:P71)</f>
        <v>#DIV/0!</v>
      </c>
      <c r="R69" s="56" t="e">
        <f>STDEV(P69:P71)</f>
        <v>#DIV/0!</v>
      </c>
      <c r="S69" s="58" t="e">
        <f>R69/Q69*100</f>
        <v>#DIV/0!</v>
      </c>
      <c r="T69" s="56"/>
    </row>
    <row r="70" spans="4:20" ht="14.45" customHeight="1" x14ac:dyDescent="0.25">
      <c r="D70" s="79"/>
      <c r="E70" s="17" t="s">
        <v>90</v>
      </c>
      <c r="F70" s="17">
        <f t="shared" ref="F70" si="31">F69</f>
        <v>0</v>
      </c>
      <c r="I70" s="56"/>
      <c r="J70" s="57">
        <f>G73-$J$14</f>
        <v>-3.7499999999999999E-2</v>
      </c>
      <c r="K70" s="58">
        <f>H73-$K$14</f>
        <v>-3.6266666666666669E-2</v>
      </c>
      <c r="L70" s="56"/>
      <c r="M70" s="62">
        <f t="shared" si="3"/>
        <v>-2.8433333333333331E-2</v>
      </c>
      <c r="N70" s="56">
        <f t="shared" si="4"/>
        <v>-1.8742115999999998</v>
      </c>
      <c r="O70" s="58">
        <f t="shared" si="5"/>
        <v>-3.7484231999999995</v>
      </c>
      <c r="P70" s="56" t="e">
        <f>O70/F73</f>
        <v>#DIV/0!</v>
      </c>
      <c r="Q70" s="57"/>
      <c r="R70" s="56"/>
      <c r="S70" s="58"/>
      <c r="T70" s="56"/>
    </row>
    <row r="71" spans="4:20" ht="14.45" customHeight="1" x14ac:dyDescent="0.25">
      <c r="D71" s="80"/>
      <c r="E71" s="22" t="s">
        <v>91</v>
      </c>
      <c r="F71" s="22">
        <f t="shared" ref="F71" si="32">F69</f>
        <v>0</v>
      </c>
      <c r="I71" s="56"/>
      <c r="J71" s="57">
        <f>G74-$J$14</f>
        <v>-3.7499999999999999E-2</v>
      </c>
      <c r="K71" s="58">
        <f>H74-$K$14</f>
        <v>-3.6266666666666669E-2</v>
      </c>
      <c r="L71" s="56"/>
      <c r="M71" s="62">
        <f t="shared" si="3"/>
        <v>-2.8433333333333331E-2</v>
      </c>
      <c r="N71" s="56">
        <f t="shared" si="4"/>
        <v>-1.8742115999999998</v>
      </c>
      <c r="O71" s="58">
        <f t="shared" si="5"/>
        <v>-3.7484231999999995</v>
      </c>
      <c r="P71" s="56" t="e">
        <f>O71/F74</f>
        <v>#DIV/0!</v>
      </c>
      <c r="Q71" s="57"/>
      <c r="R71" s="56"/>
      <c r="S71" s="58"/>
      <c r="T71" s="56"/>
    </row>
    <row r="72" spans="4:20" ht="14.45" customHeight="1" x14ac:dyDescent="0.25">
      <c r="D72" s="78">
        <f>A41</f>
        <v>0</v>
      </c>
      <c r="E72" s="12" t="s">
        <v>92</v>
      </c>
      <c r="F72" s="12">
        <f>B41</f>
        <v>0</v>
      </c>
      <c r="I72" s="56"/>
      <c r="J72" s="57">
        <f>G75-$J$14</f>
        <v>-3.7499999999999999E-2</v>
      </c>
      <c r="K72" s="58">
        <f>H75-$K$14</f>
        <v>-3.6266666666666669E-2</v>
      </c>
      <c r="L72" s="56"/>
      <c r="M72" s="62">
        <f t="shared" si="3"/>
        <v>-2.8433333333333331E-2</v>
      </c>
      <c r="N72" s="56">
        <f t="shared" si="4"/>
        <v>-1.8742115999999998</v>
      </c>
      <c r="O72" s="58">
        <f t="shared" si="5"/>
        <v>-3.7484231999999995</v>
      </c>
      <c r="P72" s="56" t="e">
        <f>O72/F75</f>
        <v>#DIV/0!</v>
      </c>
      <c r="Q72" s="57" t="e">
        <f>AVERAGE(P72:P74)</f>
        <v>#DIV/0!</v>
      </c>
      <c r="R72" s="56" t="e">
        <f>STDEV(P72:P74)</f>
        <v>#DIV/0!</v>
      </c>
      <c r="S72" s="58" t="e">
        <f>R72/Q72*100</f>
        <v>#DIV/0!</v>
      </c>
      <c r="T72" s="56"/>
    </row>
    <row r="73" spans="4:20" ht="14.45" customHeight="1" x14ac:dyDescent="0.25">
      <c r="D73" s="79"/>
      <c r="E73" s="17" t="s">
        <v>93</v>
      </c>
      <c r="F73" s="17">
        <f t="shared" ref="F73" si="33">F72</f>
        <v>0</v>
      </c>
      <c r="I73" s="56"/>
      <c r="J73" s="57">
        <f>G76-$J$14</f>
        <v>-3.7499999999999999E-2</v>
      </c>
      <c r="K73" s="58">
        <f>H76-$K$14</f>
        <v>-3.6266666666666669E-2</v>
      </c>
      <c r="L73" s="56"/>
      <c r="M73" s="62">
        <f t="shared" si="3"/>
        <v>-2.8433333333333331E-2</v>
      </c>
      <c r="N73" s="56">
        <f t="shared" si="4"/>
        <v>-1.8742115999999998</v>
      </c>
      <c r="O73" s="58">
        <f t="shared" si="5"/>
        <v>-3.7484231999999995</v>
      </c>
      <c r="P73" s="56" t="e">
        <f>O73/F76</f>
        <v>#DIV/0!</v>
      </c>
      <c r="Q73" s="57"/>
      <c r="R73" s="56"/>
      <c r="S73" s="58"/>
      <c r="T73" s="56"/>
    </row>
    <row r="74" spans="4:20" ht="14.45" customHeight="1" x14ac:dyDescent="0.25">
      <c r="D74" s="80"/>
      <c r="E74" s="22" t="s">
        <v>94</v>
      </c>
      <c r="F74" s="22">
        <f t="shared" ref="F74" si="34">F72</f>
        <v>0</v>
      </c>
      <c r="I74" s="56"/>
      <c r="J74" s="57">
        <f>G77-$J$14</f>
        <v>-3.7499999999999999E-2</v>
      </c>
      <c r="K74" s="58">
        <f>H77-$K$14</f>
        <v>-3.6266666666666669E-2</v>
      </c>
      <c r="L74" s="56"/>
      <c r="M74" s="62">
        <f t="shared" si="3"/>
        <v>-2.8433333333333331E-2</v>
      </c>
      <c r="N74" s="56">
        <f t="shared" si="4"/>
        <v>-1.8742115999999998</v>
      </c>
      <c r="O74" s="58">
        <f t="shared" si="5"/>
        <v>-3.7484231999999995</v>
      </c>
      <c r="P74" s="56" t="e">
        <f>O74/F77</f>
        <v>#DIV/0!</v>
      </c>
      <c r="Q74" s="57"/>
      <c r="R74" s="56"/>
      <c r="S74" s="58"/>
      <c r="T74" s="56"/>
    </row>
    <row r="75" spans="4:20" ht="14.45" customHeight="1" x14ac:dyDescent="0.25">
      <c r="D75" s="78">
        <f>A42</f>
        <v>0</v>
      </c>
      <c r="E75" s="12" t="s">
        <v>95</v>
      </c>
      <c r="F75" s="12">
        <f>B42</f>
        <v>0</v>
      </c>
      <c r="I75" s="56"/>
      <c r="J75" s="57">
        <f>G78-$J$14</f>
        <v>-3.7499999999999999E-2</v>
      </c>
      <c r="K75" s="58">
        <f>H78-$K$14</f>
        <v>-3.6266666666666669E-2</v>
      </c>
      <c r="L75" s="56"/>
      <c r="M75" s="62">
        <f t="shared" si="3"/>
        <v>-2.8433333333333331E-2</v>
      </c>
      <c r="N75" s="56">
        <f t="shared" si="4"/>
        <v>-1.8742115999999998</v>
      </c>
      <c r="O75" s="58">
        <f t="shared" si="5"/>
        <v>-3.7484231999999995</v>
      </c>
      <c r="P75" s="56" t="e">
        <f>O75/F78</f>
        <v>#DIV/0!</v>
      </c>
      <c r="Q75" s="57" t="e">
        <f>AVERAGE(P75:P77)</f>
        <v>#DIV/0!</v>
      </c>
      <c r="R75" s="56" t="e">
        <f>STDEV(P75:P77)</f>
        <v>#DIV/0!</v>
      </c>
      <c r="S75" s="58" t="e">
        <f>R75/Q75*100</f>
        <v>#DIV/0!</v>
      </c>
      <c r="T75" s="56"/>
    </row>
    <row r="76" spans="4:20" ht="14.45" customHeight="1" x14ac:dyDescent="0.25">
      <c r="D76" s="79"/>
      <c r="E76" s="17" t="s">
        <v>96</v>
      </c>
      <c r="F76" s="17">
        <f t="shared" ref="F76" si="35">F75</f>
        <v>0</v>
      </c>
      <c r="I76" s="56"/>
      <c r="J76" s="57">
        <f>G79-$J$14</f>
        <v>-3.7499999999999999E-2</v>
      </c>
      <c r="K76" s="58">
        <f>H79-$K$14</f>
        <v>-3.6266666666666669E-2</v>
      </c>
      <c r="L76" s="56"/>
      <c r="M76" s="62">
        <f t="shared" si="3"/>
        <v>-2.8433333333333331E-2</v>
      </c>
      <c r="N76" s="56">
        <f t="shared" si="4"/>
        <v>-1.8742115999999998</v>
      </c>
      <c r="O76" s="58">
        <f t="shared" si="5"/>
        <v>-3.7484231999999995</v>
      </c>
      <c r="P76" s="56" t="e">
        <f>O76/F79</f>
        <v>#DIV/0!</v>
      </c>
      <c r="Q76" s="57"/>
      <c r="R76" s="56"/>
      <c r="S76" s="58"/>
      <c r="T76" s="56"/>
    </row>
    <row r="77" spans="4:20" ht="14.45" customHeight="1" x14ac:dyDescent="0.25">
      <c r="D77" s="80"/>
      <c r="E77" s="22" t="s">
        <v>97</v>
      </c>
      <c r="F77" s="22">
        <f t="shared" ref="F77" si="36">F75</f>
        <v>0</v>
      </c>
      <c r="I77" s="56"/>
      <c r="J77" s="57">
        <f>G80-$J$14</f>
        <v>-3.7499999999999999E-2</v>
      </c>
      <c r="K77" s="58">
        <f>H80-$K$14</f>
        <v>-3.6266666666666669E-2</v>
      </c>
      <c r="L77" s="56"/>
      <c r="M77" s="62">
        <f t="shared" si="3"/>
        <v>-2.8433333333333331E-2</v>
      </c>
      <c r="N77" s="56">
        <f t="shared" si="4"/>
        <v>-1.8742115999999998</v>
      </c>
      <c r="O77" s="58">
        <f t="shared" si="5"/>
        <v>-3.7484231999999995</v>
      </c>
      <c r="P77" s="56" t="e">
        <f>O77/F80</f>
        <v>#DIV/0!</v>
      </c>
      <c r="Q77" s="57"/>
      <c r="R77" s="56"/>
      <c r="S77" s="58"/>
      <c r="T77" s="56"/>
    </row>
    <row r="78" spans="4:20" ht="14.45" customHeight="1" x14ac:dyDescent="0.25">
      <c r="D78" s="78">
        <f>A43</f>
        <v>0</v>
      </c>
      <c r="E78" s="12" t="s">
        <v>98</v>
      </c>
      <c r="F78" s="12">
        <f>B43</f>
        <v>0</v>
      </c>
      <c r="I78" s="56"/>
      <c r="J78" s="57">
        <f>G81-$J$14</f>
        <v>-3.7499999999999999E-2</v>
      </c>
      <c r="K78" s="58">
        <f>H81-$K$14</f>
        <v>-3.6266666666666669E-2</v>
      </c>
      <c r="L78" s="56"/>
      <c r="M78" s="62">
        <f t="shared" si="3"/>
        <v>-2.8433333333333331E-2</v>
      </c>
      <c r="N78" s="56">
        <f t="shared" si="4"/>
        <v>-1.8742115999999998</v>
      </c>
      <c r="O78" s="58">
        <f t="shared" si="5"/>
        <v>-3.7484231999999995</v>
      </c>
      <c r="P78" s="56" t="e">
        <f>O78/F81</f>
        <v>#DIV/0!</v>
      </c>
      <c r="Q78" s="57" t="e">
        <f>AVERAGE(P78:P80)</f>
        <v>#DIV/0!</v>
      </c>
      <c r="R78" s="56" t="e">
        <f>STDEV(P78:P80)</f>
        <v>#DIV/0!</v>
      </c>
      <c r="S78" s="58" t="e">
        <f>R78/Q78*100</f>
        <v>#DIV/0!</v>
      </c>
      <c r="T78" s="56"/>
    </row>
    <row r="79" spans="4:20" ht="14.45" customHeight="1" x14ac:dyDescent="0.25">
      <c r="D79" s="79"/>
      <c r="E79" s="17" t="s">
        <v>99</v>
      </c>
      <c r="F79" s="17">
        <f t="shared" ref="F79" si="37">F78</f>
        <v>0</v>
      </c>
      <c r="I79" s="56"/>
      <c r="J79" s="57">
        <f>G82-$J$14</f>
        <v>-3.7499999999999999E-2</v>
      </c>
      <c r="K79" s="58">
        <f>H82-$K$14</f>
        <v>-3.6266666666666669E-2</v>
      </c>
      <c r="L79" s="56"/>
      <c r="M79" s="62">
        <f t="shared" si="3"/>
        <v>-2.8433333333333331E-2</v>
      </c>
      <c r="N79" s="56">
        <f t="shared" si="4"/>
        <v>-1.8742115999999998</v>
      </c>
      <c r="O79" s="58">
        <f t="shared" si="5"/>
        <v>-3.7484231999999995</v>
      </c>
      <c r="P79" s="56" t="e">
        <f>O79/F82</f>
        <v>#DIV/0!</v>
      </c>
      <c r="Q79" s="57"/>
      <c r="R79" s="56"/>
      <c r="S79" s="58"/>
      <c r="T79" s="56"/>
    </row>
    <row r="80" spans="4:20" ht="14.45" customHeight="1" x14ac:dyDescent="0.25">
      <c r="D80" s="80"/>
      <c r="E80" s="22" t="s">
        <v>100</v>
      </c>
      <c r="F80" s="22">
        <f t="shared" ref="F80" si="38">F78</f>
        <v>0</v>
      </c>
      <c r="I80" s="56"/>
      <c r="J80" s="57">
        <f>G83-$J$14</f>
        <v>-3.7499999999999999E-2</v>
      </c>
      <c r="K80" s="58">
        <f>H83-$K$14</f>
        <v>-3.6266666666666669E-2</v>
      </c>
      <c r="L80" s="56"/>
      <c r="M80" s="62">
        <f t="shared" si="3"/>
        <v>-2.8433333333333331E-2</v>
      </c>
      <c r="N80" s="56">
        <f t="shared" si="4"/>
        <v>-1.8742115999999998</v>
      </c>
      <c r="O80" s="58">
        <f t="shared" si="5"/>
        <v>-3.7484231999999995</v>
      </c>
      <c r="P80" s="56" t="e">
        <f>O80/F83</f>
        <v>#DIV/0!</v>
      </c>
      <c r="Q80" s="57"/>
      <c r="R80" s="56"/>
      <c r="S80" s="58"/>
      <c r="T80" s="56"/>
    </row>
    <row r="81" spans="4:20" ht="14.45" customHeight="1" x14ac:dyDescent="0.25">
      <c r="D81" s="78">
        <f>A44</f>
        <v>0</v>
      </c>
      <c r="E81" s="12" t="s">
        <v>101</v>
      </c>
      <c r="F81" s="12">
        <f>B44</f>
        <v>0</v>
      </c>
      <c r="I81" s="56"/>
      <c r="J81" s="57">
        <f>G84-$J$14</f>
        <v>-3.7499999999999999E-2</v>
      </c>
      <c r="K81" s="58">
        <f>H84-$K$14</f>
        <v>-3.6266666666666669E-2</v>
      </c>
      <c r="L81" s="56"/>
      <c r="M81" s="62">
        <f t="shared" si="3"/>
        <v>-2.8433333333333331E-2</v>
      </c>
      <c r="N81" s="56">
        <f t="shared" si="4"/>
        <v>-1.8742115999999998</v>
      </c>
      <c r="O81" s="58">
        <f t="shared" si="5"/>
        <v>-3.7484231999999995</v>
      </c>
      <c r="P81" s="56" t="e">
        <f>O81/F84</f>
        <v>#DIV/0!</v>
      </c>
      <c r="Q81" s="57" t="e">
        <f>AVERAGE(P81:P83)</f>
        <v>#DIV/0!</v>
      </c>
      <c r="R81" s="56" t="e">
        <f>STDEV(P81:P83)</f>
        <v>#DIV/0!</v>
      </c>
      <c r="S81" s="58" t="e">
        <f>R81/Q81*100</f>
        <v>#DIV/0!</v>
      </c>
      <c r="T81" s="56"/>
    </row>
    <row r="82" spans="4:20" ht="14.45" customHeight="1" x14ac:dyDescent="0.25">
      <c r="D82" s="79"/>
      <c r="E82" s="17" t="s">
        <v>102</v>
      </c>
      <c r="F82" s="17">
        <f t="shared" ref="F82" si="39">F81</f>
        <v>0</v>
      </c>
      <c r="I82" s="56"/>
      <c r="J82" s="57">
        <f>G85-$J$14</f>
        <v>-3.7499999999999999E-2</v>
      </c>
      <c r="K82" s="58">
        <f>H85-$K$14</f>
        <v>-3.6266666666666669E-2</v>
      </c>
      <c r="L82" s="56"/>
      <c r="M82" s="62">
        <f t="shared" si="3"/>
        <v>-2.8433333333333331E-2</v>
      </c>
      <c r="N82" s="56">
        <f t="shared" si="4"/>
        <v>-1.8742115999999998</v>
      </c>
      <c r="O82" s="58">
        <f t="shared" si="5"/>
        <v>-3.7484231999999995</v>
      </c>
      <c r="P82" s="56" t="e">
        <f>O82/F85</f>
        <v>#DIV/0!</v>
      </c>
      <c r="Q82" s="57"/>
      <c r="R82" s="56"/>
      <c r="S82" s="58"/>
      <c r="T82" s="56"/>
    </row>
    <row r="83" spans="4:20" ht="14.45" customHeight="1" x14ac:dyDescent="0.25">
      <c r="D83" s="80"/>
      <c r="E83" s="22" t="s">
        <v>103</v>
      </c>
      <c r="F83" s="22">
        <f t="shared" ref="F83" si="40">F81</f>
        <v>0</v>
      </c>
      <c r="I83" s="56"/>
      <c r="J83" s="57">
        <f>G86-$J$14</f>
        <v>-3.7499999999999999E-2</v>
      </c>
      <c r="K83" s="58">
        <f>H86-$K$14</f>
        <v>-3.6266666666666669E-2</v>
      </c>
      <c r="L83" s="56"/>
      <c r="M83" s="62">
        <f t="shared" si="3"/>
        <v>-2.8433333333333331E-2</v>
      </c>
      <c r="N83" s="56">
        <f t="shared" si="4"/>
        <v>-1.8742115999999998</v>
      </c>
      <c r="O83" s="58">
        <f t="shared" si="5"/>
        <v>-3.7484231999999995</v>
      </c>
      <c r="P83" s="56" t="e">
        <f>O83/F86</f>
        <v>#DIV/0!</v>
      </c>
      <c r="Q83" s="57"/>
      <c r="R83" s="56"/>
      <c r="S83" s="58"/>
      <c r="T83" s="56"/>
    </row>
    <row r="84" spans="4:20" ht="14.45" customHeight="1" x14ac:dyDescent="0.25">
      <c r="D84" s="78">
        <f>A45</f>
        <v>0</v>
      </c>
      <c r="E84" s="12" t="s">
        <v>104</v>
      </c>
      <c r="F84" s="12">
        <f>B45</f>
        <v>0</v>
      </c>
      <c r="I84" s="56"/>
      <c r="J84" s="57">
        <f>G87-$J$14</f>
        <v>-3.7499999999999999E-2</v>
      </c>
      <c r="K84" s="58">
        <f>H87-$K$14</f>
        <v>-3.6266666666666669E-2</v>
      </c>
      <c r="L84" s="56"/>
      <c r="M84" s="62">
        <f t="shared" si="3"/>
        <v>-2.8433333333333331E-2</v>
      </c>
      <c r="N84" s="56">
        <f t="shared" si="4"/>
        <v>-1.8742115999999998</v>
      </c>
      <c r="O84" s="58">
        <f t="shared" si="5"/>
        <v>-3.7484231999999995</v>
      </c>
      <c r="P84" s="56" t="e">
        <f>O84/F87</f>
        <v>#DIV/0!</v>
      </c>
      <c r="Q84" s="57" t="e">
        <f>AVERAGE(P84:P86)</f>
        <v>#DIV/0!</v>
      </c>
      <c r="R84" s="56" t="e">
        <f>STDEV(P84:P86)</f>
        <v>#DIV/0!</v>
      </c>
      <c r="S84" s="58" t="e">
        <f>R84/Q84*100</f>
        <v>#DIV/0!</v>
      </c>
      <c r="T84" s="56"/>
    </row>
    <row r="85" spans="4:20" ht="14.45" customHeight="1" x14ac:dyDescent="0.25">
      <c r="D85" s="79"/>
      <c r="E85" s="17" t="s">
        <v>105</v>
      </c>
      <c r="F85" s="17">
        <f t="shared" ref="F85" si="41">F84</f>
        <v>0</v>
      </c>
      <c r="I85" s="56"/>
      <c r="J85" s="57">
        <f>G88-$J$14</f>
        <v>-3.7499999999999999E-2</v>
      </c>
      <c r="K85" s="58">
        <f>H88-$K$14</f>
        <v>-3.6266666666666669E-2</v>
      </c>
      <c r="L85" s="56"/>
      <c r="M85" s="62">
        <f t="shared" si="3"/>
        <v>-2.8433333333333331E-2</v>
      </c>
      <c r="N85" s="56">
        <f t="shared" si="4"/>
        <v>-1.8742115999999998</v>
      </c>
      <c r="O85" s="58">
        <f t="shared" si="5"/>
        <v>-3.7484231999999995</v>
      </c>
      <c r="P85" s="56" t="e">
        <f>O85/F88</f>
        <v>#DIV/0!</v>
      </c>
      <c r="Q85" s="57"/>
      <c r="R85" s="56"/>
      <c r="S85" s="58"/>
      <c r="T85" s="56"/>
    </row>
    <row r="86" spans="4:20" ht="14.45" customHeight="1" x14ac:dyDescent="0.25">
      <c r="D86" s="80"/>
      <c r="E86" s="22" t="s">
        <v>106</v>
      </c>
      <c r="F86" s="22">
        <f t="shared" ref="F86" si="42">F84</f>
        <v>0</v>
      </c>
      <c r="I86" s="56"/>
      <c r="J86" s="57">
        <f>G89-$J$14</f>
        <v>-3.7499999999999999E-2</v>
      </c>
      <c r="K86" s="58">
        <f>H89-$K$14</f>
        <v>-3.6266666666666669E-2</v>
      </c>
      <c r="L86" s="56"/>
      <c r="M86" s="62">
        <f t="shared" si="3"/>
        <v>-2.8433333333333331E-2</v>
      </c>
      <c r="N86" s="56">
        <f t="shared" si="4"/>
        <v>-1.8742115999999998</v>
      </c>
      <c r="O86" s="58">
        <f t="shared" si="5"/>
        <v>-3.7484231999999995</v>
      </c>
      <c r="P86" s="56" t="e">
        <f>O86/F89</f>
        <v>#DIV/0!</v>
      </c>
      <c r="Q86" s="57"/>
      <c r="R86" s="56"/>
      <c r="S86" s="58"/>
      <c r="T86" s="56"/>
    </row>
    <row r="87" spans="4:20" ht="14.45" customHeight="1" x14ac:dyDescent="0.25">
      <c r="D87" s="78">
        <f>A46</f>
        <v>0</v>
      </c>
      <c r="E87" s="12" t="s">
        <v>107</v>
      </c>
      <c r="F87" s="12">
        <f>B46</f>
        <v>0</v>
      </c>
      <c r="I87" s="56"/>
      <c r="J87" s="57">
        <f>G90-$J$14</f>
        <v>-3.7499999999999999E-2</v>
      </c>
      <c r="K87" s="58">
        <f>H90-$K$14</f>
        <v>-3.6266666666666669E-2</v>
      </c>
      <c r="L87" s="56"/>
      <c r="M87" s="62">
        <f t="shared" si="3"/>
        <v>-2.8433333333333331E-2</v>
      </c>
      <c r="N87" s="56">
        <f t="shared" si="4"/>
        <v>-1.8742115999999998</v>
      </c>
      <c r="O87" s="58">
        <f t="shared" si="5"/>
        <v>-3.7484231999999995</v>
      </c>
      <c r="P87" s="56" t="e">
        <f>O87/F90</f>
        <v>#DIV/0!</v>
      </c>
      <c r="Q87" s="57" t="e">
        <f>AVERAGE(P87:P89)</f>
        <v>#DIV/0!</v>
      </c>
      <c r="R87" s="56" t="e">
        <f>STDEV(P87:P89)</f>
        <v>#DIV/0!</v>
      </c>
      <c r="S87" s="58" t="e">
        <f>R87/Q87*100</f>
        <v>#DIV/0!</v>
      </c>
      <c r="T87" s="56"/>
    </row>
    <row r="88" spans="4:20" ht="14.45" customHeight="1" x14ac:dyDescent="0.25">
      <c r="D88" s="79"/>
      <c r="E88" s="17" t="s">
        <v>108</v>
      </c>
      <c r="F88" s="17">
        <f t="shared" ref="F88" si="43">F87</f>
        <v>0</v>
      </c>
      <c r="I88" s="56"/>
      <c r="J88" s="57">
        <f>G91-$J$14</f>
        <v>-3.7499999999999999E-2</v>
      </c>
      <c r="K88" s="58">
        <f>H91-$K$14</f>
        <v>-3.6266666666666669E-2</v>
      </c>
      <c r="L88" s="56"/>
      <c r="M88" s="62">
        <f t="shared" si="3"/>
        <v>-2.8433333333333331E-2</v>
      </c>
      <c r="N88" s="56">
        <f t="shared" si="4"/>
        <v>-1.8742115999999998</v>
      </c>
      <c r="O88" s="58">
        <f t="shared" si="5"/>
        <v>-3.7484231999999995</v>
      </c>
      <c r="P88" s="56" t="e">
        <f>O88/F91</f>
        <v>#DIV/0!</v>
      </c>
      <c r="Q88" s="57"/>
      <c r="R88" s="56"/>
      <c r="S88" s="58"/>
      <c r="T88" s="56"/>
    </row>
    <row r="89" spans="4:20" ht="14.45" customHeight="1" x14ac:dyDescent="0.25">
      <c r="D89" s="80"/>
      <c r="E89" s="22" t="s">
        <v>109</v>
      </c>
      <c r="F89" s="22">
        <f t="shared" ref="F89" si="44">F87</f>
        <v>0</v>
      </c>
      <c r="I89" s="56"/>
      <c r="J89" s="57">
        <f>G92-$J$14</f>
        <v>-3.7499999999999999E-2</v>
      </c>
      <c r="K89" s="58">
        <f>H92-$K$14</f>
        <v>-3.6266666666666669E-2</v>
      </c>
      <c r="L89" s="56"/>
      <c r="M89" s="62">
        <f t="shared" si="3"/>
        <v>-2.8433333333333331E-2</v>
      </c>
      <c r="N89" s="56">
        <f t="shared" si="4"/>
        <v>-1.8742115999999998</v>
      </c>
      <c r="O89" s="58">
        <f t="shared" si="5"/>
        <v>-3.7484231999999995</v>
      </c>
      <c r="P89" s="56" t="e">
        <f>O89/F92</f>
        <v>#DIV/0!</v>
      </c>
      <c r="Q89" s="57"/>
      <c r="R89" s="56"/>
      <c r="S89" s="58"/>
      <c r="T89" s="56"/>
    </row>
    <row r="90" spans="4:20" ht="14.45" customHeight="1" x14ac:dyDescent="0.25">
      <c r="D90" s="78">
        <f>A47</f>
        <v>0</v>
      </c>
      <c r="E90" s="12" t="s">
        <v>110</v>
      </c>
      <c r="F90" s="12">
        <f>B47</f>
        <v>0</v>
      </c>
      <c r="I90" s="56"/>
      <c r="J90" s="57">
        <f>G96-$J$14</f>
        <v>-3.7499999999999999E-2</v>
      </c>
      <c r="K90" s="58">
        <f>H96-$K$14</f>
        <v>-3.6266666666666669E-2</v>
      </c>
      <c r="L90" s="56"/>
      <c r="M90" s="62">
        <f t="shared" si="3"/>
        <v>-2.8433333333333331E-2</v>
      </c>
      <c r="N90" s="56">
        <f t="shared" si="4"/>
        <v>-1.8742115999999998</v>
      </c>
      <c r="O90" s="58">
        <f t="shared" si="5"/>
        <v>-3.7484231999999995</v>
      </c>
      <c r="P90" s="56" t="e">
        <f>O90/F96</f>
        <v>#DIV/0!</v>
      </c>
      <c r="Q90" s="57" t="e">
        <f>AVERAGE(P90:P92)</f>
        <v>#DIV/0!</v>
      </c>
      <c r="R90" s="56" t="e">
        <f>STDEV(P90:P92)</f>
        <v>#DIV/0!</v>
      </c>
      <c r="S90" s="58" t="e">
        <f>R90/Q90*100</f>
        <v>#DIV/0!</v>
      </c>
      <c r="T90" s="56"/>
    </row>
    <row r="91" spans="4:20" ht="14.45" customHeight="1" x14ac:dyDescent="0.25">
      <c r="D91" s="79"/>
      <c r="E91" s="17" t="s">
        <v>111</v>
      </c>
      <c r="F91" s="17">
        <f t="shared" ref="F91:F103" si="45">F90</f>
        <v>0</v>
      </c>
      <c r="I91" s="56"/>
      <c r="J91" s="57">
        <f>G97-$J$14</f>
        <v>-3.7499999999999999E-2</v>
      </c>
      <c r="K91" s="58">
        <f>H97-$K$14</f>
        <v>-3.6266666666666669E-2</v>
      </c>
      <c r="L91" s="56"/>
      <c r="M91" s="62">
        <f t="shared" si="3"/>
        <v>-2.8433333333333331E-2</v>
      </c>
      <c r="N91" s="56">
        <f t="shared" si="4"/>
        <v>-1.8742115999999998</v>
      </c>
      <c r="O91" s="58">
        <f t="shared" si="5"/>
        <v>-3.7484231999999995</v>
      </c>
      <c r="P91" s="56" t="e">
        <f>O91/F97</f>
        <v>#DIV/0!</v>
      </c>
      <c r="Q91" s="57"/>
      <c r="R91" s="56"/>
      <c r="S91" s="58"/>
      <c r="T91" s="56"/>
    </row>
    <row r="92" spans="4:20" ht="14.45" customHeight="1" x14ac:dyDescent="0.25">
      <c r="D92" s="80"/>
      <c r="E92" s="22" t="s">
        <v>112</v>
      </c>
      <c r="F92" s="22">
        <f t="shared" ref="F92:F104" si="46">F90</f>
        <v>0</v>
      </c>
      <c r="I92" s="56"/>
      <c r="J92" s="57">
        <f>G98-$J$14</f>
        <v>-3.7499999999999999E-2</v>
      </c>
      <c r="K92" s="58">
        <f>H98-$K$14</f>
        <v>-3.6266666666666669E-2</v>
      </c>
      <c r="L92" s="56"/>
      <c r="M92" s="62">
        <f t="shared" ref="M92:M98" si="47">J92-(0.25*K92)</f>
        <v>-2.8433333333333331E-2</v>
      </c>
      <c r="N92" s="56">
        <f t="shared" ref="N92:N98" si="48">M92*65.916</f>
        <v>-1.8742115999999998</v>
      </c>
      <c r="O92" s="58">
        <f t="shared" ref="O92:O98" si="49">N92*2</f>
        <v>-3.7484231999999995</v>
      </c>
      <c r="P92" s="56" t="e">
        <f>O92/F98</f>
        <v>#DIV/0!</v>
      </c>
      <c r="Q92" s="57"/>
      <c r="R92" s="56"/>
      <c r="S92" s="58"/>
      <c r="T92" s="56"/>
    </row>
    <row r="93" spans="4:20" ht="14.45" customHeight="1" x14ac:dyDescent="0.25">
      <c r="D93" s="71"/>
      <c r="E93" s="17" t="s">
        <v>128</v>
      </c>
      <c r="F93" s="17"/>
      <c r="G93">
        <v>3.9100000000000003E-2</v>
      </c>
      <c r="H93">
        <v>3.7900000000000003E-2</v>
      </c>
      <c r="I93" s="56"/>
      <c r="J93" s="57">
        <f>G99-$J$14</f>
        <v>-3.7499999999999999E-2</v>
      </c>
      <c r="K93" s="58">
        <f>H99-$K$14</f>
        <v>-3.6266666666666669E-2</v>
      </c>
      <c r="L93" s="56"/>
      <c r="M93" s="62">
        <f t="shared" si="47"/>
        <v>-2.8433333333333331E-2</v>
      </c>
      <c r="N93" s="56">
        <f t="shared" si="48"/>
        <v>-1.8742115999999998</v>
      </c>
      <c r="O93" s="58">
        <f t="shared" si="49"/>
        <v>-3.7484231999999995</v>
      </c>
      <c r="P93" s="56" t="e">
        <f>O93/F99</f>
        <v>#DIV/0!</v>
      </c>
      <c r="Q93" s="57" t="e">
        <f>AVERAGE(P93:P95)</f>
        <v>#DIV/0!</v>
      </c>
      <c r="R93" s="56" t="e">
        <f>STDEV(P93:P95)</f>
        <v>#DIV/0!</v>
      </c>
      <c r="S93" s="58" t="e">
        <f>R93/Q93*100</f>
        <v>#DIV/0!</v>
      </c>
      <c r="T93" s="56"/>
    </row>
    <row r="94" spans="4:20" ht="14.45" customHeight="1" x14ac:dyDescent="0.25">
      <c r="D94" s="71"/>
      <c r="E94" s="17" t="s">
        <v>129</v>
      </c>
      <c r="F94" s="17"/>
      <c r="G94">
        <v>3.6700000000000003E-2</v>
      </c>
      <c r="H94">
        <v>3.56E-2</v>
      </c>
      <c r="I94" s="56"/>
      <c r="J94" s="57">
        <f>G100-$J$14</f>
        <v>-3.7499999999999999E-2</v>
      </c>
      <c r="K94" s="58">
        <f>H100-$K$14</f>
        <v>-3.6266666666666669E-2</v>
      </c>
      <c r="L94" s="56"/>
      <c r="M94" s="62">
        <f t="shared" si="47"/>
        <v>-2.8433333333333331E-2</v>
      </c>
      <c r="N94" s="56">
        <f t="shared" si="48"/>
        <v>-1.8742115999999998</v>
      </c>
      <c r="O94" s="58">
        <f t="shared" si="49"/>
        <v>-3.7484231999999995</v>
      </c>
      <c r="P94" s="56" t="e">
        <f>O94/F100</f>
        <v>#DIV/0!</v>
      </c>
      <c r="Q94" s="57"/>
      <c r="R94" s="56"/>
      <c r="S94" s="58"/>
      <c r="T94" s="56"/>
    </row>
    <row r="95" spans="4:20" ht="14.45" customHeight="1" x14ac:dyDescent="0.25">
      <c r="D95" s="71"/>
      <c r="E95" s="17" t="s">
        <v>130</v>
      </c>
      <c r="F95" s="17"/>
      <c r="G95">
        <v>3.6999999999999998E-2</v>
      </c>
      <c r="H95">
        <v>3.5900000000000001E-2</v>
      </c>
      <c r="I95" s="56"/>
      <c r="J95" s="57">
        <f>G101-$J$14</f>
        <v>-3.7499999999999999E-2</v>
      </c>
      <c r="K95" s="58">
        <f>H101-$K$14</f>
        <v>-3.6266666666666669E-2</v>
      </c>
      <c r="L95" s="56"/>
      <c r="M95" s="62">
        <f t="shared" si="47"/>
        <v>-2.8433333333333331E-2</v>
      </c>
      <c r="N95" s="56">
        <f t="shared" si="48"/>
        <v>-1.8742115999999998</v>
      </c>
      <c r="O95" s="58">
        <f t="shared" si="49"/>
        <v>-3.7484231999999995</v>
      </c>
      <c r="P95" s="56" t="e">
        <f>O95/F101</f>
        <v>#DIV/0!</v>
      </c>
      <c r="Q95" s="57"/>
      <c r="R95" s="56"/>
      <c r="S95" s="58"/>
      <c r="T95" s="56"/>
    </row>
    <row r="96" spans="4:20" ht="14.45" customHeight="1" x14ac:dyDescent="0.25">
      <c r="D96" s="78">
        <f>A48</f>
        <v>0</v>
      </c>
      <c r="E96" s="12" t="s">
        <v>113</v>
      </c>
      <c r="F96" s="12">
        <f>B48</f>
        <v>0</v>
      </c>
      <c r="I96" s="56"/>
      <c r="J96" s="57">
        <f>G102-$J$14</f>
        <v>-3.7499999999999999E-2</v>
      </c>
      <c r="K96" s="58">
        <f>H102-$K$14</f>
        <v>-3.6266666666666669E-2</v>
      </c>
      <c r="L96" s="56"/>
      <c r="M96" s="62">
        <f t="shared" si="47"/>
        <v>-2.8433333333333331E-2</v>
      </c>
      <c r="N96" s="56">
        <f t="shared" si="48"/>
        <v>-1.8742115999999998</v>
      </c>
      <c r="O96" s="58">
        <f t="shared" si="49"/>
        <v>-3.7484231999999995</v>
      </c>
      <c r="P96" s="56" t="e">
        <f>O96/F102</f>
        <v>#DIV/0!</v>
      </c>
      <c r="Q96" s="57" t="e">
        <f>AVERAGE(P96:P98)</f>
        <v>#DIV/0!</v>
      </c>
      <c r="R96" s="56" t="e">
        <f>STDEV(P96:P98)</f>
        <v>#DIV/0!</v>
      </c>
      <c r="S96" s="58" t="e">
        <f>R96/Q96*100</f>
        <v>#DIV/0!</v>
      </c>
      <c r="T96" s="56"/>
    </row>
    <row r="97" spans="4:20" ht="14.45" customHeight="1" x14ac:dyDescent="0.25">
      <c r="D97" s="79"/>
      <c r="E97" s="17" t="s">
        <v>114</v>
      </c>
      <c r="F97" s="17">
        <f t="shared" si="45"/>
        <v>0</v>
      </c>
      <c r="I97" s="56"/>
      <c r="J97" s="57">
        <f>G103-$J$14</f>
        <v>-3.7499999999999999E-2</v>
      </c>
      <c r="K97" s="58">
        <f>H103-$K$14</f>
        <v>-3.6266666666666669E-2</v>
      </c>
      <c r="L97" s="56"/>
      <c r="M97" s="62">
        <f t="shared" si="47"/>
        <v>-2.8433333333333331E-2</v>
      </c>
      <c r="N97" s="56">
        <f t="shared" si="48"/>
        <v>-1.8742115999999998</v>
      </c>
      <c r="O97" s="58">
        <f t="shared" si="49"/>
        <v>-3.7484231999999995</v>
      </c>
      <c r="P97" s="56" t="e">
        <f>O97/F103</f>
        <v>#DIV/0!</v>
      </c>
      <c r="Q97" s="57"/>
      <c r="R97" s="56"/>
      <c r="S97" s="58"/>
      <c r="T97" s="56"/>
    </row>
    <row r="98" spans="4:20" ht="14.45" customHeight="1" x14ac:dyDescent="0.25">
      <c r="D98" s="80"/>
      <c r="E98" s="22" t="s">
        <v>115</v>
      </c>
      <c r="F98" s="22">
        <f t="shared" si="46"/>
        <v>0</v>
      </c>
      <c r="I98" s="56"/>
      <c r="J98" s="65">
        <f>G104-$J$14</f>
        <v>-3.7499999999999999E-2</v>
      </c>
      <c r="K98" s="66">
        <f>H104-$K$14</f>
        <v>-3.6266666666666669E-2</v>
      </c>
      <c r="L98" s="56"/>
      <c r="M98" s="69">
        <f t="shared" si="47"/>
        <v>-2.8433333333333331E-2</v>
      </c>
      <c r="N98" s="56">
        <f t="shared" si="48"/>
        <v>-1.8742115999999998</v>
      </c>
      <c r="O98" s="66">
        <f t="shared" si="49"/>
        <v>-3.7484231999999995</v>
      </c>
      <c r="P98" s="70" t="e">
        <f>O98/F104</f>
        <v>#DIV/0!</v>
      </c>
      <c r="Q98" s="65"/>
      <c r="R98" s="70"/>
      <c r="S98" s="66"/>
      <c r="T98" s="56"/>
    </row>
    <row r="99" spans="4:20" x14ac:dyDescent="0.25">
      <c r="D99" s="78">
        <f>A49</f>
        <v>0</v>
      </c>
      <c r="E99" s="12" t="s">
        <v>116</v>
      </c>
      <c r="F99" s="12">
        <f>B49</f>
        <v>0</v>
      </c>
      <c r="N99" s="35"/>
    </row>
    <row r="100" spans="4:20" x14ac:dyDescent="0.25">
      <c r="D100" s="79"/>
      <c r="E100" s="17" t="s">
        <v>117</v>
      </c>
      <c r="F100" s="17">
        <f t="shared" si="45"/>
        <v>0</v>
      </c>
    </row>
    <row r="101" spans="4:20" x14ac:dyDescent="0.25">
      <c r="D101" s="80"/>
      <c r="E101" s="22" t="s">
        <v>118</v>
      </c>
      <c r="F101" s="22">
        <f t="shared" si="46"/>
        <v>0</v>
      </c>
    </row>
    <row r="102" spans="4:20" x14ac:dyDescent="0.25">
      <c r="D102" s="78">
        <f>A50</f>
        <v>0</v>
      </c>
      <c r="E102" s="12" t="s">
        <v>119</v>
      </c>
      <c r="F102" s="12">
        <f>B50</f>
        <v>0</v>
      </c>
    </row>
    <row r="103" spans="4:20" x14ac:dyDescent="0.25">
      <c r="D103" s="79"/>
      <c r="E103" s="17" t="s">
        <v>120</v>
      </c>
      <c r="F103" s="17">
        <f t="shared" si="45"/>
        <v>0</v>
      </c>
    </row>
    <row r="104" spans="4:20" x14ac:dyDescent="0.25">
      <c r="D104" s="80"/>
      <c r="E104" s="22" t="s">
        <v>121</v>
      </c>
      <c r="F104" s="22">
        <f t="shared" si="46"/>
        <v>0</v>
      </c>
    </row>
  </sheetData>
  <mergeCells count="31">
    <mergeCell ref="D102:D104"/>
    <mergeCell ref="D81:D83"/>
    <mergeCell ref="D84:D86"/>
    <mergeCell ref="D87:D89"/>
    <mergeCell ref="D90:D92"/>
    <mergeCell ref="D96:D98"/>
    <mergeCell ref="D99:D101"/>
    <mergeCell ref="D60:D62"/>
    <mergeCell ref="D63:D65"/>
    <mergeCell ref="D69:D71"/>
    <mergeCell ref="D72:D74"/>
    <mergeCell ref="D75:D77"/>
    <mergeCell ref="D78:D80"/>
    <mergeCell ref="D42:D44"/>
    <mergeCell ref="D45:D47"/>
    <mergeCell ref="D48:D50"/>
    <mergeCell ref="D51:D53"/>
    <mergeCell ref="D54:D56"/>
    <mergeCell ref="D57:D59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1-24</vt:lpstr>
      <vt:lpstr>25-48</vt:lpstr>
      <vt:lpstr>49-72</vt:lpstr>
      <vt:lpstr>73-96</vt:lpstr>
      <vt:lpstr>97-120</vt:lpstr>
      <vt:lpstr>121-144</vt:lpstr>
      <vt:lpstr>145-168</vt:lpstr>
      <vt:lpstr>169-192</vt:lpstr>
      <vt:lpstr>193-202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 Gierholz</dc:creator>
  <cp:lastModifiedBy>Güvencli, Nuri</cp:lastModifiedBy>
  <dcterms:created xsi:type="dcterms:W3CDTF">2025-04-30T12:26:55Z</dcterms:created>
  <dcterms:modified xsi:type="dcterms:W3CDTF">2025-05-12T17:16:11Z</dcterms:modified>
</cp:coreProperties>
</file>