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6"/>
  <workbookPr filterPrivacy="1"/>
  <xr:revisionPtr revIDLastSave="0" documentId="13_ncr:1_{C1EB4BD8-D502-4049-A33B-49290D226FBA}" xr6:coauthVersionLast="36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Lee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8" i="1" l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27" i="1"/>
  <c r="F96" i="1" l="1"/>
  <c r="F98" i="1" s="1"/>
  <c r="D96" i="1"/>
  <c r="F93" i="1"/>
  <c r="F95" i="1" s="1"/>
  <c r="D93" i="1"/>
  <c r="F90" i="1"/>
  <c r="F91" i="1" s="1"/>
  <c r="D90" i="1"/>
  <c r="F87" i="1"/>
  <c r="F89" i="1" s="1"/>
  <c r="D87" i="1"/>
  <c r="F84" i="1"/>
  <c r="F85" i="1" s="1"/>
  <c r="D84" i="1"/>
  <c r="F81" i="1"/>
  <c r="F83" i="1" s="1"/>
  <c r="D81" i="1"/>
  <c r="F78" i="1"/>
  <c r="F80" i="1" s="1"/>
  <c r="D78" i="1"/>
  <c r="F75" i="1"/>
  <c r="F77" i="1" s="1"/>
  <c r="D75" i="1"/>
  <c r="F72" i="1"/>
  <c r="F74" i="1" s="1"/>
  <c r="D72" i="1"/>
  <c r="F69" i="1"/>
  <c r="F71" i="1" s="1"/>
  <c r="D69" i="1"/>
  <c r="F66" i="1"/>
  <c r="F68" i="1" s="1"/>
  <c r="D66" i="1"/>
  <c r="F63" i="1"/>
  <c r="F65" i="1" s="1"/>
  <c r="D63" i="1"/>
  <c r="F60" i="1"/>
  <c r="F62" i="1" s="1"/>
  <c r="D60" i="1"/>
  <c r="F57" i="1"/>
  <c r="F59" i="1" s="1"/>
  <c r="D57" i="1"/>
  <c r="F54" i="1"/>
  <c r="F55" i="1" s="1"/>
  <c r="D54" i="1"/>
  <c r="F51" i="1"/>
  <c r="F52" i="1" s="1"/>
  <c r="D51" i="1"/>
  <c r="F48" i="1"/>
  <c r="F49" i="1" s="1"/>
  <c r="D48" i="1"/>
  <c r="F45" i="1"/>
  <c r="F47" i="1" s="1"/>
  <c r="D45" i="1"/>
  <c r="F42" i="1"/>
  <c r="F44" i="1" s="1"/>
  <c r="D42" i="1"/>
  <c r="F39" i="1"/>
  <c r="F41" i="1" s="1"/>
  <c r="D39" i="1"/>
  <c r="F36" i="1"/>
  <c r="F38" i="1" s="1"/>
  <c r="D36" i="1"/>
  <c r="F33" i="1"/>
  <c r="F35" i="1" s="1"/>
  <c r="D33" i="1"/>
  <c r="F30" i="1"/>
  <c r="F32" i="1" s="1"/>
  <c r="D30" i="1"/>
  <c r="F27" i="1"/>
  <c r="F29" i="1" s="1"/>
  <c r="D27" i="1"/>
  <c r="F37" i="1" l="1"/>
  <c r="F73" i="1"/>
  <c r="F86" i="1"/>
  <c r="F28" i="1"/>
  <c r="F88" i="1"/>
  <c r="F53" i="1"/>
  <c r="F43" i="1"/>
  <c r="F79" i="1"/>
  <c r="F92" i="1"/>
  <c r="F61" i="1"/>
  <c r="F50" i="1"/>
  <c r="F40" i="1"/>
  <c r="F76" i="1"/>
  <c r="F31" i="1"/>
  <c r="F67" i="1"/>
  <c r="F56" i="1"/>
  <c r="F34" i="1"/>
  <c r="F46" i="1"/>
  <c r="F58" i="1"/>
  <c r="F70" i="1"/>
  <c r="F82" i="1"/>
  <c r="F94" i="1"/>
  <c r="F64" i="1"/>
  <c r="F97" i="1"/>
  <c r="K11" i="1" l="1"/>
  <c r="K12" i="1"/>
  <c r="K13" i="1"/>
  <c r="J12" i="1"/>
  <c r="J13" i="1"/>
  <c r="J11" i="1"/>
  <c r="K6" i="1"/>
  <c r="K7" i="1"/>
  <c r="K8" i="1"/>
  <c r="K9" i="1"/>
  <c r="K10" i="1"/>
  <c r="J10" i="1"/>
  <c r="J9" i="1"/>
  <c r="J8" i="1"/>
  <c r="J7" i="1"/>
  <c r="J6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J14" i="1" l="1"/>
  <c r="J98" i="1" s="1"/>
  <c r="K14" i="1"/>
  <c r="K92" i="1" s="1"/>
  <c r="J97" i="1" l="1"/>
  <c r="J88" i="1"/>
  <c r="J94" i="1"/>
  <c r="J91" i="1"/>
  <c r="K97" i="1"/>
  <c r="K87" i="1"/>
  <c r="K98" i="1"/>
  <c r="M98" i="1" s="1"/>
  <c r="N98" i="1" s="1"/>
  <c r="P98" i="1" s="1"/>
  <c r="J93" i="1"/>
  <c r="K93" i="1"/>
  <c r="K94" i="1"/>
  <c r="K88" i="1"/>
  <c r="J89" i="1"/>
  <c r="K89" i="1"/>
  <c r="J95" i="1"/>
  <c r="J90" i="1"/>
  <c r="K95" i="1"/>
  <c r="K90" i="1"/>
  <c r="J96" i="1"/>
  <c r="K96" i="1"/>
  <c r="K91" i="1"/>
  <c r="J92" i="1"/>
  <c r="M92" i="1" s="1"/>
  <c r="N92" i="1" s="1"/>
  <c r="P92" i="1" s="1"/>
  <c r="J87" i="1"/>
  <c r="M87" i="1" s="1"/>
  <c r="N87" i="1" s="1"/>
  <c r="P87" i="1" s="1"/>
  <c r="N9" i="1"/>
  <c r="M88" i="1" l="1"/>
  <c r="N88" i="1" s="1"/>
  <c r="P88" i="1" s="1"/>
  <c r="M96" i="1"/>
  <c r="N96" i="1" s="1"/>
  <c r="P96" i="1" s="1"/>
  <c r="Q96" i="1" s="1"/>
  <c r="U50" i="1" s="1"/>
  <c r="M89" i="1"/>
  <c r="N89" i="1" s="1"/>
  <c r="P89" i="1" s="1"/>
  <c r="M97" i="1"/>
  <c r="N97" i="1" s="1"/>
  <c r="P97" i="1" s="1"/>
  <c r="M93" i="1"/>
  <c r="N93" i="1" s="1"/>
  <c r="P93" i="1" s="1"/>
  <c r="M90" i="1"/>
  <c r="N90" i="1" s="1"/>
  <c r="P90" i="1" s="1"/>
  <c r="M95" i="1"/>
  <c r="N95" i="1" s="1"/>
  <c r="P95" i="1" s="1"/>
  <c r="R87" i="1"/>
  <c r="Q87" i="1"/>
  <c r="U47" i="1" s="1"/>
  <c r="M91" i="1"/>
  <c r="N91" i="1" s="1"/>
  <c r="P91" i="1" s="1"/>
  <c r="M94" i="1"/>
  <c r="N94" i="1" s="1"/>
  <c r="P94" i="1" s="1"/>
  <c r="K45" i="1"/>
  <c r="K63" i="1"/>
  <c r="K81" i="1"/>
  <c r="K61" i="1"/>
  <c r="K37" i="1"/>
  <c r="K85" i="1"/>
  <c r="K65" i="1"/>
  <c r="K39" i="1"/>
  <c r="K35" i="1"/>
  <c r="K33" i="1"/>
  <c r="K71" i="1"/>
  <c r="K51" i="1"/>
  <c r="K31" i="1"/>
  <c r="K83" i="1"/>
  <c r="K55" i="1"/>
  <c r="K53" i="1"/>
  <c r="K69" i="1"/>
  <c r="K49" i="1"/>
  <c r="K29" i="1"/>
  <c r="K79" i="1"/>
  <c r="K77" i="1"/>
  <c r="K67" i="1"/>
  <c r="K47" i="1"/>
  <c r="N7" i="1"/>
  <c r="K75" i="1"/>
  <c r="K59" i="1"/>
  <c r="K43" i="1"/>
  <c r="K73" i="1"/>
  <c r="K57" i="1"/>
  <c r="K41" i="1"/>
  <c r="M6" i="1"/>
  <c r="P7" i="1" s="1"/>
  <c r="J27" i="1"/>
  <c r="N6" i="1"/>
  <c r="K27" i="1"/>
  <c r="K86" i="1"/>
  <c r="K84" i="1"/>
  <c r="K82" i="1"/>
  <c r="K80" i="1"/>
  <c r="K78" i="1"/>
  <c r="K76" i="1"/>
  <c r="K74" i="1"/>
  <c r="K72" i="1"/>
  <c r="K70" i="1"/>
  <c r="K68" i="1"/>
  <c r="K66" i="1"/>
  <c r="K64" i="1"/>
  <c r="K62" i="1"/>
  <c r="K60" i="1"/>
  <c r="K58" i="1"/>
  <c r="K56" i="1"/>
  <c r="K54" i="1"/>
  <c r="K52" i="1"/>
  <c r="K50" i="1"/>
  <c r="K48" i="1"/>
  <c r="K46" i="1"/>
  <c r="K44" i="1"/>
  <c r="K42" i="1"/>
  <c r="K40" i="1"/>
  <c r="K38" i="1"/>
  <c r="K36" i="1"/>
  <c r="K34" i="1"/>
  <c r="K32" i="1"/>
  <c r="K30" i="1"/>
  <c r="K28" i="1"/>
  <c r="N10" i="1"/>
  <c r="N8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M54" i="1" s="1"/>
  <c r="N54" i="1" s="1"/>
  <c r="P54" i="1" s="1"/>
  <c r="J53" i="1"/>
  <c r="M53" i="1" s="1"/>
  <c r="N53" i="1" s="1"/>
  <c r="P53" i="1" s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M10" i="1"/>
  <c r="P11" i="1" s="1"/>
  <c r="M9" i="1"/>
  <c r="P10" i="1" s="1"/>
  <c r="M8" i="1"/>
  <c r="P9" i="1" s="1"/>
  <c r="M7" i="1"/>
  <c r="P8" i="1" s="1"/>
  <c r="M67" i="1" l="1"/>
  <c r="N67" i="1" s="1"/>
  <c r="P67" i="1" s="1"/>
  <c r="M69" i="1"/>
  <c r="N69" i="1" s="1"/>
  <c r="P69" i="1" s="1"/>
  <c r="R69" i="1" s="1"/>
  <c r="M38" i="1"/>
  <c r="N38" i="1" s="1"/>
  <c r="P38" i="1" s="1"/>
  <c r="M71" i="1"/>
  <c r="N71" i="1" s="1"/>
  <c r="P71" i="1" s="1"/>
  <c r="M70" i="1"/>
  <c r="N70" i="1" s="1"/>
  <c r="P70" i="1" s="1"/>
  <c r="M43" i="1"/>
  <c r="N43" i="1" s="1"/>
  <c r="P43" i="1" s="1"/>
  <c r="M51" i="1"/>
  <c r="N51" i="1" s="1"/>
  <c r="P51" i="1" s="1"/>
  <c r="R51" i="1" s="1"/>
  <c r="M83" i="1"/>
  <c r="N83" i="1" s="1"/>
  <c r="P83" i="1" s="1"/>
  <c r="M73" i="1"/>
  <c r="N73" i="1" s="1"/>
  <c r="P73" i="1" s="1"/>
  <c r="R96" i="1"/>
  <c r="S96" i="1" s="1"/>
  <c r="M39" i="1"/>
  <c r="N39" i="1" s="1"/>
  <c r="P39" i="1" s="1"/>
  <c r="Q39" i="1" s="1"/>
  <c r="U31" i="1" s="1"/>
  <c r="M55" i="1"/>
  <c r="N55" i="1" s="1"/>
  <c r="P55" i="1" s="1"/>
  <c r="M59" i="1"/>
  <c r="N59" i="1" s="1"/>
  <c r="P59" i="1" s="1"/>
  <c r="M74" i="1"/>
  <c r="N74" i="1" s="1"/>
  <c r="P74" i="1" s="1"/>
  <c r="M75" i="1"/>
  <c r="N75" i="1" s="1"/>
  <c r="P75" i="1" s="1"/>
  <c r="Q75" i="1" s="1"/>
  <c r="U43" i="1" s="1"/>
  <c r="M40" i="1"/>
  <c r="N40" i="1" s="1"/>
  <c r="P40" i="1" s="1"/>
  <c r="M42" i="1"/>
  <c r="N42" i="1" s="1"/>
  <c r="P42" i="1" s="1"/>
  <c r="R42" i="1" s="1"/>
  <c r="M33" i="1"/>
  <c r="N33" i="1" s="1"/>
  <c r="P33" i="1" s="1"/>
  <c r="R33" i="1" s="1"/>
  <c r="M35" i="1"/>
  <c r="N35" i="1" s="1"/>
  <c r="P35" i="1" s="1"/>
  <c r="M36" i="1"/>
  <c r="N36" i="1" s="1"/>
  <c r="P36" i="1" s="1"/>
  <c r="Q36" i="1" s="1"/>
  <c r="U30" i="1" s="1"/>
  <c r="M52" i="1"/>
  <c r="N52" i="1" s="1"/>
  <c r="P52" i="1" s="1"/>
  <c r="M68" i="1"/>
  <c r="N68" i="1" s="1"/>
  <c r="P68" i="1" s="1"/>
  <c r="M84" i="1"/>
  <c r="N84" i="1" s="1"/>
  <c r="P84" i="1" s="1"/>
  <c r="R84" i="1" s="1"/>
  <c r="M56" i="1"/>
  <c r="N56" i="1" s="1"/>
  <c r="P56" i="1" s="1"/>
  <c r="M72" i="1"/>
  <c r="N72" i="1" s="1"/>
  <c r="P72" i="1" s="1"/>
  <c r="Q72" i="1" s="1"/>
  <c r="U42" i="1" s="1"/>
  <c r="M41" i="1"/>
  <c r="N41" i="1" s="1"/>
  <c r="P41" i="1" s="1"/>
  <c r="M57" i="1"/>
  <c r="N57" i="1" s="1"/>
  <c r="P57" i="1" s="1"/>
  <c r="Q57" i="1" s="1"/>
  <c r="U37" i="1" s="1"/>
  <c r="M44" i="1"/>
  <c r="N44" i="1" s="1"/>
  <c r="P44" i="1" s="1"/>
  <c r="M76" i="1"/>
  <c r="N76" i="1" s="1"/>
  <c r="P76" i="1" s="1"/>
  <c r="M46" i="1"/>
  <c r="N46" i="1" s="1"/>
  <c r="P46" i="1" s="1"/>
  <c r="M78" i="1"/>
  <c r="N78" i="1" s="1"/>
  <c r="P78" i="1" s="1"/>
  <c r="R78" i="1" s="1"/>
  <c r="M47" i="1"/>
  <c r="N47" i="1" s="1"/>
  <c r="P47" i="1" s="1"/>
  <c r="M65" i="1"/>
  <c r="N65" i="1" s="1"/>
  <c r="P65" i="1" s="1"/>
  <c r="M85" i="1"/>
  <c r="N85" i="1" s="1"/>
  <c r="P85" i="1" s="1"/>
  <c r="Q54" i="1"/>
  <c r="U36" i="1" s="1"/>
  <c r="R54" i="1"/>
  <c r="M37" i="1"/>
  <c r="N37" i="1" s="1"/>
  <c r="P37" i="1" s="1"/>
  <c r="M27" i="1"/>
  <c r="N27" i="1" s="1"/>
  <c r="P27" i="1" s="1"/>
  <c r="M28" i="1"/>
  <c r="N28" i="1" s="1"/>
  <c r="P28" i="1" s="1"/>
  <c r="M45" i="1"/>
  <c r="N45" i="1" s="1"/>
  <c r="P45" i="1" s="1"/>
  <c r="M61" i="1"/>
  <c r="N61" i="1" s="1"/>
  <c r="P61" i="1" s="1"/>
  <c r="M77" i="1"/>
  <c r="N77" i="1" s="1"/>
  <c r="P77" i="1" s="1"/>
  <c r="S87" i="1"/>
  <c r="M86" i="1"/>
  <c r="N86" i="1" s="1"/>
  <c r="P86" i="1" s="1"/>
  <c r="M62" i="1"/>
  <c r="N62" i="1" s="1"/>
  <c r="P62" i="1" s="1"/>
  <c r="M60" i="1"/>
  <c r="N60" i="1" s="1"/>
  <c r="P60" i="1" s="1"/>
  <c r="M30" i="1"/>
  <c r="N30" i="1" s="1"/>
  <c r="P30" i="1" s="1"/>
  <c r="M63" i="1"/>
  <c r="N63" i="1" s="1"/>
  <c r="P63" i="1" s="1"/>
  <c r="M79" i="1"/>
  <c r="N79" i="1" s="1"/>
  <c r="P79" i="1" s="1"/>
  <c r="R90" i="1"/>
  <c r="Q90" i="1"/>
  <c r="U48" i="1" s="1"/>
  <c r="M48" i="1"/>
  <c r="N48" i="1" s="1"/>
  <c r="P48" i="1" s="1"/>
  <c r="M64" i="1"/>
  <c r="N64" i="1" s="1"/>
  <c r="P64" i="1" s="1"/>
  <c r="M80" i="1"/>
  <c r="N80" i="1" s="1"/>
  <c r="P80" i="1" s="1"/>
  <c r="R93" i="1"/>
  <c r="Q93" i="1"/>
  <c r="U49" i="1" s="1"/>
  <c r="M29" i="1"/>
  <c r="N29" i="1" s="1"/>
  <c r="P29" i="1" s="1"/>
  <c r="M81" i="1"/>
  <c r="N81" i="1" s="1"/>
  <c r="P81" i="1" s="1"/>
  <c r="M58" i="1"/>
  <c r="N58" i="1" s="1"/>
  <c r="P58" i="1" s="1"/>
  <c r="M31" i="1"/>
  <c r="N31" i="1" s="1"/>
  <c r="P31" i="1" s="1"/>
  <c r="M32" i="1"/>
  <c r="N32" i="1" s="1"/>
  <c r="P32" i="1" s="1"/>
  <c r="M49" i="1"/>
  <c r="N49" i="1" s="1"/>
  <c r="P49" i="1" s="1"/>
  <c r="M34" i="1"/>
  <c r="N34" i="1" s="1"/>
  <c r="P34" i="1" s="1"/>
  <c r="M50" i="1"/>
  <c r="N50" i="1" s="1"/>
  <c r="P50" i="1" s="1"/>
  <c r="M66" i="1"/>
  <c r="N66" i="1" s="1"/>
  <c r="P66" i="1" s="1"/>
  <c r="M82" i="1"/>
  <c r="N82" i="1" s="1"/>
  <c r="P82" i="1" s="1"/>
  <c r="Q69" i="1" l="1"/>
  <c r="U41" i="1" s="1"/>
  <c r="Q51" i="1"/>
  <c r="U35" i="1" s="1"/>
  <c r="Q33" i="1"/>
  <c r="U29" i="1" s="1"/>
  <c r="R36" i="1"/>
  <c r="S36" i="1" s="1"/>
  <c r="R75" i="1"/>
  <c r="S75" i="1" s="1"/>
  <c r="Q78" i="1"/>
  <c r="U44" i="1" s="1"/>
  <c r="Q42" i="1"/>
  <c r="U32" i="1" s="1"/>
  <c r="R39" i="1"/>
  <c r="S39" i="1" s="1"/>
  <c r="R57" i="1"/>
  <c r="S57" i="1" s="1"/>
  <c r="Q84" i="1"/>
  <c r="U46" i="1" s="1"/>
  <c r="S54" i="1"/>
  <c r="R72" i="1"/>
  <c r="S72" i="1" s="1"/>
  <c r="R27" i="1"/>
  <c r="Q27" i="1"/>
  <c r="U27" i="1" s="1"/>
  <c r="S90" i="1"/>
  <c r="Q63" i="1"/>
  <c r="U39" i="1" s="1"/>
  <c r="R63" i="1"/>
  <c r="R45" i="1"/>
  <c r="Q45" i="1"/>
  <c r="U33" i="1" s="1"/>
  <c r="R66" i="1"/>
  <c r="Q66" i="1"/>
  <c r="U40" i="1" s="1"/>
  <c r="S93" i="1"/>
  <c r="R60" i="1"/>
  <c r="Q60" i="1"/>
  <c r="U38" i="1" s="1"/>
  <c r="R81" i="1"/>
  <c r="Q81" i="1"/>
  <c r="U45" i="1" s="1"/>
  <c r="Q48" i="1"/>
  <c r="U34" i="1" s="1"/>
  <c r="R48" i="1"/>
  <c r="R30" i="1"/>
  <c r="Q30" i="1"/>
  <c r="U28" i="1" s="1"/>
  <c r="S48" i="1" l="1"/>
  <c r="S69" i="1"/>
  <c r="S51" i="1"/>
  <c r="S84" i="1"/>
  <c r="S33" i="1"/>
  <c r="S78" i="1"/>
  <c r="S63" i="1"/>
  <c r="S45" i="1"/>
  <c r="S42" i="1"/>
  <c r="S66" i="1"/>
  <c r="S60" i="1"/>
  <c r="S30" i="1"/>
  <c r="S27" i="1"/>
  <c r="S8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O25" authorId="0" shapeId="0" xr:uid="{40D6070D-C844-44F4-AD4E-32B6E8B73408}">
      <text>
        <r>
          <rPr>
            <b/>
            <sz val="9"/>
            <color indexed="81"/>
            <rFont val="Segoe UI"/>
            <family val="2"/>
          </rPr>
          <t>Author:</t>
        </r>
        <r>
          <rPr>
            <sz val="9"/>
            <color indexed="81"/>
            <rFont val="Segoe UI"/>
            <family val="2"/>
          </rPr>
          <t xml:space="preserve">
hier *(Faktor) bei Verdünnung hinzufügen</t>
        </r>
      </text>
    </comment>
  </commentList>
</comments>
</file>

<file path=xl/sharedStrings.xml><?xml version="1.0" encoding="utf-8"?>
<sst xmlns="http://schemas.openxmlformats.org/spreadsheetml/2006/main" count="141" uniqueCount="124">
  <si>
    <t>530 nm</t>
  </si>
  <si>
    <t>657 nm</t>
  </si>
  <si>
    <t>Blank</t>
  </si>
  <si>
    <t>minus Blank</t>
  </si>
  <si>
    <t>Blank aver</t>
  </si>
  <si>
    <t>A(Antho)</t>
  </si>
  <si>
    <t>2ml Extraktionsmittel</t>
  </si>
  <si>
    <t>STABW</t>
  </si>
  <si>
    <t>µg/mg DW</t>
  </si>
  <si>
    <t>%</t>
  </si>
  <si>
    <t>Absorption</t>
  </si>
  <si>
    <t>530 nm - Blank</t>
  </si>
  <si>
    <t>657 nm - Blank</t>
  </si>
  <si>
    <t>110 µl gemessen</t>
  </si>
  <si>
    <t>Mittel-wert</t>
  </si>
  <si>
    <t>keine Verdünnung</t>
  </si>
  <si>
    <t>*Anstieg Eichgerade</t>
  </si>
  <si>
    <t>DW [mg]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</si>
  <si>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</si>
  <si>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</si>
  <si>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</si>
  <si>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</si>
  <si>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</si>
  <si>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</si>
  <si>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</si>
  <si>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</si>
  <si>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</si>
  <si>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</si>
  <si>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</si>
  <si>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</si>
  <si>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</si>
  <si>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</si>
  <si>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</si>
  <si>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</si>
  <si>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</si>
  <si>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</si>
  <si>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</si>
  <si>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</si>
  <si>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</si>
  <si>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</si>
  <si>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</si>
  <si>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</si>
  <si>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</si>
  <si>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</si>
  <si>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</si>
  <si>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</si>
  <si>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</si>
  <si>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</si>
  <si>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</si>
  <si>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</si>
  <si>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</si>
  <si>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</si>
  <si>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</si>
  <si>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</si>
  <si>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</si>
  <si>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</si>
  <si>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</si>
  <si>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</si>
  <si>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</si>
  <si>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</si>
  <si>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</si>
  <si>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</si>
  <si>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</si>
  <si>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</si>
  <si>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</si>
  <si>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</si>
  <si>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</si>
  <si>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</si>
  <si>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</si>
  <si>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</si>
  <si>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</si>
  <si>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</si>
  <si>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</si>
  <si>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</si>
  <si>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</si>
  <si>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</si>
  <si>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</si>
  <si>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</si>
  <si>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</si>
  <si>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</si>
  <si>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</si>
  <si>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</si>
  <si>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</si>
  <si>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</si>
  <si>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</si>
  <si>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</si>
  <si>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</si>
  <si>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</si>
  <si>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</si>
  <si>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</si>
  <si>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r>
      <rPr>
        <sz val="11"/>
        <color theme="1"/>
        <rFont val="Calibri"/>
        <family val="2"/>
      </rPr>
      <t>μ</t>
    </r>
    <r>
      <rPr>
        <sz val="11"/>
        <color theme="1"/>
        <rFont val="Calibri"/>
        <family val="2"/>
        <scheme val="minor"/>
      </rPr>
      <t>g/ml</t>
    </r>
  </si>
  <si>
    <t>Wellposi-tion</t>
  </si>
  <si>
    <t>Proben-nummer</t>
  </si>
  <si>
    <t>Anthocyan Standard</t>
  </si>
  <si>
    <r>
      <rPr>
        <sz val="11"/>
        <color rgb="FF000000"/>
        <rFont val="Calibri"/>
        <family val="2"/>
        <scheme val="minor"/>
      </rPr>
      <t>Anth = A</t>
    </r>
    <r>
      <rPr>
        <vertAlign val="subscript"/>
        <sz val="11"/>
        <color rgb="FF000000"/>
        <rFont val="Calibri"/>
        <family val="2"/>
        <scheme val="minor"/>
      </rPr>
      <t>530</t>
    </r>
    <r>
      <rPr>
        <sz val="11"/>
        <color rgb="FF000000"/>
        <rFont val="Calibri"/>
        <family val="2"/>
        <scheme val="minor"/>
      </rPr>
      <t xml:space="preserve"> – 0,25 A</t>
    </r>
    <r>
      <rPr>
        <vertAlign val="subscript"/>
        <sz val="11"/>
        <color rgb="FF000000"/>
        <rFont val="Calibri"/>
        <family val="2"/>
        <scheme val="minor"/>
      </rPr>
      <t>657</t>
    </r>
  </si>
  <si>
    <t>Berechnung</t>
  </si>
  <si>
    <t>μg/ 2 ml</t>
  </si>
  <si>
    <t>μg/ml</t>
  </si>
  <si>
    <t>μg/mg DW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</si>
  <si>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</si>
  <si>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</si>
  <si>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</si>
  <si>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</si>
  <si>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</si>
  <si>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</si>
  <si>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</si>
  <si>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</si>
  <si>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</si>
  <si>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</si>
  <si>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</si>
  <si>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</si>
  <si>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</si>
  <si>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</si>
  <si>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</si>
  <si>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</si>
  <si>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</si>
  <si>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</si>
  <si>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Wellpos.</t>
  </si>
  <si>
    <t>/DW</t>
  </si>
  <si>
    <t>aus Einwaage-Tabelle</t>
  </si>
  <si>
    <t>Proben-Nr.</t>
  </si>
  <si>
    <t>Einwaage</t>
  </si>
  <si>
    <t>Berechnung Anthocyane</t>
  </si>
  <si>
    <t>*2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</si>
</sst>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1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vertAlign val="subscript"/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" xfId="0" applyBorder="1"/>
    <xf numFmtId="0" fontId="0" fillId="0" borderId="8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164" fontId="0" fillId="0" borderId="5" xfId="0" applyNumberFormat="1" applyBorder="1"/>
    <xf numFmtId="164" fontId="0" fillId="0" borderId="6" xfId="0" applyNumberFormat="1" applyBorder="1"/>
    <xf numFmtId="164" fontId="0" fillId="0" borderId="7" xfId="0" applyNumberFormat="1" applyBorder="1"/>
    <xf numFmtId="164" fontId="0" fillId="0" borderId="9" xfId="0" applyNumberFormat="1" applyBorder="1"/>
    <xf numFmtId="164" fontId="0" fillId="0" borderId="14" xfId="0" applyNumberFormat="1" applyBorder="1"/>
    <xf numFmtId="164" fontId="0" fillId="0" borderId="15" xfId="0" applyNumberFormat="1" applyBorder="1"/>
    <xf numFmtId="164" fontId="0" fillId="0" borderId="8" xfId="0" applyNumberFormat="1" applyBorder="1"/>
    <xf numFmtId="2" fontId="0" fillId="0" borderId="0" xfId="0" applyNumberFormat="1"/>
    <xf numFmtId="164" fontId="0" fillId="0" borderId="0" xfId="0" applyNumberFormat="1"/>
    <xf numFmtId="2" fontId="0" fillId="0" borderId="13" xfId="0" applyNumberFormat="1" applyBorder="1"/>
    <xf numFmtId="2" fontId="0" fillId="0" borderId="14" xfId="0" applyNumberFormat="1" applyBorder="1"/>
    <xf numFmtId="2" fontId="0" fillId="0" borderId="15" xfId="0" applyNumberFormat="1" applyBorder="1"/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64" fontId="0" fillId="0" borderId="2" xfId="0" applyNumberFormat="1" applyBorder="1"/>
    <xf numFmtId="164" fontId="0" fillId="0" borderId="4" xfId="0" applyNumberFormat="1" applyBorder="1"/>
    <xf numFmtId="0" fontId="0" fillId="0" borderId="12" xfId="0" applyBorder="1" applyAlignment="1">
      <alignment horizontal="center" vertical="center"/>
    </xf>
    <xf numFmtId="1" fontId="0" fillId="0" borderId="13" xfId="0" applyNumberFormat="1" applyBorder="1"/>
    <xf numFmtId="1" fontId="0" fillId="0" borderId="14" xfId="0" applyNumberFormat="1" applyBorder="1"/>
    <xf numFmtId="1" fontId="0" fillId="0" borderId="15" xfId="0" applyNumberFormat="1" applyBorder="1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49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49" fontId="0" fillId="0" borderId="12" xfId="0" applyNumberFormat="1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9" fontId="0" fillId="0" borderId="7" xfId="0" applyNumberFormat="1" applyBorder="1" applyAlignment="1">
      <alignment horizontal="center" vertical="center" wrapText="1"/>
    </xf>
    <xf numFmtId="49" fontId="0" fillId="0" borderId="9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7" xfId="0" applyFont="1" applyBorder="1" applyAlignment="1">
      <alignment horizontal="left" vertical="center" indent="5"/>
    </xf>
    <xf numFmtId="0" fontId="8" fillId="0" borderId="1" xfId="0" quotePrefix="1" applyFont="1" applyBorder="1" applyAlignment="1">
      <alignment horizontal="center" vertical="center" wrapText="1"/>
    </xf>
    <xf numFmtId="49" fontId="0" fillId="0" borderId="13" xfId="0" applyNumberFormat="1" applyBorder="1"/>
    <xf numFmtId="49" fontId="0" fillId="0" borderId="14" xfId="0" applyNumberFormat="1" applyBorder="1"/>
    <xf numFmtId="49" fontId="0" fillId="0" borderId="15" xfId="0" applyNumberFormat="1" applyBorder="1"/>
    <xf numFmtId="165" fontId="0" fillId="0" borderId="2" xfId="0" applyNumberFormat="1" applyBorder="1"/>
    <xf numFmtId="165" fontId="0" fillId="0" borderId="5" xfId="0" applyNumberFormat="1" applyBorder="1"/>
    <xf numFmtId="165" fontId="0" fillId="0" borderId="7" xfId="0" applyNumberFormat="1" applyBorder="1"/>
    <xf numFmtId="0" fontId="0" fillId="0" borderId="4" xfId="0" applyBorder="1" applyAlignment="1">
      <alignment horizontal="center" vertical="center" wrapText="1"/>
    </xf>
    <xf numFmtId="165" fontId="0" fillId="0" borderId="4" xfId="0" applyNumberFormat="1" applyBorder="1"/>
    <xf numFmtId="165" fontId="0" fillId="0" borderId="6" xfId="0" applyNumberFormat="1" applyBorder="1"/>
    <xf numFmtId="165" fontId="0" fillId="0" borderId="9" xfId="0" applyNumberFormat="1" applyBorder="1"/>
    <xf numFmtId="0" fontId="9" fillId="0" borderId="15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5" fontId="0" fillId="0" borderId="7" xfId="0" applyNumberFormat="1" applyBorder="1" applyAlignment="1">
      <alignment horizontal="right" vertical="center"/>
    </xf>
    <xf numFmtId="165" fontId="0" fillId="0" borderId="9" xfId="0" applyNumberFormat="1" applyBorder="1" applyAlignment="1">
      <alignment horizontal="right" vertical="center"/>
    </xf>
    <xf numFmtId="49" fontId="0" fillId="0" borderId="0" xfId="0" applyNumberFormat="1"/>
    <xf numFmtId="164" fontId="0" fillId="0" borderId="13" xfId="0" applyNumberFormat="1" applyBorder="1"/>
    <xf numFmtId="0" fontId="0" fillId="0" borderId="10" xfId="0" applyBorder="1"/>
    <xf numFmtId="0" fontId="1" fillId="0" borderId="1" xfId="0" quotePrefix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0D8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Anthocyan Standard </a:t>
            </a:r>
            <a:r>
              <a:rPr lang="el-GR"/>
              <a:t>μ</a:t>
            </a:r>
            <a:r>
              <a:rPr lang="en-US"/>
              <a:t>g/ml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Leer!$Q$4:$Q$6</c:f>
              <c:strCache>
                <c:ptCount val="3"/>
                <c:pt idx="0">
                  <c:v>Anthocyan Standard</c:v>
                </c:pt>
                <c:pt idx="1">
                  <c:v>Absorption</c:v>
                </c:pt>
                <c:pt idx="2">
                  <c:v>μg/ml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3041776027996498E-2"/>
                  <c:y val="2.274715660542432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Leer!$P$7:$P$11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Leer!$Q$7:$Q$11</c:f>
              <c:numCache>
                <c:formatCode>General</c:formatCode>
                <c:ptCount val="5"/>
                <c:pt idx="0">
                  <c:v>12.5</c:v>
                </c:pt>
                <c:pt idx="1">
                  <c:v>25</c:v>
                </c:pt>
                <c:pt idx="2">
                  <c:v>50</c:v>
                </c:pt>
                <c:pt idx="3">
                  <c:v>100</c:v>
                </c:pt>
                <c:pt idx="4">
                  <c:v>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E7-494D-BF22-82F9C7998D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929192"/>
        <c:axId val="310930504"/>
      </c:scatterChart>
      <c:valAx>
        <c:axId val="310929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930504"/>
        <c:crosses val="autoZero"/>
        <c:crossBetween val="midCat"/>
      </c:valAx>
      <c:valAx>
        <c:axId val="310930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929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65860</xdr:colOff>
      <xdr:row>2</xdr:row>
      <xdr:rowOff>171450</xdr:rowOff>
    </xdr:from>
    <xdr:to>
      <xdr:col>22</xdr:col>
      <xdr:colOff>207168</xdr:colOff>
      <xdr:row>15</xdr:row>
      <xdr:rowOff>57150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9"/>
  <sheetViews>
    <sheetView tabSelected="1" topLeftCell="A2" zoomScale="80" zoomScaleNormal="80" workbookViewId="0">
      <selection activeCell="L21" sqref="L21"/>
    </sheetView>
  </sheetViews>
  <sheetFormatPr defaultColWidth="8.88671875" defaultRowHeight="14.4" x14ac:dyDescent="0.3"/>
  <cols>
    <col min="1" max="1" width="10.5546875" bestFit="1" customWidth="1"/>
    <col min="2" max="2" width="9.109375" bestFit="1" customWidth="1"/>
    <col min="4" max="4" width="9.44140625" customWidth="1"/>
    <col min="5" max="5" width="10" customWidth="1"/>
    <col min="6" max="6" width="11.77734375" customWidth="1"/>
    <col min="7" max="7" width="12.5546875" customWidth="1"/>
    <col min="8" max="8" width="12.6640625" customWidth="1"/>
    <col min="10" max="11" width="9" customWidth="1"/>
    <col min="12" max="12" width="11.77734375" customWidth="1"/>
    <col min="13" max="13" width="9" customWidth="1"/>
    <col min="14" max="14" width="11.6640625" bestFit="1" customWidth="1"/>
    <col min="15" max="15" width="9" customWidth="1"/>
    <col min="16" max="16" width="9" bestFit="1" customWidth="1"/>
    <col min="17" max="17" width="10.88671875" customWidth="1"/>
    <col min="18" max="18" width="10.77734375" customWidth="1"/>
    <col min="19" max="19" width="9" bestFit="1" customWidth="1"/>
    <col min="20" max="20" width="9.5546875" bestFit="1" customWidth="1"/>
    <col min="21" max="21" width="9.5546875" customWidth="1"/>
  </cols>
  <sheetData>
    <row r="1" spans="5:17" x14ac:dyDescent="0.3">
      <c r="E1" s="71" t="s">
        <v>122</v>
      </c>
      <c r="F1" s="71"/>
      <c r="G1" s="71"/>
    </row>
    <row r="2" spans="5:17" x14ac:dyDescent="0.3">
      <c r="E2" s="71"/>
      <c r="F2" s="71"/>
      <c r="G2" s="71"/>
    </row>
    <row r="4" spans="5:17" ht="28.5" customHeight="1" x14ac:dyDescent="0.3">
      <c r="E4" s="8"/>
      <c r="F4" s="78" t="s">
        <v>10</v>
      </c>
      <c r="G4" s="79"/>
      <c r="I4" s="8"/>
      <c r="J4" s="78" t="s">
        <v>10</v>
      </c>
      <c r="K4" s="79"/>
      <c r="L4" s="42"/>
      <c r="M4" s="25" t="s">
        <v>3</v>
      </c>
      <c r="N4" s="26"/>
      <c r="O4" s="42"/>
      <c r="P4" s="75" t="s">
        <v>93</v>
      </c>
      <c r="Q4" s="77"/>
    </row>
    <row r="5" spans="5:17" ht="17.25" customHeight="1" x14ac:dyDescent="0.3">
      <c r="E5" s="50" t="s">
        <v>117</v>
      </c>
      <c r="F5" s="37" t="s">
        <v>0</v>
      </c>
      <c r="G5" s="37" t="s">
        <v>1</v>
      </c>
      <c r="I5" s="48" t="s">
        <v>90</v>
      </c>
      <c r="J5" s="46" t="s">
        <v>0</v>
      </c>
      <c r="K5" s="57" t="s">
        <v>1</v>
      </c>
      <c r="M5" s="46" t="s">
        <v>0</v>
      </c>
      <c r="N5" s="47" t="s">
        <v>1</v>
      </c>
      <c r="P5" s="75" t="s">
        <v>10</v>
      </c>
      <c r="Q5" s="77"/>
    </row>
    <row r="6" spans="5:17" x14ac:dyDescent="0.3">
      <c r="E6" s="51" t="s">
        <v>99</v>
      </c>
      <c r="F6" s="10"/>
      <c r="G6" s="10"/>
      <c r="I6" s="1">
        <v>12.5</v>
      </c>
      <c r="J6" s="54" t="e">
        <f>AVERAGE(F9:F11)</f>
        <v>#DIV/0!</v>
      </c>
      <c r="K6" s="58" t="e">
        <f>AVERAGE(G9:G11)</f>
        <v>#DIV/0!</v>
      </c>
      <c r="M6" s="54" t="e">
        <f>J6-$J$14</f>
        <v>#DIV/0!</v>
      </c>
      <c r="N6" s="58" t="e">
        <f>K6-$K$14</f>
        <v>#DIV/0!</v>
      </c>
      <c r="P6" s="8" t="s">
        <v>0</v>
      </c>
      <c r="Q6" s="48" t="s">
        <v>90</v>
      </c>
    </row>
    <row r="7" spans="5:17" x14ac:dyDescent="0.3">
      <c r="E7" s="52" t="s">
        <v>100</v>
      </c>
      <c r="F7" s="11"/>
      <c r="G7" s="11"/>
      <c r="I7" s="4">
        <v>25</v>
      </c>
      <c r="J7" s="55" t="e">
        <f>AVERAGE(F12:F14)</f>
        <v>#DIV/0!</v>
      </c>
      <c r="K7" s="59" t="e">
        <f>AVERAGE(G12:G14)</f>
        <v>#DIV/0!</v>
      </c>
      <c r="M7" s="55" t="e">
        <f>J7-$J$14</f>
        <v>#DIV/0!</v>
      </c>
      <c r="N7" s="59" t="e">
        <f>K7-$K$14</f>
        <v>#DIV/0!</v>
      </c>
      <c r="P7" s="11" t="e">
        <f>M6</f>
        <v>#DIV/0!</v>
      </c>
      <c r="Q7" s="10">
        <v>12.5</v>
      </c>
    </row>
    <row r="8" spans="5:17" x14ac:dyDescent="0.3">
      <c r="E8" s="53" t="s">
        <v>101</v>
      </c>
      <c r="F8" s="12"/>
      <c r="G8" s="12"/>
      <c r="I8" s="4">
        <v>50</v>
      </c>
      <c r="J8" s="55" t="e">
        <f>AVERAGE(F15:F17)</f>
        <v>#DIV/0!</v>
      </c>
      <c r="K8" s="59" t="e">
        <f>AVERAGE(G15:G17)</f>
        <v>#DIV/0!</v>
      </c>
      <c r="M8" s="55" t="e">
        <f>J8-$J$14</f>
        <v>#DIV/0!</v>
      </c>
      <c r="N8" s="59" t="e">
        <f>K8-$K$14</f>
        <v>#DIV/0!</v>
      </c>
      <c r="P8" s="11" t="e">
        <f>M7</f>
        <v>#DIV/0!</v>
      </c>
      <c r="Q8" s="11">
        <v>25</v>
      </c>
    </row>
    <row r="9" spans="5:17" x14ac:dyDescent="0.3">
      <c r="E9" s="51" t="s">
        <v>102</v>
      </c>
      <c r="F9" s="10"/>
      <c r="G9" s="10"/>
      <c r="I9" s="4">
        <v>100</v>
      </c>
      <c r="J9" s="55" t="e">
        <f>AVERAGE(F18:F20)</f>
        <v>#DIV/0!</v>
      </c>
      <c r="K9" s="59" t="e">
        <f>AVERAGE(G18:G20)</f>
        <v>#DIV/0!</v>
      </c>
      <c r="M9" s="55" t="e">
        <f>J9-$J$14</f>
        <v>#DIV/0!</v>
      </c>
      <c r="N9" s="59" t="e">
        <f>K9-$K$14</f>
        <v>#DIV/0!</v>
      </c>
      <c r="P9" s="11" t="e">
        <f>M8</f>
        <v>#DIV/0!</v>
      </c>
      <c r="Q9" s="11">
        <v>50</v>
      </c>
    </row>
    <row r="10" spans="5:17" x14ac:dyDescent="0.3">
      <c r="E10" s="52" t="s">
        <v>103</v>
      </c>
      <c r="F10" s="11"/>
      <c r="G10" s="11"/>
      <c r="I10" s="6">
        <v>250</v>
      </c>
      <c r="J10" s="56" t="e">
        <f>AVERAGE(F21:F23)</f>
        <v>#DIV/0!</v>
      </c>
      <c r="K10" s="60" t="e">
        <f>AVERAGE(G21:G23)</f>
        <v>#DIV/0!</v>
      </c>
      <c r="M10" s="55" t="e">
        <f>J10-$J$14</f>
        <v>#DIV/0!</v>
      </c>
      <c r="N10" s="59" t="e">
        <f>K10-$K$14</f>
        <v>#DIV/0!</v>
      </c>
      <c r="P10" s="11" t="e">
        <f>M9</f>
        <v>#DIV/0!</v>
      </c>
      <c r="Q10" s="11">
        <v>100</v>
      </c>
    </row>
    <row r="11" spans="5:17" x14ac:dyDescent="0.3">
      <c r="E11" s="53" t="s">
        <v>104</v>
      </c>
      <c r="F11" s="12"/>
      <c r="G11" s="12"/>
      <c r="I11" s="62" t="s">
        <v>2</v>
      </c>
      <c r="J11" s="1">
        <f t="shared" ref="J11:K13" si="0">F6</f>
        <v>0</v>
      </c>
      <c r="K11" s="3">
        <f t="shared" si="0"/>
        <v>0</v>
      </c>
      <c r="M11" s="6"/>
      <c r="N11" s="7"/>
      <c r="P11" s="12" t="e">
        <f>M10</f>
        <v>#DIV/0!</v>
      </c>
      <c r="Q11" s="12">
        <v>250</v>
      </c>
    </row>
    <row r="12" spans="5:17" x14ac:dyDescent="0.3">
      <c r="E12" s="51" t="s">
        <v>105</v>
      </c>
      <c r="F12" s="10"/>
      <c r="G12" s="10"/>
      <c r="I12" s="63" t="s">
        <v>2</v>
      </c>
      <c r="J12" s="4">
        <f t="shared" si="0"/>
        <v>0</v>
      </c>
      <c r="K12" s="5">
        <f t="shared" si="0"/>
        <v>0</v>
      </c>
    </row>
    <row r="13" spans="5:17" x14ac:dyDescent="0.3">
      <c r="E13" s="52" t="s">
        <v>106</v>
      </c>
      <c r="F13" s="11"/>
      <c r="G13" s="11"/>
      <c r="I13" s="64" t="s">
        <v>2</v>
      </c>
      <c r="J13" s="6">
        <f t="shared" si="0"/>
        <v>0</v>
      </c>
      <c r="K13" s="7">
        <f t="shared" si="0"/>
        <v>0</v>
      </c>
    </row>
    <row r="14" spans="5:17" x14ac:dyDescent="0.3">
      <c r="E14" s="53" t="s">
        <v>107</v>
      </c>
      <c r="F14" s="12"/>
      <c r="G14" s="12"/>
      <c r="I14" s="61" t="s">
        <v>4</v>
      </c>
      <c r="J14" s="65">
        <f>AVERAGE(J11:J13)</f>
        <v>0</v>
      </c>
      <c r="K14" s="66">
        <f>AVERAGE(K11:K13)</f>
        <v>0</v>
      </c>
    </row>
    <row r="15" spans="5:17" x14ac:dyDescent="0.3">
      <c r="E15" s="51" t="s">
        <v>108</v>
      </c>
      <c r="F15" s="10"/>
      <c r="G15" s="10"/>
      <c r="M15" s="1" t="s">
        <v>6</v>
      </c>
      <c r="N15" s="2"/>
      <c r="O15" s="3"/>
    </row>
    <row r="16" spans="5:17" x14ac:dyDescent="0.3">
      <c r="E16" s="52" t="s">
        <v>109</v>
      </c>
      <c r="F16" s="11"/>
      <c r="G16" s="11"/>
      <c r="M16" s="4" t="s">
        <v>15</v>
      </c>
      <c r="O16" s="5"/>
    </row>
    <row r="17" spans="1:24" x14ac:dyDescent="0.3">
      <c r="E17" s="53" t="s">
        <v>110</v>
      </c>
      <c r="F17" s="12"/>
      <c r="G17" s="12"/>
      <c r="M17" s="6" t="s">
        <v>13</v>
      </c>
      <c r="N17" s="9"/>
      <c r="O17" s="7"/>
    </row>
    <row r="18" spans="1:24" x14ac:dyDescent="0.3">
      <c r="E18" s="51" t="s">
        <v>111</v>
      </c>
      <c r="F18" s="10"/>
      <c r="G18" s="10"/>
      <c r="I18" s="75" t="s">
        <v>95</v>
      </c>
      <c r="J18" s="76"/>
      <c r="K18" s="77"/>
      <c r="W18" s="20"/>
      <c r="X18" s="20"/>
    </row>
    <row r="19" spans="1:24" ht="15.6" x14ac:dyDescent="0.3">
      <c r="E19" s="52" t="s">
        <v>112</v>
      </c>
      <c r="F19" s="11"/>
      <c r="G19" s="11"/>
      <c r="I19" s="49" t="s">
        <v>94</v>
      </c>
      <c r="J19" s="9"/>
      <c r="K19" s="7"/>
    </row>
    <row r="20" spans="1:24" x14ac:dyDescent="0.3">
      <c r="E20" s="53" t="s">
        <v>113</v>
      </c>
      <c r="F20" s="12"/>
      <c r="G20" s="12"/>
      <c r="U20" s="20"/>
      <c r="V20" s="20"/>
    </row>
    <row r="21" spans="1:24" x14ac:dyDescent="0.3">
      <c r="E21" s="51" t="s">
        <v>114</v>
      </c>
      <c r="F21" s="10"/>
      <c r="G21" s="10"/>
      <c r="U21" s="20"/>
      <c r="V21" s="20"/>
    </row>
    <row r="22" spans="1:24" x14ac:dyDescent="0.3">
      <c r="E22" s="52" t="s">
        <v>115</v>
      </c>
      <c r="F22" s="11"/>
      <c r="G22" s="11"/>
      <c r="U22" s="20"/>
      <c r="V22" s="20"/>
    </row>
    <row r="23" spans="1:24" x14ac:dyDescent="0.3">
      <c r="E23" s="53" t="s">
        <v>116</v>
      </c>
      <c r="F23" s="12"/>
      <c r="G23" s="12"/>
      <c r="U23" s="20"/>
      <c r="V23" s="20"/>
    </row>
    <row r="24" spans="1:24" x14ac:dyDescent="0.3">
      <c r="E24" s="67"/>
      <c r="V24" s="20"/>
      <c r="W24" s="20"/>
    </row>
    <row r="25" spans="1:24" ht="31.5" customHeight="1" x14ac:dyDescent="0.3">
      <c r="A25" s="80" t="s">
        <v>119</v>
      </c>
      <c r="B25" s="81"/>
      <c r="J25" s="9"/>
      <c r="K25" s="9"/>
      <c r="M25" s="33"/>
      <c r="N25" s="34" t="s">
        <v>16</v>
      </c>
      <c r="O25" s="35" t="s">
        <v>123</v>
      </c>
      <c r="P25" s="36" t="s">
        <v>118</v>
      </c>
      <c r="Q25" s="25" t="s">
        <v>14</v>
      </c>
      <c r="R25" s="36" t="s">
        <v>7</v>
      </c>
      <c r="S25" s="29" t="s">
        <v>7</v>
      </c>
      <c r="T25" s="26" t="s">
        <v>92</v>
      </c>
      <c r="U25" s="37" t="s">
        <v>14</v>
      </c>
      <c r="V25" s="20"/>
    </row>
    <row r="26" spans="1:24" ht="30.75" customHeight="1" x14ac:dyDescent="0.3">
      <c r="A26" s="69" t="s">
        <v>120</v>
      </c>
      <c r="B26" s="8" t="s">
        <v>121</v>
      </c>
      <c r="D26" s="70" t="s">
        <v>92</v>
      </c>
      <c r="E26" s="70" t="s">
        <v>91</v>
      </c>
      <c r="F26" s="38" t="s">
        <v>17</v>
      </c>
      <c r="G26" s="38" t="s">
        <v>0</v>
      </c>
      <c r="H26" s="38" t="s">
        <v>1</v>
      </c>
      <c r="I26" s="43"/>
      <c r="J26" s="44" t="s">
        <v>11</v>
      </c>
      <c r="K26" s="45" t="s">
        <v>12</v>
      </c>
      <c r="M26" s="38" t="s">
        <v>5</v>
      </c>
      <c r="N26" s="39" t="s">
        <v>96</v>
      </c>
      <c r="O26" s="40" t="s">
        <v>97</v>
      </c>
      <c r="P26" s="41" t="s">
        <v>98</v>
      </c>
      <c r="Q26" s="25" t="s">
        <v>8</v>
      </c>
      <c r="R26" s="34" t="s">
        <v>8</v>
      </c>
      <c r="S26" s="29" t="s">
        <v>9</v>
      </c>
      <c r="T26" s="29"/>
      <c r="U26" s="37" t="s">
        <v>8</v>
      </c>
      <c r="V26" s="20"/>
    </row>
    <row r="27" spans="1:24" ht="15" customHeight="1" x14ac:dyDescent="0.3">
      <c r="A27" s="4"/>
      <c r="B27" s="5"/>
      <c r="D27" s="72">
        <f>A27</f>
        <v>0</v>
      </c>
      <c r="E27" s="10" t="s">
        <v>18</v>
      </c>
      <c r="F27" s="10">
        <f>B27</f>
        <v>0</v>
      </c>
      <c r="G27" s="27"/>
      <c r="H27" s="28"/>
      <c r="I27" s="21"/>
      <c r="J27" s="13">
        <f t="shared" ref="J27:J58" si="1">G27-$J$14</f>
        <v>0</v>
      </c>
      <c r="K27" s="14">
        <f t="shared" ref="K27:K58" si="2">H27-$K$14</f>
        <v>0</v>
      </c>
      <c r="L27" s="21"/>
      <c r="M27" s="68">
        <f>J27-(0.25*K27)</f>
        <v>0</v>
      </c>
      <c r="N27" s="21">
        <f>M27*75.918</f>
        <v>0</v>
      </c>
      <c r="O27" s="14">
        <f>N27*2</f>
        <v>0</v>
      </c>
      <c r="P27" s="21" t="e">
        <f>O27/F27</f>
        <v>#DIV/0!</v>
      </c>
      <c r="Q27" s="13" t="e">
        <f>AVERAGE(P27:P29)</f>
        <v>#DIV/0!</v>
      </c>
      <c r="R27" s="21" t="e">
        <f>STDEV(P27:P29)</f>
        <v>#DIV/0!</v>
      </c>
      <c r="S27" s="14" t="e">
        <f>R27/Q27*100</f>
        <v>#DIV/0!</v>
      </c>
      <c r="T27" s="30">
        <f>D27</f>
        <v>0</v>
      </c>
      <c r="U27" s="22" t="e">
        <f>Q27</f>
        <v>#DIV/0!</v>
      </c>
      <c r="V27" s="20"/>
    </row>
    <row r="28" spans="1:24" ht="14.4" customHeight="1" x14ac:dyDescent="0.3">
      <c r="A28" s="4"/>
      <c r="B28" s="5"/>
      <c r="D28" s="73"/>
      <c r="E28" s="11" t="s">
        <v>19</v>
      </c>
      <c r="F28" s="11">
        <f>F27</f>
        <v>0</v>
      </c>
      <c r="G28" s="13"/>
      <c r="H28" s="14"/>
      <c r="I28" s="21"/>
      <c r="J28" s="13">
        <f t="shared" si="1"/>
        <v>0</v>
      </c>
      <c r="K28" s="14">
        <f t="shared" si="2"/>
        <v>0</v>
      </c>
      <c r="L28" s="21"/>
      <c r="M28" s="17">
        <f t="shared" ref="M28:M91" si="3">J28-(0.25*K28)</f>
        <v>0</v>
      </c>
      <c r="N28" s="21">
        <f t="shared" ref="N28:N91" si="4">M28*75.918</f>
        <v>0</v>
      </c>
      <c r="O28" s="14">
        <f t="shared" ref="O28:O91" si="5">N28*2</f>
        <v>0</v>
      </c>
      <c r="P28" s="21" t="e">
        <f t="shared" ref="P28:P91" si="6">O28/F28</f>
        <v>#DIV/0!</v>
      </c>
      <c r="Q28" s="13"/>
      <c r="R28" s="21"/>
      <c r="S28" s="14"/>
      <c r="T28" s="31">
        <f>D30</f>
        <v>0</v>
      </c>
      <c r="U28" s="23" t="e">
        <f>Q30</f>
        <v>#DIV/0!</v>
      </c>
    </row>
    <row r="29" spans="1:24" ht="14.4" customHeight="1" x14ac:dyDescent="0.3">
      <c r="A29" s="4"/>
      <c r="B29" s="5"/>
      <c r="D29" s="74"/>
      <c r="E29" s="12" t="s">
        <v>20</v>
      </c>
      <c r="F29" s="12">
        <f>F27</f>
        <v>0</v>
      </c>
      <c r="G29" s="15"/>
      <c r="H29" s="16"/>
      <c r="I29" s="21"/>
      <c r="J29" s="13">
        <f t="shared" si="1"/>
        <v>0</v>
      </c>
      <c r="K29" s="14">
        <f t="shared" si="2"/>
        <v>0</v>
      </c>
      <c r="L29" s="21"/>
      <c r="M29" s="17">
        <f t="shared" si="3"/>
        <v>0</v>
      </c>
      <c r="N29" s="21">
        <f t="shared" si="4"/>
        <v>0</v>
      </c>
      <c r="O29" s="14">
        <f t="shared" si="5"/>
        <v>0</v>
      </c>
      <c r="P29" s="21" t="e">
        <f t="shared" si="6"/>
        <v>#DIV/0!</v>
      </c>
      <c r="Q29" s="13"/>
      <c r="R29" s="21"/>
      <c r="S29" s="14"/>
      <c r="T29" s="31">
        <f>D33</f>
        <v>0</v>
      </c>
      <c r="U29" s="23" t="e">
        <f>Q33</f>
        <v>#DIV/0!</v>
      </c>
    </row>
    <row r="30" spans="1:24" ht="14.4" customHeight="1" x14ac:dyDescent="0.3">
      <c r="A30" s="4"/>
      <c r="B30" s="5"/>
      <c r="D30" s="72">
        <f>A28</f>
        <v>0</v>
      </c>
      <c r="E30" s="10" t="s">
        <v>21</v>
      </c>
      <c r="F30" s="10">
        <f>B28</f>
        <v>0</v>
      </c>
      <c r="G30" s="27"/>
      <c r="H30" s="28"/>
      <c r="I30" s="21"/>
      <c r="J30" s="13">
        <f t="shared" si="1"/>
        <v>0</v>
      </c>
      <c r="K30" s="14">
        <f t="shared" si="2"/>
        <v>0</v>
      </c>
      <c r="L30" s="21"/>
      <c r="M30" s="17">
        <f t="shared" si="3"/>
        <v>0</v>
      </c>
      <c r="N30" s="21">
        <f t="shared" si="4"/>
        <v>0</v>
      </c>
      <c r="O30" s="14">
        <f t="shared" si="5"/>
        <v>0</v>
      </c>
      <c r="P30" s="21" t="e">
        <f t="shared" si="6"/>
        <v>#DIV/0!</v>
      </c>
      <c r="Q30" s="13" t="e">
        <f>AVERAGE(P30:P32)</f>
        <v>#DIV/0!</v>
      </c>
      <c r="R30" s="21" t="e">
        <f>STDEV(P30:P32)</f>
        <v>#DIV/0!</v>
      </c>
      <c r="S30" s="14" t="e">
        <f>R30/Q30*100</f>
        <v>#DIV/0!</v>
      </c>
      <c r="T30" s="31">
        <f>D36</f>
        <v>0</v>
      </c>
      <c r="U30" s="23" t="e">
        <f>Q36</f>
        <v>#DIV/0!</v>
      </c>
    </row>
    <row r="31" spans="1:24" ht="14.4" customHeight="1" x14ac:dyDescent="0.3">
      <c r="A31" s="4"/>
      <c r="B31" s="5"/>
      <c r="D31" s="73"/>
      <c r="E31" s="11" t="s">
        <v>22</v>
      </c>
      <c r="F31" s="11">
        <f t="shared" ref="F31" si="7">F30</f>
        <v>0</v>
      </c>
      <c r="G31" s="13"/>
      <c r="H31" s="14"/>
      <c r="I31" s="21"/>
      <c r="J31" s="13">
        <f t="shared" si="1"/>
        <v>0</v>
      </c>
      <c r="K31" s="14">
        <f t="shared" si="2"/>
        <v>0</v>
      </c>
      <c r="L31" s="21"/>
      <c r="M31" s="17">
        <f t="shared" si="3"/>
        <v>0</v>
      </c>
      <c r="N31" s="21">
        <f t="shared" si="4"/>
        <v>0</v>
      </c>
      <c r="O31" s="14">
        <f t="shared" si="5"/>
        <v>0</v>
      </c>
      <c r="P31" s="21" t="e">
        <f t="shared" si="6"/>
        <v>#DIV/0!</v>
      </c>
      <c r="Q31" s="13"/>
      <c r="R31" s="21"/>
      <c r="S31" s="14"/>
      <c r="T31" s="31">
        <f>D39</f>
        <v>0</v>
      </c>
      <c r="U31" s="23" t="e">
        <f>Q39</f>
        <v>#DIV/0!</v>
      </c>
    </row>
    <row r="32" spans="1:24" ht="14.4" customHeight="1" x14ac:dyDescent="0.3">
      <c r="A32" s="4"/>
      <c r="B32" s="5"/>
      <c r="D32" s="74"/>
      <c r="E32" s="12" t="s">
        <v>23</v>
      </c>
      <c r="F32" s="12">
        <f t="shared" ref="F32" si="8">F30</f>
        <v>0</v>
      </c>
      <c r="G32" s="15"/>
      <c r="H32" s="16"/>
      <c r="I32" s="21"/>
      <c r="J32" s="13">
        <f t="shared" si="1"/>
        <v>0</v>
      </c>
      <c r="K32" s="14">
        <f t="shared" si="2"/>
        <v>0</v>
      </c>
      <c r="L32" s="21"/>
      <c r="M32" s="17">
        <f t="shared" si="3"/>
        <v>0</v>
      </c>
      <c r="N32" s="21">
        <f t="shared" si="4"/>
        <v>0</v>
      </c>
      <c r="O32" s="14">
        <f t="shared" si="5"/>
        <v>0</v>
      </c>
      <c r="P32" s="21" t="e">
        <f t="shared" si="6"/>
        <v>#DIV/0!</v>
      </c>
      <c r="Q32" s="13"/>
      <c r="R32" s="21"/>
      <c r="S32" s="14"/>
      <c r="T32" s="31">
        <f>D42</f>
        <v>0</v>
      </c>
      <c r="U32" s="23" t="e">
        <f>Q42</f>
        <v>#DIV/0!</v>
      </c>
    </row>
    <row r="33" spans="1:21" ht="14.4" customHeight="1" x14ac:dyDescent="0.3">
      <c r="A33" s="4"/>
      <c r="B33" s="5"/>
      <c r="D33" s="72">
        <f>A29</f>
        <v>0</v>
      </c>
      <c r="E33" s="10" t="s">
        <v>24</v>
      </c>
      <c r="F33" s="10">
        <f>B29</f>
        <v>0</v>
      </c>
      <c r="G33" s="27"/>
      <c r="H33" s="28"/>
      <c r="I33" s="21"/>
      <c r="J33" s="13">
        <f t="shared" si="1"/>
        <v>0</v>
      </c>
      <c r="K33" s="14">
        <f t="shared" si="2"/>
        <v>0</v>
      </c>
      <c r="L33" s="21"/>
      <c r="M33" s="17">
        <f t="shared" si="3"/>
        <v>0</v>
      </c>
      <c r="N33" s="21">
        <f t="shared" si="4"/>
        <v>0</v>
      </c>
      <c r="O33" s="14">
        <f t="shared" si="5"/>
        <v>0</v>
      </c>
      <c r="P33" s="21" t="e">
        <f t="shared" si="6"/>
        <v>#DIV/0!</v>
      </c>
      <c r="Q33" s="13" t="e">
        <f>AVERAGE(P33:P35)</f>
        <v>#DIV/0!</v>
      </c>
      <c r="R33" s="21" t="e">
        <f>STDEV(P33:P35)</f>
        <v>#DIV/0!</v>
      </c>
      <c r="S33" s="14" t="e">
        <f>R33/Q33*100</f>
        <v>#DIV/0!</v>
      </c>
      <c r="T33" s="31">
        <f>D45</f>
        <v>0</v>
      </c>
      <c r="U33" s="23" t="e">
        <f>Q45</f>
        <v>#DIV/0!</v>
      </c>
    </row>
    <row r="34" spans="1:21" ht="14.4" customHeight="1" x14ac:dyDescent="0.3">
      <c r="A34" s="4"/>
      <c r="B34" s="5"/>
      <c r="D34" s="73"/>
      <c r="E34" s="11" t="s">
        <v>25</v>
      </c>
      <c r="F34" s="11">
        <f t="shared" ref="F34" si="9">F33</f>
        <v>0</v>
      </c>
      <c r="G34" s="13"/>
      <c r="H34" s="14"/>
      <c r="I34" s="21"/>
      <c r="J34" s="13">
        <f t="shared" si="1"/>
        <v>0</v>
      </c>
      <c r="K34" s="14">
        <f t="shared" si="2"/>
        <v>0</v>
      </c>
      <c r="L34" s="21"/>
      <c r="M34" s="17">
        <f t="shared" si="3"/>
        <v>0</v>
      </c>
      <c r="N34" s="21">
        <f t="shared" si="4"/>
        <v>0</v>
      </c>
      <c r="O34" s="14">
        <f t="shared" si="5"/>
        <v>0</v>
      </c>
      <c r="P34" s="21" t="e">
        <f t="shared" si="6"/>
        <v>#DIV/0!</v>
      </c>
      <c r="Q34" s="13"/>
      <c r="R34" s="21"/>
      <c r="S34" s="14"/>
      <c r="T34" s="31">
        <f>D48</f>
        <v>0</v>
      </c>
      <c r="U34" s="23" t="e">
        <f>Q48</f>
        <v>#DIV/0!</v>
      </c>
    </row>
    <row r="35" spans="1:21" ht="14.4" customHeight="1" x14ac:dyDescent="0.3">
      <c r="A35" s="4"/>
      <c r="B35" s="5"/>
      <c r="D35" s="74"/>
      <c r="E35" s="12" t="s">
        <v>26</v>
      </c>
      <c r="F35" s="12">
        <f t="shared" ref="F35" si="10">F33</f>
        <v>0</v>
      </c>
      <c r="G35" s="15"/>
      <c r="H35" s="16"/>
      <c r="I35" s="21"/>
      <c r="J35" s="13">
        <f t="shared" si="1"/>
        <v>0</v>
      </c>
      <c r="K35" s="14">
        <f t="shared" si="2"/>
        <v>0</v>
      </c>
      <c r="L35" s="21"/>
      <c r="M35" s="17">
        <f t="shared" si="3"/>
        <v>0</v>
      </c>
      <c r="N35" s="21">
        <f t="shared" si="4"/>
        <v>0</v>
      </c>
      <c r="O35" s="14">
        <f t="shared" si="5"/>
        <v>0</v>
      </c>
      <c r="P35" s="21" t="e">
        <f t="shared" si="6"/>
        <v>#DIV/0!</v>
      </c>
      <c r="Q35" s="13"/>
      <c r="R35" s="21"/>
      <c r="S35" s="14"/>
      <c r="T35" s="31">
        <f>D51</f>
        <v>0</v>
      </c>
      <c r="U35" s="23" t="e">
        <f>Q51</f>
        <v>#DIV/0!</v>
      </c>
    </row>
    <row r="36" spans="1:21" ht="14.4" customHeight="1" x14ac:dyDescent="0.3">
      <c r="A36" s="4"/>
      <c r="B36" s="5"/>
      <c r="D36" s="72">
        <f>A30</f>
        <v>0</v>
      </c>
      <c r="E36" s="10" t="s">
        <v>27</v>
      </c>
      <c r="F36" s="10">
        <f>B30</f>
        <v>0</v>
      </c>
      <c r="G36" s="27"/>
      <c r="H36" s="28"/>
      <c r="I36" s="21"/>
      <c r="J36" s="13">
        <f t="shared" si="1"/>
        <v>0</v>
      </c>
      <c r="K36" s="14">
        <f t="shared" si="2"/>
        <v>0</v>
      </c>
      <c r="L36" s="21"/>
      <c r="M36" s="17">
        <f t="shared" si="3"/>
        <v>0</v>
      </c>
      <c r="N36" s="21">
        <f t="shared" si="4"/>
        <v>0</v>
      </c>
      <c r="O36" s="14">
        <f t="shared" si="5"/>
        <v>0</v>
      </c>
      <c r="P36" s="21" t="e">
        <f t="shared" si="6"/>
        <v>#DIV/0!</v>
      </c>
      <c r="Q36" s="13" t="e">
        <f>AVERAGE(P36:P38)</f>
        <v>#DIV/0!</v>
      </c>
      <c r="R36" s="21" t="e">
        <f>STDEV(P36:P38)</f>
        <v>#DIV/0!</v>
      </c>
      <c r="S36" s="14" t="e">
        <f>R36/Q36*100</f>
        <v>#DIV/0!</v>
      </c>
      <c r="T36" s="31">
        <f>D54</f>
        <v>0</v>
      </c>
      <c r="U36" s="23" t="e">
        <f>Q54</f>
        <v>#DIV/0!</v>
      </c>
    </row>
    <row r="37" spans="1:21" ht="14.4" customHeight="1" x14ac:dyDescent="0.3">
      <c r="A37" s="4"/>
      <c r="B37" s="5"/>
      <c r="D37" s="73"/>
      <c r="E37" s="11" t="s">
        <v>28</v>
      </c>
      <c r="F37" s="11">
        <f t="shared" ref="F37" si="11">F36</f>
        <v>0</v>
      </c>
      <c r="G37" s="13"/>
      <c r="H37" s="14"/>
      <c r="I37" s="21"/>
      <c r="J37" s="13">
        <f t="shared" si="1"/>
        <v>0</v>
      </c>
      <c r="K37" s="14">
        <f t="shared" si="2"/>
        <v>0</v>
      </c>
      <c r="L37" s="21"/>
      <c r="M37" s="17">
        <f t="shared" si="3"/>
        <v>0</v>
      </c>
      <c r="N37" s="21">
        <f t="shared" si="4"/>
        <v>0</v>
      </c>
      <c r="O37" s="14">
        <f t="shared" si="5"/>
        <v>0</v>
      </c>
      <c r="P37" s="21" t="e">
        <f t="shared" si="6"/>
        <v>#DIV/0!</v>
      </c>
      <c r="Q37" s="13"/>
      <c r="R37" s="21"/>
      <c r="S37" s="14"/>
      <c r="T37" s="31">
        <f>D57</f>
        <v>0</v>
      </c>
      <c r="U37" s="23" t="e">
        <f>Q57</f>
        <v>#DIV/0!</v>
      </c>
    </row>
    <row r="38" spans="1:21" ht="14.4" customHeight="1" x14ac:dyDescent="0.3">
      <c r="A38" s="4"/>
      <c r="B38" s="5"/>
      <c r="D38" s="74"/>
      <c r="E38" s="12" t="s">
        <v>29</v>
      </c>
      <c r="F38" s="12">
        <f t="shared" ref="F38" si="12">F36</f>
        <v>0</v>
      </c>
      <c r="G38" s="15"/>
      <c r="H38" s="16"/>
      <c r="I38" s="21"/>
      <c r="J38" s="13">
        <f t="shared" si="1"/>
        <v>0</v>
      </c>
      <c r="K38" s="14">
        <f t="shared" si="2"/>
        <v>0</v>
      </c>
      <c r="L38" s="21"/>
      <c r="M38" s="17">
        <f t="shared" si="3"/>
        <v>0</v>
      </c>
      <c r="N38" s="21">
        <f t="shared" si="4"/>
        <v>0</v>
      </c>
      <c r="O38" s="14">
        <f t="shared" si="5"/>
        <v>0</v>
      </c>
      <c r="P38" s="21" t="e">
        <f t="shared" si="6"/>
        <v>#DIV/0!</v>
      </c>
      <c r="Q38" s="13"/>
      <c r="R38" s="21"/>
      <c r="S38" s="14"/>
      <c r="T38" s="31">
        <f>D60</f>
        <v>0</v>
      </c>
      <c r="U38" s="23" t="e">
        <f>Q60</f>
        <v>#DIV/0!</v>
      </c>
    </row>
    <row r="39" spans="1:21" ht="14.4" customHeight="1" x14ac:dyDescent="0.3">
      <c r="A39" s="4"/>
      <c r="B39" s="5"/>
      <c r="D39" s="72">
        <f>A31</f>
        <v>0</v>
      </c>
      <c r="E39" s="10" t="s">
        <v>30</v>
      </c>
      <c r="F39" s="10">
        <f>B31</f>
        <v>0</v>
      </c>
      <c r="G39" s="27"/>
      <c r="H39" s="28"/>
      <c r="I39" s="21"/>
      <c r="J39" s="13">
        <f t="shared" si="1"/>
        <v>0</v>
      </c>
      <c r="K39" s="14">
        <f t="shared" si="2"/>
        <v>0</v>
      </c>
      <c r="L39" s="21"/>
      <c r="M39" s="17">
        <f t="shared" si="3"/>
        <v>0</v>
      </c>
      <c r="N39" s="21">
        <f t="shared" si="4"/>
        <v>0</v>
      </c>
      <c r="O39" s="14">
        <f t="shared" si="5"/>
        <v>0</v>
      </c>
      <c r="P39" s="21" t="e">
        <f t="shared" si="6"/>
        <v>#DIV/0!</v>
      </c>
      <c r="Q39" s="13" t="e">
        <f>AVERAGE(P39:P41)</f>
        <v>#DIV/0!</v>
      </c>
      <c r="R39" s="21" t="e">
        <f>STDEV(P39:P41)</f>
        <v>#DIV/0!</v>
      </c>
      <c r="S39" s="14" t="e">
        <f>R39/Q39*100</f>
        <v>#DIV/0!</v>
      </c>
      <c r="T39" s="31">
        <f>D63</f>
        <v>0</v>
      </c>
      <c r="U39" s="23" t="e">
        <f>Q63</f>
        <v>#DIV/0!</v>
      </c>
    </row>
    <row r="40" spans="1:21" ht="14.4" customHeight="1" x14ac:dyDescent="0.3">
      <c r="A40" s="4"/>
      <c r="B40" s="5"/>
      <c r="D40" s="73"/>
      <c r="E40" s="11" t="s">
        <v>31</v>
      </c>
      <c r="F40" s="11">
        <f t="shared" ref="F40" si="13">F39</f>
        <v>0</v>
      </c>
      <c r="G40" s="13"/>
      <c r="H40" s="14"/>
      <c r="I40" s="21"/>
      <c r="J40" s="13">
        <f t="shared" si="1"/>
        <v>0</v>
      </c>
      <c r="K40" s="14">
        <f t="shared" si="2"/>
        <v>0</v>
      </c>
      <c r="L40" s="21"/>
      <c r="M40" s="17">
        <f t="shared" si="3"/>
        <v>0</v>
      </c>
      <c r="N40" s="21">
        <f t="shared" si="4"/>
        <v>0</v>
      </c>
      <c r="O40" s="14">
        <f t="shared" si="5"/>
        <v>0</v>
      </c>
      <c r="P40" s="21" t="e">
        <f t="shared" si="6"/>
        <v>#DIV/0!</v>
      </c>
      <c r="Q40" s="13"/>
      <c r="R40" s="21"/>
      <c r="S40" s="14"/>
      <c r="T40" s="31">
        <f>D66</f>
        <v>0</v>
      </c>
      <c r="U40" s="23" t="e">
        <f>Q66</f>
        <v>#DIV/0!</v>
      </c>
    </row>
    <row r="41" spans="1:21" ht="14.4" customHeight="1" x14ac:dyDescent="0.3">
      <c r="A41" s="4"/>
      <c r="B41" s="5"/>
      <c r="D41" s="74"/>
      <c r="E41" s="12" t="s">
        <v>32</v>
      </c>
      <c r="F41" s="12">
        <f t="shared" ref="F41" si="14">F39</f>
        <v>0</v>
      </c>
      <c r="G41" s="15"/>
      <c r="H41" s="16"/>
      <c r="I41" s="21"/>
      <c r="J41" s="13">
        <f t="shared" si="1"/>
        <v>0</v>
      </c>
      <c r="K41" s="14">
        <f t="shared" si="2"/>
        <v>0</v>
      </c>
      <c r="L41" s="21"/>
      <c r="M41" s="17">
        <f t="shared" si="3"/>
        <v>0</v>
      </c>
      <c r="N41" s="21">
        <f t="shared" si="4"/>
        <v>0</v>
      </c>
      <c r="O41" s="14">
        <f t="shared" si="5"/>
        <v>0</v>
      </c>
      <c r="P41" s="21" t="e">
        <f t="shared" si="6"/>
        <v>#DIV/0!</v>
      </c>
      <c r="Q41" s="13"/>
      <c r="R41" s="21"/>
      <c r="S41" s="14"/>
      <c r="T41" s="31">
        <f>D69</f>
        <v>0</v>
      </c>
      <c r="U41" s="23" t="e">
        <f>Q69</f>
        <v>#DIV/0!</v>
      </c>
    </row>
    <row r="42" spans="1:21" ht="14.4" customHeight="1" x14ac:dyDescent="0.3">
      <c r="A42" s="4"/>
      <c r="B42" s="5"/>
      <c r="D42" s="72">
        <f>A32</f>
        <v>0</v>
      </c>
      <c r="E42" s="10" t="s">
        <v>33</v>
      </c>
      <c r="F42" s="10">
        <f>B32</f>
        <v>0</v>
      </c>
      <c r="G42" s="27"/>
      <c r="H42" s="28"/>
      <c r="I42" s="21"/>
      <c r="J42" s="13">
        <f t="shared" si="1"/>
        <v>0</v>
      </c>
      <c r="K42" s="14">
        <f t="shared" si="2"/>
        <v>0</v>
      </c>
      <c r="L42" s="21"/>
      <c r="M42" s="17">
        <f t="shared" si="3"/>
        <v>0</v>
      </c>
      <c r="N42" s="21">
        <f t="shared" si="4"/>
        <v>0</v>
      </c>
      <c r="O42" s="14">
        <f t="shared" si="5"/>
        <v>0</v>
      </c>
      <c r="P42" s="21" t="e">
        <f t="shared" si="6"/>
        <v>#DIV/0!</v>
      </c>
      <c r="Q42" s="13" t="e">
        <f>AVERAGE(P42:P44)</f>
        <v>#DIV/0!</v>
      </c>
      <c r="R42" s="21" t="e">
        <f>STDEV(P42:P44)</f>
        <v>#DIV/0!</v>
      </c>
      <c r="S42" s="14" t="e">
        <f>R42/Q42*100</f>
        <v>#DIV/0!</v>
      </c>
      <c r="T42" s="31">
        <f>D72</f>
        <v>0</v>
      </c>
      <c r="U42" s="23" t="e">
        <f>Q72</f>
        <v>#DIV/0!</v>
      </c>
    </row>
    <row r="43" spans="1:21" ht="14.4" customHeight="1" x14ac:dyDescent="0.3">
      <c r="A43" s="4"/>
      <c r="B43" s="5"/>
      <c r="D43" s="73"/>
      <c r="E43" s="11" t="s">
        <v>34</v>
      </c>
      <c r="F43" s="11">
        <f t="shared" ref="F43" si="15">F42</f>
        <v>0</v>
      </c>
      <c r="G43" s="13"/>
      <c r="H43" s="14"/>
      <c r="I43" s="21"/>
      <c r="J43" s="13">
        <f t="shared" si="1"/>
        <v>0</v>
      </c>
      <c r="K43" s="14">
        <f t="shared" si="2"/>
        <v>0</v>
      </c>
      <c r="L43" s="21"/>
      <c r="M43" s="17">
        <f t="shared" si="3"/>
        <v>0</v>
      </c>
      <c r="N43" s="21">
        <f t="shared" si="4"/>
        <v>0</v>
      </c>
      <c r="O43" s="14">
        <f t="shared" si="5"/>
        <v>0</v>
      </c>
      <c r="P43" s="21" t="e">
        <f t="shared" si="6"/>
        <v>#DIV/0!</v>
      </c>
      <c r="Q43" s="13"/>
      <c r="R43" s="21"/>
      <c r="S43" s="14"/>
      <c r="T43" s="31">
        <f>D75</f>
        <v>0</v>
      </c>
      <c r="U43" s="23" t="e">
        <f>Q75</f>
        <v>#DIV/0!</v>
      </c>
    </row>
    <row r="44" spans="1:21" ht="14.4" customHeight="1" x14ac:dyDescent="0.3">
      <c r="A44" s="4"/>
      <c r="B44" s="5"/>
      <c r="D44" s="74"/>
      <c r="E44" s="12" t="s">
        <v>35</v>
      </c>
      <c r="F44" s="12">
        <f t="shared" ref="F44" si="16">F42</f>
        <v>0</v>
      </c>
      <c r="G44" s="15"/>
      <c r="H44" s="16"/>
      <c r="I44" s="21"/>
      <c r="J44" s="13">
        <f t="shared" si="1"/>
        <v>0</v>
      </c>
      <c r="K44" s="14">
        <f t="shared" si="2"/>
        <v>0</v>
      </c>
      <c r="L44" s="21"/>
      <c r="M44" s="17">
        <f t="shared" si="3"/>
        <v>0</v>
      </c>
      <c r="N44" s="21">
        <f t="shared" si="4"/>
        <v>0</v>
      </c>
      <c r="O44" s="14">
        <f t="shared" si="5"/>
        <v>0</v>
      </c>
      <c r="P44" s="21" t="e">
        <f t="shared" si="6"/>
        <v>#DIV/0!</v>
      </c>
      <c r="Q44" s="13"/>
      <c r="R44" s="21"/>
      <c r="S44" s="14"/>
      <c r="T44" s="31">
        <f>D78</f>
        <v>0</v>
      </c>
      <c r="U44" s="23" t="e">
        <f>Q78</f>
        <v>#DIV/0!</v>
      </c>
    </row>
    <row r="45" spans="1:21" ht="14.4" customHeight="1" x14ac:dyDescent="0.3">
      <c r="A45" s="4"/>
      <c r="B45" s="5"/>
      <c r="D45" s="72">
        <f>A33</f>
        <v>0</v>
      </c>
      <c r="E45" s="10" t="s">
        <v>36</v>
      </c>
      <c r="F45" s="10">
        <f>B33</f>
        <v>0</v>
      </c>
      <c r="G45" s="27"/>
      <c r="H45" s="28"/>
      <c r="I45" s="21"/>
      <c r="J45" s="13">
        <f t="shared" si="1"/>
        <v>0</v>
      </c>
      <c r="K45" s="14">
        <f t="shared" si="2"/>
        <v>0</v>
      </c>
      <c r="L45" s="21"/>
      <c r="M45" s="17">
        <f t="shared" si="3"/>
        <v>0</v>
      </c>
      <c r="N45" s="21">
        <f t="shared" si="4"/>
        <v>0</v>
      </c>
      <c r="O45" s="14">
        <f t="shared" si="5"/>
        <v>0</v>
      </c>
      <c r="P45" s="21" t="e">
        <f t="shared" si="6"/>
        <v>#DIV/0!</v>
      </c>
      <c r="Q45" s="13" t="e">
        <f>AVERAGE(P45:P47)</f>
        <v>#DIV/0!</v>
      </c>
      <c r="R45" s="21" t="e">
        <f>STDEV(P45:P47)</f>
        <v>#DIV/0!</v>
      </c>
      <c r="S45" s="14" t="e">
        <f>R45/Q45*100</f>
        <v>#DIV/0!</v>
      </c>
      <c r="T45" s="31">
        <f>D81</f>
        <v>0</v>
      </c>
      <c r="U45" s="23" t="e">
        <f>Q81</f>
        <v>#DIV/0!</v>
      </c>
    </row>
    <row r="46" spans="1:21" ht="14.4" customHeight="1" x14ac:dyDescent="0.3">
      <c r="A46" s="4"/>
      <c r="B46" s="5"/>
      <c r="D46" s="73"/>
      <c r="E46" s="11" t="s">
        <v>37</v>
      </c>
      <c r="F46" s="11">
        <f t="shared" ref="F46" si="17">F45</f>
        <v>0</v>
      </c>
      <c r="G46" s="13"/>
      <c r="H46" s="14"/>
      <c r="I46" s="21"/>
      <c r="J46" s="13">
        <f t="shared" si="1"/>
        <v>0</v>
      </c>
      <c r="K46" s="14">
        <f t="shared" si="2"/>
        <v>0</v>
      </c>
      <c r="L46" s="21"/>
      <c r="M46" s="17">
        <f t="shared" si="3"/>
        <v>0</v>
      </c>
      <c r="N46" s="21">
        <f t="shared" si="4"/>
        <v>0</v>
      </c>
      <c r="O46" s="14">
        <f t="shared" si="5"/>
        <v>0</v>
      </c>
      <c r="P46" s="21" t="e">
        <f t="shared" si="6"/>
        <v>#DIV/0!</v>
      </c>
      <c r="Q46" s="13"/>
      <c r="R46" s="21"/>
      <c r="S46" s="14"/>
      <c r="T46" s="31">
        <f>D84</f>
        <v>0</v>
      </c>
      <c r="U46" s="23" t="e">
        <f>Q84</f>
        <v>#DIV/0!</v>
      </c>
    </row>
    <row r="47" spans="1:21" ht="14.4" customHeight="1" x14ac:dyDescent="0.3">
      <c r="A47" s="4"/>
      <c r="B47" s="5"/>
      <c r="D47" s="74"/>
      <c r="E47" s="12" t="s">
        <v>38</v>
      </c>
      <c r="F47" s="12">
        <f t="shared" ref="F47" si="18">F45</f>
        <v>0</v>
      </c>
      <c r="G47" s="15"/>
      <c r="H47" s="16"/>
      <c r="I47" s="21"/>
      <c r="J47" s="13">
        <f t="shared" si="1"/>
        <v>0</v>
      </c>
      <c r="K47" s="14">
        <f t="shared" si="2"/>
        <v>0</v>
      </c>
      <c r="L47" s="21"/>
      <c r="M47" s="17">
        <f t="shared" si="3"/>
        <v>0</v>
      </c>
      <c r="N47" s="21">
        <f t="shared" si="4"/>
        <v>0</v>
      </c>
      <c r="O47" s="14">
        <f t="shared" si="5"/>
        <v>0</v>
      </c>
      <c r="P47" s="21" t="e">
        <f t="shared" si="6"/>
        <v>#DIV/0!</v>
      </c>
      <c r="Q47" s="13"/>
      <c r="R47" s="21"/>
      <c r="S47" s="14"/>
      <c r="T47" s="31">
        <f>D87</f>
        <v>0</v>
      </c>
      <c r="U47" s="23" t="e">
        <f>Q87</f>
        <v>#DIV/0!</v>
      </c>
    </row>
    <row r="48" spans="1:21" ht="14.4" customHeight="1" x14ac:dyDescent="0.3">
      <c r="A48" s="4"/>
      <c r="B48" s="5"/>
      <c r="D48" s="72">
        <f>A34</f>
        <v>0</v>
      </c>
      <c r="E48" s="10" t="s">
        <v>39</v>
      </c>
      <c r="F48" s="10">
        <f>B34</f>
        <v>0</v>
      </c>
      <c r="G48" s="27"/>
      <c r="H48" s="28"/>
      <c r="I48" s="21"/>
      <c r="J48" s="13">
        <f t="shared" si="1"/>
        <v>0</v>
      </c>
      <c r="K48" s="14">
        <f t="shared" si="2"/>
        <v>0</v>
      </c>
      <c r="L48" s="21"/>
      <c r="M48" s="17">
        <f t="shared" si="3"/>
        <v>0</v>
      </c>
      <c r="N48" s="21">
        <f t="shared" si="4"/>
        <v>0</v>
      </c>
      <c r="O48" s="14">
        <f t="shared" si="5"/>
        <v>0</v>
      </c>
      <c r="P48" s="21" t="e">
        <f t="shared" si="6"/>
        <v>#DIV/0!</v>
      </c>
      <c r="Q48" s="13" t="e">
        <f>AVERAGE(P48:P50)</f>
        <v>#DIV/0!</v>
      </c>
      <c r="R48" s="21" t="e">
        <f>STDEV(P48:P50)</f>
        <v>#DIV/0!</v>
      </c>
      <c r="S48" s="14" t="e">
        <f>R48/Q48*100</f>
        <v>#DIV/0!</v>
      </c>
      <c r="T48" s="31">
        <f>D90</f>
        <v>0</v>
      </c>
      <c r="U48" s="23" t="e">
        <f>Q90</f>
        <v>#DIV/0!</v>
      </c>
    </row>
    <row r="49" spans="1:22" ht="14.4" customHeight="1" x14ac:dyDescent="0.3">
      <c r="A49" s="4"/>
      <c r="B49" s="5"/>
      <c r="D49" s="73"/>
      <c r="E49" s="11" t="s">
        <v>40</v>
      </c>
      <c r="F49" s="11">
        <f t="shared" ref="F49" si="19">F48</f>
        <v>0</v>
      </c>
      <c r="G49" s="13"/>
      <c r="H49" s="14"/>
      <c r="I49" s="21"/>
      <c r="J49" s="13">
        <f t="shared" si="1"/>
        <v>0</v>
      </c>
      <c r="K49" s="14">
        <f t="shared" si="2"/>
        <v>0</v>
      </c>
      <c r="L49" s="21"/>
      <c r="M49" s="17">
        <f t="shared" si="3"/>
        <v>0</v>
      </c>
      <c r="N49" s="21">
        <f t="shared" si="4"/>
        <v>0</v>
      </c>
      <c r="O49" s="14">
        <f t="shared" si="5"/>
        <v>0</v>
      </c>
      <c r="P49" s="21" t="e">
        <f t="shared" si="6"/>
        <v>#DIV/0!</v>
      </c>
      <c r="Q49" s="13"/>
      <c r="R49" s="21"/>
      <c r="S49" s="14"/>
      <c r="T49" s="31">
        <f>D93</f>
        <v>0</v>
      </c>
      <c r="U49" s="23" t="e">
        <f>Q93</f>
        <v>#DIV/0!</v>
      </c>
    </row>
    <row r="50" spans="1:22" ht="14.4" customHeight="1" x14ac:dyDescent="0.3">
      <c r="A50" s="6"/>
      <c r="B50" s="7"/>
      <c r="D50" s="74"/>
      <c r="E50" s="12" t="s">
        <v>41</v>
      </c>
      <c r="F50" s="12">
        <f t="shared" ref="F50" si="20">F48</f>
        <v>0</v>
      </c>
      <c r="G50" s="15"/>
      <c r="H50" s="16"/>
      <c r="I50" s="21"/>
      <c r="J50" s="13">
        <f t="shared" si="1"/>
        <v>0</v>
      </c>
      <c r="K50" s="14">
        <f t="shared" si="2"/>
        <v>0</v>
      </c>
      <c r="L50" s="21"/>
      <c r="M50" s="17">
        <f t="shared" si="3"/>
        <v>0</v>
      </c>
      <c r="N50" s="21">
        <f t="shared" si="4"/>
        <v>0</v>
      </c>
      <c r="O50" s="14">
        <f t="shared" si="5"/>
        <v>0</v>
      </c>
      <c r="P50" s="21" t="e">
        <f t="shared" si="6"/>
        <v>#DIV/0!</v>
      </c>
      <c r="Q50" s="13"/>
      <c r="R50" s="21"/>
      <c r="S50" s="14"/>
      <c r="T50" s="32">
        <f>D96</f>
        <v>0</v>
      </c>
      <c r="U50" s="24" t="e">
        <f>Q96</f>
        <v>#DIV/0!</v>
      </c>
    </row>
    <row r="51" spans="1:22" ht="14.4" customHeight="1" x14ac:dyDescent="0.3">
      <c r="D51" s="72">
        <f>A35</f>
        <v>0</v>
      </c>
      <c r="E51" s="10" t="s">
        <v>42</v>
      </c>
      <c r="F51" s="10">
        <f>B35</f>
        <v>0</v>
      </c>
      <c r="G51" s="27"/>
      <c r="H51" s="28"/>
      <c r="I51" s="21"/>
      <c r="J51" s="13">
        <f t="shared" si="1"/>
        <v>0</v>
      </c>
      <c r="K51" s="14">
        <f t="shared" si="2"/>
        <v>0</v>
      </c>
      <c r="L51" s="21"/>
      <c r="M51" s="17">
        <f t="shared" si="3"/>
        <v>0</v>
      </c>
      <c r="N51" s="21">
        <f t="shared" si="4"/>
        <v>0</v>
      </c>
      <c r="O51" s="14">
        <f t="shared" si="5"/>
        <v>0</v>
      </c>
      <c r="P51" s="21" t="e">
        <f t="shared" si="6"/>
        <v>#DIV/0!</v>
      </c>
      <c r="Q51" s="13" t="e">
        <f>AVERAGE(P51:P53)</f>
        <v>#DIV/0!</v>
      </c>
      <c r="R51" s="21" t="e">
        <f>STDEV(P51:P53)</f>
        <v>#DIV/0!</v>
      </c>
      <c r="S51" s="14" t="e">
        <f>R51/Q51*100</f>
        <v>#DIV/0!</v>
      </c>
      <c r="T51" s="21"/>
      <c r="U51" s="21"/>
      <c r="V51" s="21"/>
    </row>
    <row r="52" spans="1:22" ht="14.4" customHeight="1" x14ac:dyDescent="0.3">
      <c r="D52" s="73"/>
      <c r="E52" s="11" t="s">
        <v>43</v>
      </c>
      <c r="F52" s="11">
        <f t="shared" ref="F52" si="21">F51</f>
        <v>0</v>
      </c>
      <c r="G52" s="13"/>
      <c r="H52" s="14"/>
      <c r="I52" s="21"/>
      <c r="J52" s="13">
        <f t="shared" si="1"/>
        <v>0</v>
      </c>
      <c r="K52" s="14">
        <f t="shared" si="2"/>
        <v>0</v>
      </c>
      <c r="L52" s="21"/>
      <c r="M52" s="17">
        <f t="shared" si="3"/>
        <v>0</v>
      </c>
      <c r="N52" s="21">
        <f t="shared" si="4"/>
        <v>0</v>
      </c>
      <c r="O52" s="14">
        <f t="shared" si="5"/>
        <v>0</v>
      </c>
      <c r="P52" s="21" t="e">
        <f t="shared" si="6"/>
        <v>#DIV/0!</v>
      </c>
      <c r="Q52" s="13"/>
      <c r="R52" s="21"/>
      <c r="S52" s="14"/>
      <c r="T52" s="21"/>
    </row>
    <row r="53" spans="1:22" ht="14.4" customHeight="1" x14ac:dyDescent="0.3">
      <c r="D53" s="74"/>
      <c r="E53" s="12" t="s">
        <v>44</v>
      </c>
      <c r="F53" s="12">
        <f t="shared" ref="F53" si="22">F51</f>
        <v>0</v>
      </c>
      <c r="G53" s="15"/>
      <c r="H53" s="16"/>
      <c r="I53" s="21"/>
      <c r="J53" s="13">
        <f t="shared" si="1"/>
        <v>0</v>
      </c>
      <c r="K53" s="14">
        <f t="shared" si="2"/>
        <v>0</v>
      </c>
      <c r="L53" s="21"/>
      <c r="M53" s="17">
        <f t="shared" si="3"/>
        <v>0</v>
      </c>
      <c r="N53" s="21">
        <f t="shared" si="4"/>
        <v>0</v>
      </c>
      <c r="O53" s="14">
        <f t="shared" si="5"/>
        <v>0</v>
      </c>
      <c r="P53" s="21" t="e">
        <f t="shared" si="6"/>
        <v>#DIV/0!</v>
      </c>
      <c r="Q53" s="13"/>
      <c r="R53" s="21"/>
      <c r="S53" s="14"/>
      <c r="T53" s="21"/>
    </row>
    <row r="54" spans="1:22" ht="14.4" customHeight="1" x14ac:dyDescent="0.3">
      <c r="D54" s="72">
        <f>A36</f>
        <v>0</v>
      </c>
      <c r="E54" s="10" t="s">
        <v>45</v>
      </c>
      <c r="F54" s="10">
        <f>B36</f>
        <v>0</v>
      </c>
      <c r="G54" s="27"/>
      <c r="H54" s="28"/>
      <c r="I54" s="21"/>
      <c r="J54" s="13">
        <f t="shared" si="1"/>
        <v>0</v>
      </c>
      <c r="K54" s="14">
        <f t="shared" si="2"/>
        <v>0</v>
      </c>
      <c r="L54" s="21"/>
      <c r="M54" s="17">
        <f t="shared" si="3"/>
        <v>0</v>
      </c>
      <c r="N54" s="21">
        <f t="shared" si="4"/>
        <v>0</v>
      </c>
      <c r="O54" s="14">
        <f t="shared" si="5"/>
        <v>0</v>
      </c>
      <c r="P54" s="21" t="e">
        <f t="shared" si="6"/>
        <v>#DIV/0!</v>
      </c>
      <c r="Q54" s="13" t="e">
        <f>AVERAGE(P54:P56)</f>
        <v>#DIV/0!</v>
      </c>
      <c r="R54" s="21" t="e">
        <f>STDEV(P54:P56)</f>
        <v>#DIV/0!</v>
      </c>
      <c r="S54" s="14" t="e">
        <f>R54/Q54*100</f>
        <v>#DIV/0!</v>
      </c>
      <c r="T54" s="21"/>
    </row>
    <row r="55" spans="1:22" ht="14.4" customHeight="1" x14ac:dyDescent="0.3">
      <c r="D55" s="73"/>
      <c r="E55" s="11" t="s">
        <v>46</v>
      </c>
      <c r="F55" s="11">
        <f t="shared" ref="F55" si="23">F54</f>
        <v>0</v>
      </c>
      <c r="G55" s="13"/>
      <c r="H55" s="14"/>
      <c r="I55" s="21"/>
      <c r="J55" s="13">
        <f t="shared" si="1"/>
        <v>0</v>
      </c>
      <c r="K55" s="14">
        <f t="shared" si="2"/>
        <v>0</v>
      </c>
      <c r="L55" s="21"/>
      <c r="M55" s="17">
        <f t="shared" si="3"/>
        <v>0</v>
      </c>
      <c r="N55" s="21">
        <f t="shared" si="4"/>
        <v>0</v>
      </c>
      <c r="O55" s="14">
        <f t="shared" si="5"/>
        <v>0</v>
      </c>
      <c r="P55" s="21" t="e">
        <f t="shared" si="6"/>
        <v>#DIV/0!</v>
      </c>
      <c r="Q55" s="13"/>
      <c r="R55" s="21"/>
      <c r="S55" s="14"/>
      <c r="T55" s="21"/>
    </row>
    <row r="56" spans="1:22" ht="14.4" customHeight="1" x14ac:dyDescent="0.3">
      <c r="D56" s="74"/>
      <c r="E56" s="12" t="s">
        <v>47</v>
      </c>
      <c r="F56" s="12">
        <f t="shared" ref="F56" si="24">F54</f>
        <v>0</v>
      </c>
      <c r="G56" s="15"/>
      <c r="H56" s="16"/>
      <c r="I56" s="21"/>
      <c r="J56" s="13">
        <f t="shared" si="1"/>
        <v>0</v>
      </c>
      <c r="K56" s="14">
        <f t="shared" si="2"/>
        <v>0</v>
      </c>
      <c r="L56" s="21"/>
      <c r="M56" s="17">
        <f t="shared" si="3"/>
        <v>0</v>
      </c>
      <c r="N56" s="21">
        <f t="shared" si="4"/>
        <v>0</v>
      </c>
      <c r="O56" s="14">
        <f t="shared" si="5"/>
        <v>0</v>
      </c>
      <c r="P56" s="21" t="e">
        <f t="shared" si="6"/>
        <v>#DIV/0!</v>
      </c>
      <c r="Q56" s="13"/>
      <c r="R56" s="21"/>
      <c r="S56" s="14"/>
      <c r="T56" s="21"/>
    </row>
    <row r="57" spans="1:22" ht="14.4" customHeight="1" x14ac:dyDescent="0.3">
      <c r="D57" s="72">
        <f>A37</f>
        <v>0</v>
      </c>
      <c r="E57" s="10" t="s">
        <v>48</v>
      </c>
      <c r="F57" s="10">
        <f>B37</f>
        <v>0</v>
      </c>
      <c r="G57" s="27"/>
      <c r="H57" s="28"/>
      <c r="I57" s="21"/>
      <c r="J57" s="13">
        <f t="shared" si="1"/>
        <v>0</v>
      </c>
      <c r="K57" s="14">
        <f t="shared" si="2"/>
        <v>0</v>
      </c>
      <c r="L57" s="21"/>
      <c r="M57" s="17">
        <f t="shared" si="3"/>
        <v>0</v>
      </c>
      <c r="N57" s="21">
        <f t="shared" si="4"/>
        <v>0</v>
      </c>
      <c r="O57" s="14">
        <f t="shared" si="5"/>
        <v>0</v>
      </c>
      <c r="P57" s="21" t="e">
        <f t="shared" si="6"/>
        <v>#DIV/0!</v>
      </c>
      <c r="Q57" s="13" t="e">
        <f>AVERAGE(P57:P59)</f>
        <v>#DIV/0!</v>
      </c>
      <c r="R57" s="21" t="e">
        <f>STDEV(P57:P59)</f>
        <v>#DIV/0!</v>
      </c>
      <c r="S57" s="14" t="e">
        <f>R57/Q57*100</f>
        <v>#DIV/0!</v>
      </c>
      <c r="T57" s="21"/>
    </row>
    <row r="58" spans="1:22" ht="14.4" customHeight="1" x14ac:dyDescent="0.3">
      <c r="D58" s="73"/>
      <c r="E58" s="11" t="s">
        <v>49</v>
      </c>
      <c r="F58" s="11">
        <f t="shared" ref="F58" si="25">F57</f>
        <v>0</v>
      </c>
      <c r="G58" s="13"/>
      <c r="H58" s="14"/>
      <c r="I58" s="21"/>
      <c r="J58" s="13">
        <f t="shared" si="1"/>
        <v>0</v>
      </c>
      <c r="K58" s="14">
        <f t="shared" si="2"/>
        <v>0</v>
      </c>
      <c r="L58" s="21"/>
      <c r="M58" s="17">
        <f t="shared" si="3"/>
        <v>0</v>
      </c>
      <c r="N58" s="21">
        <f t="shared" si="4"/>
        <v>0</v>
      </c>
      <c r="O58" s="14">
        <f t="shared" si="5"/>
        <v>0</v>
      </c>
      <c r="P58" s="21" t="e">
        <f t="shared" si="6"/>
        <v>#DIV/0!</v>
      </c>
      <c r="Q58" s="13"/>
      <c r="R58" s="21"/>
      <c r="S58" s="14"/>
      <c r="T58" s="21"/>
    </row>
    <row r="59" spans="1:22" ht="14.4" customHeight="1" x14ac:dyDescent="0.3">
      <c r="D59" s="74"/>
      <c r="E59" s="12" t="s">
        <v>50</v>
      </c>
      <c r="F59" s="12">
        <f t="shared" ref="F59" si="26">F57</f>
        <v>0</v>
      </c>
      <c r="G59" s="15"/>
      <c r="H59" s="16"/>
      <c r="I59" s="21"/>
      <c r="J59" s="13">
        <f t="shared" ref="J59:J90" si="27">G59-$J$14</f>
        <v>0</v>
      </c>
      <c r="K59" s="14">
        <f t="shared" ref="K59:K90" si="28">H59-$K$14</f>
        <v>0</v>
      </c>
      <c r="L59" s="21"/>
      <c r="M59" s="17">
        <f t="shared" si="3"/>
        <v>0</v>
      </c>
      <c r="N59" s="21">
        <f t="shared" si="4"/>
        <v>0</v>
      </c>
      <c r="O59" s="14">
        <f t="shared" si="5"/>
        <v>0</v>
      </c>
      <c r="P59" s="21" t="e">
        <f t="shared" si="6"/>
        <v>#DIV/0!</v>
      </c>
      <c r="Q59" s="13"/>
      <c r="R59" s="21"/>
      <c r="S59" s="14"/>
      <c r="T59" s="21"/>
    </row>
    <row r="60" spans="1:22" ht="14.4" customHeight="1" x14ac:dyDescent="0.3">
      <c r="D60" s="72">
        <f>A38</f>
        <v>0</v>
      </c>
      <c r="E60" s="10" t="s">
        <v>51</v>
      </c>
      <c r="F60" s="10">
        <f>B38</f>
        <v>0</v>
      </c>
      <c r="G60" s="27"/>
      <c r="H60" s="28"/>
      <c r="I60" s="21"/>
      <c r="J60" s="13">
        <f t="shared" si="27"/>
        <v>0</v>
      </c>
      <c r="K60" s="14">
        <f t="shared" si="28"/>
        <v>0</v>
      </c>
      <c r="L60" s="21"/>
      <c r="M60" s="17">
        <f t="shared" si="3"/>
        <v>0</v>
      </c>
      <c r="N60" s="21">
        <f t="shared" si="4"/>
        <v>0</v>
      </c>
      <c r="O60" s="14">
        <f t="shared" si="5"/>
        <v>0</v>
      </c>
      <c r="P60" s="21" t="e">
        <f t="shared" si="6"/>
        <v>#DIV/0!</v>
      </c>
      <c r="Q60" s="13" t="e">
        <f>AVERAGE(P60:P62)</f>
        <v>#DIV/0!</v>
      </c>
      <c r="R60" s="21" t="e">
        <f>STDEV(P60:P62)</f>
        <v>#DIV/0!</v>
      </c>
      <c r="S60" s="14" t="e">
        <f>R60/Q60*100</f>
        <v>#DIV/0!</v>
      </c>
      <c r="T60" s="21"/>
    </row>
    <row r="61" spans="1:22" ht="14.4" customHeight="1" x14ac:dyDescent="0.3">
      <c r="D61" s="73"/>
      <c r="E61" s="11" t="s">
        <v>52</v>
      </c>
      <c r="F61" s="11">
        <f t="shared" ref="F61" si="29">F60</f>
        <v>0</v>
      </c>
      <c r="G61" s="13"/>
      <c r="H61" s="14"/>
      <c r="I61" s="21"/>
      <c r="J61" s="13">
        <f t="shared" si="27"/>
        <v>0</v>
      </c>
      <c r="K61" s="14">
        <f t="shared" si="28"/>
        <v>0</v>
      </c>
      <c r="L61" s="21"/>
      <c r="M61" s="17">
        <f t="shared" si="3"/>
        <v>0</v>
      </c>
      <c r="N61" s="21">
        <f t="shared" si="4"/>
        <v>0</v>
      </c>
      <c r="O61" s="14">
        <f t="shared" si="5"/>
        <v>0</v>
      </c>
      <c r="P61" s="21" t="e">
        <f t="shared" si="6"/>
        <v>#DIV/0!</v>
      </c>
      <c r="Q61" s="13"/>
      <c r="R61" s="21"/>
      <c r="S61" s="14"/>
      <c r="T61" s="21"/>
    </row>
    <row r="62" spans="1:22" ht="14.4" customHeight="1" x14ac:dyDescent="0.3">
      <c r="D62" s="74"/>
      <c r="E62" s="12" t="s">
        <v>53</v>
      </c>
      <c r="F62" s="12">
        <f t="shared" ref="F62" si="30">F60</f>
        <v>0</v>
      </c>
      <c r="G62" s="15"/>
      <c r="H62" s="16"/>
      <c r="I62" s="21"/>
      <c r="J62" s="13">
        <f t="shared" si="27"/>
        <v>0</v>
      </c>
      <c r="K62" s="14">
        <f t="shared" si="28"/>
        <v>0</v>
      </c>
      <c r="L62" s="21"/>
      <c r="M62" s="17">
        <f t="shared" si="3"/>
        <v>0</v>
      </c>
      <c r="N62" s="21">
        <f t="shared" si="4"/>
        <v>0</v>
      </c>
      <c r="O62" s="14">
        <f t="shared" si="5"/>
        <v>0</v>
      </c>
      <c r="P62" s="21" t="e">
        <f t="shared" si="6"/>
        <v>#DIV/0!</v>
      </c>
      <c r="Q62" s="13"/>
      <c r="R62" s="21"/>
      <c r="S62" s="14"/>
      <c r="T62" s="21"/>
    </row>
    <row r="63" spans="1:22" ht="14.4" customHeight="1" x14ac:dyDescent="0.3">
      <c r="D63" s="72">
        <f>A39</f>
        <v>0</v>
      </c>
      <c r="E63" s="10" t="s">
        <v>54</v>
      </c>
      <c r="F63" s="10">
        <f>B39</f>
        <v>0</v>
      </c>
      <c r="G63" s="27"/>
      <c r="H63" s="28"/>
      <c r="I63" s="21"/>
      <c r="J63" s="13">
        <f t="shared" si="27"/>
        <v>0</v>
      </c>
      <c r="K63" s="14">
        <f t="shared" si="28"/>
        <v>0</v>
      </c>
      <c r="L63" s="21"/>
      <c r="M63" s="17">
        <f t="shared" si="3"/>
        <v>0</v>
      </c>
      <c r="N63" s="21">
        <f t="shared" si="4"/>
        <v>0</v>
      </c>
      <c r="O63" s="14">
        <f t="shared" si="5"/>
        <v>0</v>
      </c>
      <c r="P63" s="21" t="e">
        <f t="shared" si="6"/>
        <v>#DIV/0!</v>
      </c>
      <c r="Q63" s="13" t="e">
        <f>AVERAGE(P63:P65)</f>
        <v>#DIV/0!</v>
      </c>
      <c r="R63" s="21" t="e">
        <f>STDEV(P63:P65)</f>
        <v>#DIV/0!</v>
      </c>
      <c r="S63" s="14" t="e">
        <f>R63/Q63*100</f>
        <v>#DIV/0!</v>
      </c>
      <c r="T63" s="21"/>
    </row>
    <row r="64" spans="1:22" ht="14.4" customHeight="1" x14ac:dyDescent="0.3">
      <c r="D64" s="73"/>
      <c r="E64" s="11" t="s">
        <v>55</v>
      </c>
      <c r="F64" s="11">
        <f t="shared" ref="F64" si="31">F63</f>
        <v>0</v>
      </c>
      <c r="G64" s="13"/>
      <c r="H64" s="14"/>
      <c r="I64" s="21"/>
      <c r="J64" s="13">
        <f t="shared" si="27"/>
        <v>0</v>
      </c>
      <c r="K64" s="14">
        <f t="shared" si="28"/>
        <v>0</v>
      </c>
      <c r="L64" s="21"/>
      <c r="M64" s="17">
        <f t="shared" si="3"/>
        <v>0</v>
      </c>
      <c r="N64" s="21">
        <f t="shared" si="4"/>
        <v>0</v>
      </c>
      <c r="O64" s="14">
        <f t="shared" si="5"/>
        <v>0</v>
      </c>
      <c r="P64" s="21" t="e">
        <f t="shared" si="6"/>
        <v>#DIV/0!</v>
      </c>
      <c r="Q64" s="13"/>
      <c r="R64" s="21"/>
      <c r="S64" s="14"/>
      <c r="T64" s="21"/>
    </row>
    <row r="65" spans="4:20" ht="14.4" customHeight="1" x14ac:dyDescent="0.3">
      <c r="D65" s="74"/>
      <c r="E65" s="12" t="s">
        <v>56</v>
      </c>
      <c r="F65" s="12">
        <f t="shared" ref="F65" si="32">F63</f>
        <v>0</v>
      </c>
      <c r="G65" s="15"/>
      <c r="H65" s="16"/>
      <c r="I65" s="21"/>
      <c r="J65" s="13">
        <f t="shared" si="27"/>
        <v>0</v>
      </c>
      <c r="K65" s="14">
        <f t="shared" si="28"/>
        <v>0</v>
      </c>
      <c r="L65" s="21"/>
      <c r="M65" s="17">
        <f t="shared" si="3"/>
        <v>0</v>
      </c>
      <c r="N65" s="21">
        <f t="shared" si="4"/>
        <v>0</v>
      </c>
      <c r="O65" s="14">
        <f t="shared" si="5"/>
        <v>0</v>
      </c>
      <c r="P65" s="21" t="e">
        <f t="shared" si="6"/>
        <v>#DIV/0!</v>
      </c>
      <c r="Q65" s="13"/>
      <c r="R65" s="21"/>
      <c r="S65" s="14"/>
      <c r="T65" s="21"/>
    </row>
    <row r="66" spans="4:20" ht="14.4" customHeight="1" x14ac:dyDescent="0.3">
      <c r="D66" s="72">
        <f>A40</f>
        <v>0</v>
      </c>
      <c r="E66" s="10" t="s">
        <v>57</v>
      </c>
      <c r="F66" s="10">
        <f>B40</f>
        <v>0</v>
      </c>
      <c r="G66" s="27"/>
      <c r="H66" s="28"/>
      <c r="I66" s="21"/>
      <c r="J66" s="13">
        <f t="shared" si="27"/>
        <v>0</v>
      </c>
      <c r="K66" s="14">
        <f t="shared" si="28"/>
        <v>0</v>
      </c>
      <c r="L66" s="21"/>
      <c r="M66" s="17">
        <f t="shared" si="3"/>
        <v>0</v>
      </c>
      <c r="N66" s="21">
        <f t="shared" si="4"/>
        <v>0</v>
      </c>
      <c r="O66" s="14">
        <f t="shared" si="5"/>
        <v>0</v>
      </c>
      <c r="P66" s="21" t="e">
        <f t="shared" si="6"/>
        <v>#DIV/0!</v>
      </c>
      <c r="Q66" s="13" t="e">
        <f>AVERAGE(P66:P68)</f>
        <v>#DIV/0!</v>
      </c>
      <c r="R66" s="21" t="e">
        <f>STDEV(P66:P68)</f>
        <v>#DIV/0!</v>
      </c>
      <c r="S66" s="14" t="e">
        <f>R66/Q66*100</f>
        <v>#DIV/0!</v>
      </c>
      <c r="T66" s="21"/>
    </row>
    <row r="67" spans="4:20" ht="14.4" customHeight="1" x14ac:dyDescent="0.3">
      <c r="D67" s="73"/>
      <c r="E67" s="11" t="s">
        <v>58</v>
      </c>
      <c r="F67" s="11">
        <f t="shared" ref="F67" si="33">F66</f>
        <v>0</v>
      </c>
      <c r="G67" s="13"/>
      <c r="H67" s="14"/>
      <c r="I67" s="21"/>
      <c r="J67" s="13">
        <f t="shared" si="27"/>
        <v>0</v>
      </c>
      <c r="K67" s="14">
        <f t="shared" si="28"/>
        <v>0</v>
      </c>
      <c r="L67" s="21"/>
      <c r="M67" s="17">
        <f t="shared" si="3"/>
        <v>0</v>
      </c>
      <c r="N67" s="21">
        <f t="shared" si="4"/>
        <v>0</v>
      </c>
      <c r="O67" s="14">
        <f t="shared" si="5"/>
        <v>0</v>
      </c>
      <c r="P67" s="21" t="e">
        <f t="shared" si="6"/>
        <v>#DIV/0!</v>
      </c>
      <c r="Q67" s="13"/>
      <c r="R67" s="21"/>
      <c r="S67" s="14"/>
      <c r="T67" s="21"/>
    </row>
    <row r="68" spans="4:20" ht="14.4" customHeight="1" x14ac:dyDescent="0.3">
      <c r="D68" s="74"/>
      <c r="E68" s="12" t="s">
        <v>59</v>
      </c>
      <c r="F68" s="12">
        <f t="shared" ref="F68" si="34">F66</f>
        <v>0</v>
      </c>
      <c r="G68" s="15"/>
      <c r="H68" s="16"/>
      <c r="I68" s="21"/>
      <c r="J68" s="13">
        <f t="shared" si="27"/>
        <v>0</v>
      </c>
      <c r="K68" s="14">
        <f t="shared" si="28"/>
        <v>0</v>
      </c>
      <c r="L68" s="21"/>
      <c r="M68" s="17">
        <f t="shared" si="3"/>
        <v>0</v>
      </c>
      <c r="N68" s="21">
        <f t="shared" si="4"/>
        <v>0</v>
      </c>
      <c r="O68" s="14">
        <f t="shared" si="5"/>
        <v>0</v>
      </c>
      <c r="P68" s="21" t="e">
        <f t="shared" si="6"/>
        <v>#DIV/0!</v>
      </c>
      <c r="Q68" s="13"/>
      <c r="R68" s="21"/>
      <c r="S68" s="14"/>
      <c r="T68" s="21"/>
    </row>
    <row r="69" spans="4:20" ht="14.4" customHeight="1" x14ac:dyDescent="0.3">
      <c r="D69" s="72">
        <f>A41</f>
        <v>0</v>
      </c>
      <c r="E69" s="10" t="s">
        <v>60</v>
      </c>
      <c r="F69" s="10">
        <f>B41</f>
        <v>0</v>
      </c>
      <c r="G69" s="27"/>
      <c r="H69" s="28"/>
      <c r="I69" s="21"/>
      <c r="J69" s="13">
        <f t="shared" si="27"/>
        <v>0</v>
      </c>
      <c r="K69" s="14">
        <f t="shared" si="28"/>
        <v>0</v>
      </c>
      <c r="L69" s="21"/>
      <c r="M69" s="17">
        <f t="shared" si="3"/>
        <v>0</v>
      </c>
      <c r="N69" s="21">
        <f t="shared" si="4"/>
        <v>0</v>
      </c>
      <c r="O69" s="14">
        <f t="shared" si="5"/>
        <v>0</v>
      </c>
      <c r="P69" s="21" t="e">
        <f t="shared" si="6"/>
        <v>#DIV/0!</v>
      </c>
      <c r="Q69" s="13" t="e">
        <f>AVERAGE(P69:P71)</f>
        <v>#DIV/0!</v>
      </c>
      <c r="R69" s="21" t="e">
        <f>STDEV(P69:P71)</f>
        <v>#DIV/0!</v>
      </c>
      <c r="S69" s="14" t="e">
        <f>R69/Q69*100</f>
        <v>#DIV/0!</v>
      </c>
      <c r="T69" s="21"/>
    </row>
    <row r="70" spans="4:20" ht="14.4" customHeight="1" x14ac:dyDescent="0.3">
      <c r="D70" s="73"/>
      <c r="E70" s="11" t="s">
        <v>61</v>
      </c>
      <c r="F70" s="11">
        <f t="shared" ref="F70" si="35">F69</f>
        <v>0</v>
      </c>
      <c r="G70" s="13"/>
      <c r="H70" s="14"/>
      <c r="I70" s="21"/>
      <c r="J70" s="13">
        <f t="shared" si="27"/>
        <v>0</v>
      </c>
      <c r="K70" s="14">
        <f t="shared" si="28"/>
        <v>0</v>
      </c>
      <c r="L70" s="21"/>
      <c r="M70" s="17">
        <f t="shared" si="3"/>
        <v>0</v>
      </c>
      <c r="N70" s="21">
        <f t="shared" si="4"/>
        <v>0</v>
      </c>
      <c r="O70" s="14">
        <f t="shared" si="5"/>
        <v>0</v>
      </c>
      <c r="P70" s="21" t="e">
        <f t="shared" si="6"/>
        <v>#DIV/0!</v>
      </c>
      <c r="Q70" s="13"/>
      <c r="R70" s="21"/>
      <c r="S70" s="14"/>
      <c r="T70" s="21"/>
    </row>
    <row r="71" spans="4:20" ht="14.4" customHeight="1" x14ac:dyDescent="0.3">
      <c r="D71" s="74"/>
      <c r="E71" s="12" t="s">
        <v>62</v>
      </c>
      <c r="F71" s="12">
        <f t="shared" ref="F71" si="36">F69</f>
        <v>0</v>
      </c>
      <c r="G71" s="15"/>
      <c r="H71" s="16"/>
      <c r="I71" s="21"/>
      <c r="J71" s="13">
        <f t="shared" si="27"/>
        <v>0</v>
      </c>
      <c r="K71" s="14">
        <f t="shared" si="28"/>
        <v>0</v>
      </c>
      <c r="L71" s="21"/>
      <c r="M71" s="17">
        <f t="shared" si="3"/>
        <v>0</v>
      </c>
      <c r="N71" s="21">
        <f t="shared" si="4"/>
        <v>0</v>
      </c>
      <c r="O71" s="14">
        <f t="shared" si="5"/>
        <v>0</v>
      </c>
      <c r="P71" s="21" t="e">
        <f t="shared" si="6"/>
        <v>#DIV/0!</v>
      </c>
      <c r="Q71" s="13"/>
      <c r="R71" s="21"/>
      <c r="S71" s="14"/>
      <c r="T71" s="21"/>
    </row>
    <row r="72" spans="4:20" ht="14.4" customHeight="1" x14ac:dyDescent="0.3">
      <c r="D72" s="72">
        <f>A42</f>
        <v>0</v>
      </c>
      <c r="E72" s="10" t="s">
        <v>63</v>
      </c>
      <c r="F72" s="10">
        <f>B42</f>
        <v>0</v>
      </c>
      <c r="G72" s="27"/>
      <c r="H72" s="28"/>
      <c r="I72" s="21"/>
      <c r="J72" s="13">
        <f t="shared" si="27"/>
        <v>0</v>
      </c>
      <c r="K72" s="14">
        <f t="shared" si="28"/>
        <v>0</v>
      </c>
      <c r="L72" s="21"/>
      <c r="M72" s="17">
        <f t="shared" si="3"/>
        <v>0</v>
      </c>
      <c r="N72" s="21">
        <f t="shared" si="4"/>
        <v>0</v>
      </c>
      <c r="O72" s="14">
        <f t="shared" si="5"/>
        <v>0</v>
      </c>
      <c r="P72" s="21" t="e">
        <f t="shared" si="6"/>
        <v>#DIV/0!</v>
      </c>
      <c r="Q72" s="13" t="e">
        <f>AVERAGE(P72:P74)</f>
        <v>#DIV/0!</v>
      </c>
      <c r="R72" s="21" t="e">
        <f>STDEV(P72:P74)</f>
        <v>#DIV/0!</v>
      </c>
      <c r="S72" s="14" t="e">
        <f>R72/Q72*100</f>
        <v>#DIV/0!</v>
      </c>
      <c r="T72" s="21"/>
    </row>
    <row r="73" spans="4:20" ht="14.4" customHeight="1" x14ac:dyDescent="0.3">
      <c r="D73" s="73"/>
      <c r="E73" s="11" t="s">
        <v>64</v>
      </c>
      <c r="F73" s="11">
        <f t="shared" ref="F73" si="37">F72</f>
        <v>0</v>
      </c>
      <c r="G73" s="13"/>
      <c r="H73" s="14"/>
      <c r="I73" s="21"/>
      <c r="J73" s="13">
        <f t="shared" si="27"/>
        <v>0</v>
      </c>
      <c r="K73" s="14">
        <f t="shared" si="28"/>
        <v>0</v>
      </c>
      <c r="L73" s="21"/>
      <c r="M73" s="17">
        <f t="shared" si="3"/>
        <v>0</v>
      </c>
      <c r="N73" s="21">
        <f t="shared" si="4"/>
        <v>0</v>
      </c>
      <c r="O73" s="14">
        <f t="shared" si="5"/>
        <v>0</v>
      </c>
      <c r="P73" s="21" t="e">
        <f t="shared" si="6"/>
        <v>#DIV/0!</v>
      </c>
      <c r="Q73" s="13"/>
      <c r="R73" s="21"/>
      <c r="S73" s="14"/>
      <c r="T73" s="21"/>
    </row>
    <row r="74" spans="4:20" ht="14.4" customHeight="1" x14ac:dyDescent="0.3">
      <c r="D74" s="74"/>
      <c r="E74" s="12" t="s">
        <v>65</v>
      </c>
      <c r="F74" s="12">
        <f t="shared" ref="F74" si="38">F72</f>
        <v>0</v>
      </c>
      <c r="G74" s="15"/>
      <c r="H74" s="16"/>
      <c r="I74" s="21"/>
      <c r="J74" s="13">
        <f t="shared" si="27"/>
        <v>0</v>
      </c>
      <c r="K74" s="14">
        <f t="shared" si="28"/>
        <v>0</v>
      </c>
      <c r="L74" s="21"/>
      <c r="M74" s="17">
        <f t="shared" si="3"/>
        <v>0</v>
      </c>
      <c r="N74" s="21">
        <f t="shared" si="4"/>
        <v>0</v>
      </c>
      <c r="O74" s="14">
        <f t="shared" si="5"/>
        <v>0</v>
      </c>
      <c r="P74" s="21" t="e">
        <f t="shared" si="6"/>
        <v>#DIV/0!</v>
      </c>
      <c r="Q74" s="13"/>
      <c r="R74" s="21"/>
      <c r="S74" s="14"/>
      <c r="T74" s="21"/>
    </row>
    <row r="75" spans="4:20" ht="14.4" customHeight="1" x14ac:dyDescent="0.3">
      <c r="D75" s="72">
        <f>A43</f>
        <v>0</v>
      </c>
      <c r="E75" s="10" t="s">
        <v>66</v>
      </c>
      <c r="F75" s="10">
        <f>B43</f>
        <v>0</v>
      </c>
      <c r="G75" s="27"/>
      <c r="H75" s="28"/>
      <c r="I75" s="21"/>
      <c r="J75" s="13">
        <f t="shared" si="27"/>
        <v>0</v>
      </c>
      <c r="K75" s="14">
        <f t="shared" si="28"/>
        <v>0</v>
      </c>
      <c r="L75" s="21"/>
      <c r="M75" s="17">
        <f t="shared" si="3"/>
        <v>0</v>
      </c>
      <c r="N75" s="21">
        <f t="shared" si="4"/>
        <v>0</v>
      </c>
      <c r="O75" s="14">
        <f t="shared" si="5"/>
        <v>0</v>
      </c>
      <c r="P75" s="21" t="e">
        <f t="shared" si="6"/>
        <v>#DIV/0!</v>
      </c>
      <c r="Q75" s="13" t="e">
        <f>AVERAGE(P75:P77)</f>
        <v>#DIV/0!</v>
      </c>
      <c r="R75" s="21" t="e">
        <f>STDEV(P75:P77)</f>
        <v>#DIV/0!</v>
      </c>
      <c r="S75" s="14" t="e">
        <f>R75/Q75*100</f>
        <v>#DIV/0!</v>
      </c>
      <c r="T75" s="21"/>
    </row>
    <row r="76" spans="4:20" ht="14.4" customHeight="1" x14ac:dyDescent="0.3">
      <c r="D76" s="73"/>
      <c r="E76" s="11" t="s">
        <v>67</v>
      </c>
      <c r="F76" s="11">
        <f t="shared" ref="F76" si="39">F75</f>
        <v>0</v>
      </c>
      <c r="G76" s="13"/>
      <c r="H76" s="14"/>
      <c r="I76" s="21"/>
      <c r="J76" s="13">
        <f t="shared" si="27"/>
        <v>0</v>
      </c>
      <c r="K76" s="14">
        <f t="shared" si="28"/>
        <v>0</v>
      </c>
      <c r="L76" s="21"/>
      <c r="M76" s="17">
        <f t="shared" si="3"/>
        <v>0</v>
      </c>
      <c r="N76" s="21">
        <f t="shared" si="4"/>
        <v>0</v>
      </c>
      <c r="O76" s="14">
        <f t="shared" si="5"/>
        <v>0</v>
      </c>
      <c r="P76" s="21" t="e">
        <f t="shared" si="6"/>
        <v>#DIV/0!</v>
      </c>
      <c r="Q76" s="13"/>
      <c r="R76" s="21"/>
      <c r="S76" s="14"/>
      <c r="T76" s="21"/>
    </row>
    <row r="77" spans="4:20" ht="14.4" customHeight="1" x14ac:dyDescent="0.3">
      <c r="D77" s="74"/>
      <c r="E77" s="12" t="s">
        <v>68</v>
      </c>
      <c r="F77" s="12">
        <f t="shared" ref="F77" si="40">F75</f>
        <v>0</v>
      </c>
      <c r="G77" s="15"/>
      <c r="H77" s="16"/>
      <c r="I77" s="21"/>
      <c r="J77" s="13">
        <f t="shared" si="27"/>
        <v>0</v>
      </c>
      <c r="K77" s="14">
        <f t="shared" si="28"/>
        <v>0</v>
      </c>
      <c r="L77" s="21"/>
      <c r="M77" s="17">
        <f t="shared" si="3"/>
        <v>0</v>
      </c>
      <c r="N77" s="21">
        <f t="shared" si="4"/>
        <v>0</v>
      </c>
      <c r="O77" s="14">
        <f t="shared" si="5"/>
        <v>0</v>
      </c>
      <c r="P77" s="21" t="e">
        <f t="shared" si="6"/>
        <v>#DIV/0!</v>
      </c>
      <c r="Q77" s="13"/>
      <c r="R77" s="21"/>
      <c r="S77" s="14"/>
      <c r="T77" s="21"/>
    </row>
    <row r="78" spans="4:20" ht="14.4" customHeight="1" x14ac:dyDescent="0.3">
      <c r="D78" s="72">
        <f>A44</f>
        <v>0</v>
      </c>
      <c r="E78" s="10" t="s">
        <v>69</v>
      </c>
      <c r="F78" s="10">
        <f>B44</f>
        <v>0</v>
      </c>
      <c r="G78" s="27"/>
      <c r="H78" s="28"/>
      <c r="I78" s="21"/>
      <c r="J78" s="13">
        <f t="shared" si="27"/>
        <v>0</v>
      </c>
      <c r="K78" s="14">
        <f t="shared" si="28"/>
        <v>0</v>
      </c>
      <c r="L78" s="21"/>
      <c r="M78" s="17">
        <f t="shared" si="3"/>
        <v>0</v>
      </c>
      <c r="N78" s="21">
        <f t="shared" si="4"/>
        <v>0</v>
      </c>
      <c r="O78" s="14">
        <f t="shared" si="5"/>
        <v>0</v>
      </c>
      <c r="P78" s="21" t="e">
        <f t="shared" si="6"/>
        <v>#DIV/0!</v>
      </c>
      <c r="Q78" s="13" t="e">
        <f>AVERAGE(P78:P80)</f>
        <v>#DIV/0!</v>
      </c>
      <c r="R78" s="21" t="e">
        <f>STDEV(P78:P80)</f>
        <v>#DIV/0!</v>
      </c>
      <c r="S78" s="14" t="e">
        <f>R78/Q78*100</f>
        <v>#DIV/0!</v>
      </c>
      <c r="T78" s="21"/>
    </row>
    <row r="79" spans="4:20" ht="14.4" customHeight="1" x14ac:dyDescent="0.3">
      <c r="D79" s="73"/>
      <c r="E79" s="11" t="s">
        <v>70</v>
      </c>
      <c r="F79" s="11">
        <f t="shared" ref="F79" si="41">F78</f>
        <v>0</v>
      </c>
      <c r="G79" s="13"/>
      <c r="H79" s="14"/>
      <c r="I79" s="21"/>
      <c r="J79" s="13">
        <f t="shared" si="27"/>
        <v>0</v>
      </c>
      <c r="K79" s="14">
        <f t="shared" si="28"/>
        <v>0</v>
      </c>
      <c r="L79" s="21"/>
      <c r="M79" s="17">
        <f t="shared" si="3"/>
        <v>0</v>
      </c>
      <c r="N79" s="21">
        <f t="shared" si="4"/>
        <v>0</v>
      </c>
      <c r="O79" s="14">
        <f t="shared" si="5"/>
        <v>0</v>
      </c>
      <c r="P79" s="21" t="e">
        <f t="shared" si="6"/>
        <v>#DIV/0!</v>
      </c>
      <c r="Q79" s="13"/>
      <c r="R79" s="21"/>
      <c r="S79" s="14"/>
      <c r="T79" s="21"/>
    </row>
    <row r="80" spans="4:20" ht="14.4" customHeight="1" x14ac:dyDescent="0.3">
      <c r="D80" s="74"/>
      <c r="E80" s="12" t="s">
        <v>71</v>
      </c>
      <c r="F80" s="12">
        <f t="shared" ref="F80" si="42">F78</f>
        <v>0</v>
      </c>
      <c r="G80" s="15"/>
      <c r="H80" s="16"/>
      <c r="I80" s="21"/>
      <c r="J80" s="13">
        <f t="shared" si="27"/>
        <v>0</v>
      </c>
      <c r="K80" s="14">
        <f t="shared" si="28"/>
        <v>0</v>
      </c>
      <c r="L80" s="21"/>
      <c r="M80" s="17">
        <f t="shared" si="3"/>
        <v>0</v>
      </c>
      <c r="N80" s="21">
        <f t="shared" si="4"/>
        <v>0</v>
      </c>
      <c r="O80" s="14">
        <f t="shared" si="5"/>
        <v>0</v>
      </c>
      <c r="P80" s="21" t="e">
        <f t="shared" si="6"/>
        <v>#DIV/0!</v>
      </c>
      <c r="Q80" s="13"/>
      <c r="R80" s="21"/>
      <c r="S80" s="14"/>
      <c r="T80" s="21"/>
    </row>
    <row r="81" spans="4:20" ht="14.4" customHeight="1" x14ac:dyDescent="0.3">
      <c r="D81" s="72">
        <f>A45</f>
        <v>0</v>
      </c>
      <c r="E81" s="10" t="s">
        <v>72</v>
      </c>
      <c r="F81" s="10">
        <f>B45</f>
        <v>0</v>
      </c>
      <c r="G81" s="27"/>
      <c r="H81" s="28"/>
      <c r="I81" s="21"/>
      <c r="J81" s="13">
        <f t="shared" si="27"/>
        <v>0</v>
      </c>
      <c r="K81" s="14">
        <f t="shared" si="28"/>
        <v>0</v>
      </c>
      <c r="L81" s="21"/>
      <c r="M81" s="17">
        <f t="shared" si="3"/>
        <v>0</v>
      </c>
      <c r="N81" s="21">
        <f t="shared" si="4"/>
        <v>0</v>
      </c>
      <c r="O81" s="14">
        <f t="shared" si="5"/>
        <v>0</v>
      </c>
      <c r="P81" s="21" t="e">
        <f t="shared" si="6"/>
        <v>#DIV/0!</v>
      </c>
      <c r="Q81" s="13" t="e">
        <f>AVERAGE(P81:P83)</f>
        <v>#DIV/0!</v>
      </c>
      <c r="R81" s="21" t="e">
        <f>STDEV(P81:P83)</f>
        <v>#DIV/0!</v>
      </c>
      <c r="S81" s="14" t="e">
        <f>R81/Q81*100</f>
        <v>#DIV/0!</v>
      </c>
      <c r="T81" s="21"/>
    </row>
    <row r="82" spans="4:20" ht="14.4" customHeight="1" x14ac:dyDescent="0.3">
      <c r="D82" s="73"/>
      <c r="E82" s="11" t="s">
        <v>73</v>
      </c>
      <c r="F82" s="11">
        <f t="shared" ref="F82" si="43">F81</f>
        <v>0</v>
      </c>
      <c r="G82" s="13"/>
      <c r="H82" s="14"/>
      <c r="I82" s="21"/>
      <c r="J82" s="13">
        <f t="shared" si="27"/>
        <v>0</v>
      </c>
      <c r="K82" s="14">
        <f t="shared" si="28"/>
        <v>0</v>
      </c>
      <c r="L82" s="21"/>
      <c r="M82" s="17">
        <f t="shared" si="3"/>
        <v>0</v>
      </c>
      <c r="N82" s="21">
        <f t="shared" si="4"/>
        <v>0</v>
      </c>
      <c r="O82" s="14">
        <f t="shared" si="5"/>
        <v>0</v>
      </c>
      <c r="P82" s="21" t="e">
        <f t="shared" si="6"/>
        <v>#DIV/0!</v>
      </c>
      <c r="Q82" s="13"/>
      <c r="R82" s="21"/>
      <c r="S82" s="14"/>
      <c r="T82" s="21"/>
    </row>
    <row r="83" spans="4:20" ht="14.4" customHeight="1" x14ac:dyDescent="0.3">
      <c r="D83" s="74"/>
      <c r="E83" s="12" t="s">
        <v>74</v>
      </c>
      <c r="F83" s="12">
        <f t="shared" ref="F83" si="44">F81</f>
        <v>0</v>
      </c>
      <c r="G83" s="15"/>
      <c r="H83" s="16"/>
      <c r="I83" s="21"/>
      <c r="J83" s="13">
        <f t="shared" si="27"/>
        <v>0</v>
      </c>
      <c r="K83" s="14">
        <f t="shared" si="28"/>
        <v>0</v>
      </c>
      <c r="L83" s="21"/>
      <c r="M83" s="17">
        <f t="shared" si="3"/>
        <v>0</v>
      </c>
      <c r="N83" s="21">
        <f t="shared" si="4"/>
        <v>0</v>
      </c>
      <c r="O83" s="14">
        <f t="shared" si="5"/>
        <v>0</v>
      </c>
      <c r="P83" s="21" t="e">
        <f t="shared" si="6"/>
        <v>#DIV/0!</v>
      </c>
      <c r="Q83" s="13"/>
      <c r="R83" s="21"/>
      <c r="S83" s="14"/>
      <c r="T83" s="21"/>
    </row>
    <row r="84" spans="4:20" ht="14.4" customHeight="1" x14ac:dyDescent="0.3">
      <c r="D84" s="72">
        <f>A46</f>
        <v>0</v>
      </c>
      <c r="E84" s="10" t="s">
        <v>75</v>
      </c>
      <c r="F84" s="10">
        <f>B46</f>
        <v>0</v>
      </c>
      <c r="G84" s="27"/>
      <c r="H84" s="28"/>
      <c r="I84" s="21"/>
      <c r="J84" s="13">
        <f t="shared" si="27"/>
        <v>0</v>
      </c>
      <c r="K84" s="14">
        <f t="shared" si="28"/>
        <v>0</v>
      </c>
      <c r="L84" s="21"/>
      <c r="M84" s="17">
        <f t="shared" si="3"/>
        <v>0</v>
      </c>
      <c r="N84" s="21">
        <f t="shared" si="4"/>
        <v>0</v>
      </c>
      <c r="O84" s="14">
        <f t="shared" si="5"/>
        <v>0</v>
      </c>
      <c r="P84" s="21" t="e">
        <f t="shared" si="6"/>
        <v>#DIV/0!</v>
      </c>
      <c r="Q84" s="13" t="e">
        <f>AVERAGE(P84:P86)</f>
        <v>#DIV/0!</v>
      </c>
      <c r="R84" s="21" t="e">
        <f>STDEV(P84:P86)</f>
        <v>#DIV/0!</v>
      </c>
      <c r="S84" s="14" t="e">
        <f>R84/Q84*100</f>
        <v>#DIV/0!</v>
      </c>
      <c r="T84" s="21"/>
    </row>
    <row r="85" spans="4:20" ht="14.4" customHeight="1" x14ac:dyDescent="0.3">
      <c r="D85" s="73"/>
      <c r="E85" s="11" t="s">
        <v>76</v>
      </c>
      <c r="F85" s="11">
        <f t="shared" ref="F85" si="45">F84</f>
        <v>0</v>
      </c>
      <c r="G85" s="13"/>
      <c r="H85" s="14"/>
      <c r="I85" s="21"/>
      <c r="J85" s="13">
        <f t="shared" si="27"/>
        <v>0</v>
      </c>
      <c r="K85" s="14">
        <f t="shared" si="28"/>
        <v>0</v>
      </c>
      <c r="L85" s="21"/>
      <c r="M85" s="17">
        <f t="shared" si="3"/>
        <v>0</v>
      </c>
      <c r="N85" s="21">
        <f t="shared" si="4"/>
        <v>0</v>
      </c>
      <c r="O85" s="14">
        <f t="shared" si="5"/>
        <v>0</v>
      </c>
      <c r="P85" s="21" t="e">
        <f t="shared" si="6"/>
        <v>#DIV/0!</v>
      </c>
      <c r="Q85" s="13"/>
      <c r="R85" s="21"/>
      <c r="S85" s="14"/>
      <c r="T85" s="21"/>
    </row>
    <row r="86" spans="4:20" ht="14.4" customHeight="1" x14ac:dyDescent="0.3">
      <c r="D86" s="74"/>
      <c r="E86" s="12" t="s">
        <v>77</v>
      </c>
      <c r="F86" s="12">
        <f t="shared" ref="F86" si="46">F84</f>
        <v>0</v>
      </c>
      <c r="G86" s="15"/>
      <c r="H86" s="16"/>
      <c r="I86" s="21"/>
      <c r="J86" s="13">
        <f t="shared" si="27"/>
        <v>0</v>
      </c>
      <c r="K86" s="14">
        <f t="shared" si="28"/>
        <v>0</v>
      </c>
      <c r="L86" s="21"/>
      <c r="M86" s="17">
        <f t="shared" si="3"/>
        <v>0</v>
      </c>
      <c r="N86" s="21">
        <f t="shared" si="4"/>
        <v>0</v>
      </c>
      <c r="O86" s="14">
        <f t="shared" si="5"/>
        <v>0</v>
      </c>
      <c r="P86" s="21" t="e">
        <f t="shared" si="6"/>
        <v>#DIV/0!</v>
      </c>
      <c r="Q86" s="13"/>
      <c r="R86" s="21"/>
      <c r="S86" s="14"/>
      <c r="T86" s="21"/>
    </row>
    <row r="87" spans="4:20" ht="14.4" customHeight="1" x14ac:dyDescent="0.3">
      <c r="D87" s="72">
        <f>A47</f>
        <v>0</v>
      </c>
      <c r="E87" s="10" t="s">
        <v>78</v>
      </c>
      <c r="F87" s="10">
        <f>B47</f>
        <v>0</v>
      </c>
      <c r="G87" s="27"/>
      <c r="H87" s="28"/>
      <c r="I87" s="21"/>
      <c r="J87" s="13">
        <f t="shared" si="27"/>
        <v>0</v>
      </c>
      <c r="K87" s="14">
        <f t="shared" si="28"/>
        <v>0</v>
      </c>
      <c r="L87" s="21"/>
      <c r="M87" s="17">
        <f t="shared" si="3"/>
        <v>0</v>
      </c>
      <c r="N87" s="21">
        <f t="shared" si="4"/>
        <v>0</v>
      </c>
      <c r="O87" s="14">
        <f t="shared" si="5"/>
        <v>0</v>
      </c>
      <c r="P87" s="21" t="e">
        <f t="shared" si="6"/>
        <v>#DIV/0!</v>
      </c>
      <c r="Q87" s="13" t="e">
        <f>AVERAGE(P87:P89)</f>
        <v>#DIV/0!</v>
      </c>
      <c r="R87" s="21" t="e">
        <f>STDEV(P87:P89)</f>
        <v>#DIV/0!</v>
      </c>
      <c r="S87" s="14" t="e">
        <f>R87/Q87*100</f>
        <v>#DIV/0!</v>
      </c>
      <c r="T87" s="21"/>
    </row>
    <row r="88" spans="4:20" ht="14.4" customHeight="1" x14ac:dyDescent="0.3">
      <c r="D88" s="73"/>
      <c r="E88" s="11" t="s">
        <v>79</v>
      </c>
      <c r="F88" s="11">
        <f t="shared" ref="F88:F97" si="47">F87</f>
        <v>0</v>
      </c>
      <c r="G88" s="13"/>
      <c r="H88" s="14"/>
      <c r="I88" s="21"/>
      <c r="J88" s="13">
        <f t="shared" si="27"/>
        <v>0</v>
      </c>
      <c r="K88" s="14">
        <f t="shared" si="28"/>
        <v>0</v>
      </c>
      <c r="L88" s="21"/>
      <c r="M88" s="17">
        <f t="shared" si="3"/>
        <v>0</v>
      </c>
      <c r="N88" s="21">
        <f t="shared" si="4"/>
        <v>0</v>
      </c>
      <c r="O88" s="14">
        <f t="shared" si="5"/>
        <v>0</v>
      </c>
      <c r="P88" s="21" t="e">
        <f t="shared" si="6"/>
        <v>#DIV/0!</v>
      </c>
      <c r="Q88" s="13"/>
      <c r="R88" s="21"/>
      <c r="S88" s="14"/>
      <c r="T88" s="21"/>
    </row>
    <row r="89" spans="4:20" ht="14.4" customHeight="1" x14ac:dyDescent="0.3">
      <c r="D89" s="74"/>
      <c r="E89" s="12" t="s">
        <v>80</v>
      </c>
      <c r="F89" s="12">
        <f t="shared" ref="F89:F98" si="48">F87</f>
        <v>0</v>
      </c>
      <c r="G89" s="15"/>
      <c r="H89" s="16"/>
      <c r="I89" s="21"/>
      <c r="J89" s="13">
        <f t="shared" si="27"/>
        <v>0</v>
      </c>
      <c r="K89" s="14">
        <f t="shared" si="28"/>
        <v>0</v>
      </c>
      <c r="L89" s="21"/>
      <c r="M89" s="17">
        <f t="shared" si="3"/>
        <v>0</v>
      </c>
      <c r="N89" s="21">
        <f t="shared" si="4"/>
        <v>0</v>
      </c>
      <c r="O89" s="14">
        <f t="shared" si="5"/>
        <v>0</v>
      </c>
      <c r="P89" s="21" t="e">
        <f t="shared" si="6"/>
        <v>#DIV/0!</v>
      </c>
      <c r="Q89" s="13"/>
      <c r="R89" s="21"/>
      <c r="S89" s="14"/>
      <c r="T89" s="21"/>
    </row>
    <row r="90" spans="4:20" ht="14.4" customHeight="1" x14ac:dyDescent="0.3">
      <c r="D90" s="72">
        <f>A48</f>
        <v>0</v>
      </c>
      <c r="E90" s="10" t="s">
        <v>81</v>
      </c>
      <c r="F90" s="10">
        <f>B48</f>
        <v>0</v>
      </c>
      <c r="G90" s="27"/>
      <c r="H90" s="28"/>
      <c r="I90" s="21"/>
      <c r="J90" s="13">
        <f t="shared" si="27"/>
        <v>0</v>
      </c>
      <c r="K90" s="14">
        <f t="shared" si="28"/>
        <v>0</v>
      </c>
      <c r="L90" s="21"/>
      <c r="M90" s="17">
        <f t="shared" si="3"/>
        <v>0</v>
      </c>
      <c r="N90" s="21">
        <f t="shared" si="4"/>
        <v>0</v>
      </c>
      <c r="O90" s="14">
        <f t="shared" si="5"/>
        <v>0</v>
      </c>
      <c r="P90" s="21" t="e">
        <f t="shared" si="6"/>
        <v>#DIV/0!</v>
      </c>
      <c r="Q90" s="13" t="e">
        <f>AVERAGE(P90:P92)</f>
        <v>#DIV/0!</v>
      </c>
      <c r="R90" s="21" t="e">
        <f>STDEV(P90:P92)</f>
        <v>#DIV/0!</v>
      </c>
      <c r="S90" s="14" t="e">
        <f>R90/Q90*100</f>
        <v>#DIV/0!</v>
      </c>
      <c r="T90" s="21"/>
    </row>
    <row r="91" spans="4:20" ht="14.4" customHeight="1" x14ac:dyDescent="0.3">
      <c r="D91" s="73"/>
      <c r="E91" s="11" t="s">
        <v>82</v>
      </c>
      <c r="F91" s="11">
        <f t="shared" si="47"/>
        <v>0</v>
      </c>
      <c r="G91" s="13"/>
      <c r="H91" s="14"/>
      <c r="I91" s="21"/>
      <c r="J91" s="13">
        <f t="shared" ref="J91:J98" si="49">G91-$J$14</f>
        <v>0</v>
      </c>
      <c r="K91" s="14">
        <f t="shared" ref="K91:K98" si="50">H91-$K$14</f>
        <v>0</v>
      </c>
      <c r="L91" s="21"/>
      <c r="M91" s="17">
        <f t="shared" si="3"/>
        <v>0</v>
      </c>
      <c r="N91" s="21">
        <f t="shared" si="4"/>
        <v>0</v>
      </c>
      <c r="O91" s="14">
        <f t="shared" si="5"/>
        <v>0</v>
      </c>
      <c r="P91" s="21" t="e">
        <f t="shared" si="6"/>
        <v>#DIV/0!</v>
      </c>
      <c r="Q91" s="13"/>
      <c r="R91" s="21"/>
      <c r="S91" s="14"/>
      <c r="T91" s="21"/>
    </row>
    <row r="92" spans="4:20" ht="14.4" customHeight="1" x14ac:dyDescent="0.3">
      <c r="D92" s="74"/>
      <c r="E92" s="12" t="s">
        <v>83</v>
      </c>
      <c r="F92" s="12">
        <f t="shared" si="48"/>
        <v>0</v>
      </c>
      <c r="G92" s="15"/>
      <c r="H92" s="16"/>
      <c r="I92" s="21"/>
      <c r="J92" s="13">
        <f t="shared" si="49"/>
        <v>0</v>
      </c>
      <c r="K92" s="14">
        <f t="shared" si="50"/>
        <v>0</v>
      </c>
      <c r="L92" s="21"/>
      <c r="M92" s="17">
        <f t="shared" ref="M92:M98" si="51">J92-(0.25*K92)</f>
        <v>0</v>
      </c>
      <c r="N92" s="21">
        <f t="shared" ref="N92:N98" si="52">M92*75.918</f>
        <v>0</v>
      </c>
      <c r="O92" s="14">
        <f t="shared" ref="O92:O98" si="53">N92*2</f>
        <v>0</v>
      </c>
      <c r="P92" s="21" t="e">
        <f t="shared" ref="P92:P98" si="54">O92/F92</f>
        <v>#DIV/0!</v>
      </c>
      <c r="Q92" s="13"/>
      <c r="R92" s="21"/>
      <c r="S92" s="14"/>
      <c r="T92" s="21"/>
    </row>
    <row r="93" spans="4:20" ht="14.4" customHeight="1" x14ac:dyDescent="0.3">
      <c r="D93" s="72">
        <f>A49</f>
        <v>0</v>
      </c>
      <c r="E93" s="10" t="s">
        <v>84</v>
      </c>
      <c r="F93" s="10">
        <f>B49</f>
        <v>0</v>
      </c>
      <c r="G93" s="27"/>
      <c r="H93" s="28"/>
      <c r="I93" s="21"/>
      <c r="J93" s="13">
        <f t="shared" si="49"/>
        <v>0</v>
      </c>
      <c r="K93" s="14">
        <f t="shared" si="50"/>
        <v>0</v>
      </c>
      <c r="L93" s="21"/>
      <c r="M93" s="17">
        <f t="shared" si="51"/>
        <v>0</v>
      </c>
      <c r="N93" s="21">
        <f t="shared" si="52"/>
        <v>0</v>
      </c>
      <c r="O93" s="14">
        <f t="shared" si="53"/>
        <v>0</v>
      </c>
      <c r="P93" s="21" t="e">
        <f t="shared" si="54"/>
        <v>#DIV/0!</v>
      </c>
      <c r="Q93" s="13" t="e">
        <f>AVERAGE(P93:P95)</f>
        <v>#DIV/0!</v>
      </c>
      <c r="R93" s="21" t="e">
        <f>STDEV(P93:P95)</f>
        <v>#DIV/0!</v>
      </c>
      <c r="S93" s="14" t="e">
        <f>R93/Q93*100</f>
        <v>#DIV/0!</v>
      </c>
      <c r="T93" s="21"/>
    </row>
    <row r="94" spans="4:20" ht="14.4" customHeight="1" x14ac:dyDescent="0.3">
      <c r="D94" s="73"/>
      <c r="E94" s="11" t="s">
        <v>85</v>
      </c>
      <c r="F94" s="11">
        <f t="shared" si="47"/>
        <v>0</v>
      </c>
      <c r="G94" s="13"/>
      <c r="H94" s="14"/>
      <c r="I94" s="21"/>
      <c r="J94" s="13">
        <f t="shared" si="49"/>
        <v>0</v>
      </c>
      <c r="K94" s="14">
        <f t="shared" si="50"/>
        <v>0</v>
      </c>
      <c r="L94" s="21"/>
      <c r="M94" s="17">
        <f t="shared" si="51"/>
        <v>0</v>
      </c>
      <c r="N94" s="21">
        <f t="shared" si="52"/>
        <v>0</v>
      </c>
      <c r="O94" s="14">
        <f t="shared" si="53"/>
        <v>0</v>
      </c>
      <c r="P94" s="21" t="e">
        <f t="shared" si="54"/>
        <v>#DIV/0!</v>
      </c>
      <c r="Q94" s="13"/>
      <c r="R94" s="21"/>
      <c r="S94" s="14"/>
      <c r="T94" s="21"/>
    </row>
    <row r="95" spans="4:20" ht="14.4" customHeight="1" x14ac:dyDescent="0.3">
      <c r="D95" s="74"/>
      <c r="E95" s="12" t="s">
        <v>86</v>
      </c>
      <c r="F95" s="12">
        <f t="shared" si="48"/>
        <v>0</v>
      </c>
      <c r="G95" s="15"/>
      <c r="H95" s="16"/>
      <c r="I95" s="21"/>
      <c r="J95" s="13">
        <f t="shared" si="49"/>
        <v>0</v>
      </c>
      <c r="K95" s="14">
        <f t="shared" si="50"/>
        <v>0</v>
      </c>
      <c r="L95" s="21"/>
      <c r="M95" s="17">
        <f t="shared" si="51"/>
        <v>0</v>
      </c>
      <c r="N95" s="21">
        <f t="shared" si="52"/>
        <v>0</v>
      </c>
      <c r="O95" s="14">
        <f t="shared" si="53"/>
        <v>0</v>
      </c>
      <c r="P95" s="21" t="e">
        <f t="shared" si="54"/>
        <v>#DIV/0!</v>
      </c>
      <c r="Q95" s="13"/>
      <c r="R95" s="21"/>
      <c r="S95" s="14"/>
      <c r="T95" s="21"/>
    </row>
    <row r="96" spans="4:20" ht="14.4" customHeight="1" x14ac:dyDescent="0.3">
      <c r="D96" s="72">
        <f>A50</f>
        <v>0</v>
      </c>
      <c r="E96" s="10" t="s">
        <v>87</v>
      </c>
      <c r="F96" s="10">
        <f>B50</f>
        <v>0</v>
      </c>
      <c r="G96" s="27"/>
      <c r="H96" s="28"/>
      <c r="I96" s="21"/>
      <c r="J96" s="13">
        <f t="shared" si="49"/>
        <v>0</v>
      </c>
      <c r="K96" s="14">
        <f t="shared" si="50"/>
        <v>0</v>
      </c>
      <c r="L96" s="21"/>
      <c r="M96" s="17">
        <f t="shared" si="51"/>
        <v>0</v>
      </c>
      <c r="N96" s="21">
        <f t="shared" si="52"/>
        <v>0</v>
      </c>
      <c r="O96" s="14">
        <f t="shared" si="53"/>
        <v>0</v>
      </c>
      <c r="P96" s="21" t="e">
        <f t="shared" si="54"/>
        <v>#DIV/0!</v>
      </c>
      <c r="Q96" s="13" t="e">
        <f>AVERAGE(P96:P98)</f>
        <v>#DIV/0!</v>
      </c>
      <c r="R96" s="21" t="e">
        <f>STDEV(P96:P98)</f>
        <v>#DIV/0!</v>
      </c>
      <c r="S96" s="14" t="e">
        <f>R96/Q96*100</f>
        <v>#DIV/0!</v>
      </c>
      <c r="T96" s="21"/>
    </row>
    <row r="97" spans="4:20" ht="14.4" customHeight="1" x14ac:dyDescent="0.3">
      <c r="D97" s="73"/>
      <c r="E97" s="11" t="s">
        <v>88</v>
      </c>
      <c r="F97" s="11">
        <f t="shared" si="47"/>
        <v>0</v>
      </c>
      <c r="G97" s="13"/>
      <c r="H97" s="14"/>
      <c r="I97" s="21"/>
      <c r="J97" s="13">
        <f t="shared" si="49"/>
        <v>0</v>
      </c>
      <c r="K97" s="14">
        <f t="shared" si="50"/>
        <v>0</v>
      </c>
      <c r="L97" s="21"/>
      <c r="M97" s="17">
        <f t="shared" si="51"/>
        <v>0</v>
      </c>
      <c r="N97" s="21">
        <f t="shared" si="52"/>
        <v>0</v>
      </c>
      <c r="O97" s="14">
        <f t="shared" si="53"/>
        <v>0</v>
      </c>
      <c r="P97" s="21" t="e">
        <f t="shared" si="54"/>
        <v>#DIV/0!</v>
      </c>
      <c r="Q97" s="13"/>
      <c r="R97" s="21"/>
      <c r="S97" s="14"/>
      <c r="T97" s="21"/>
    </row>
    <row r="98" spans="4:20" ht="14.4" customHeight="1" x14ac:dyDescent="0.3">
      <c r="D98" s="74"/>
      <c r="E98" s="12" t="s">
        <v>89</v>
      </c>
      <c r="F98" s="12">
        <f t="shared" si="48"/>
        <v>0</v>
      </c>
      <c r="G98" s="15"/>
      <c r="H98" s="16"/>
      <c r="I98" s="21"/>
      <c r="J98" s="15">
        <f t="shared" si="49"/>
        <v>0</v>
      </c>
      <c r="K98" s="16">
        <f t="shared" si="50"/>
        <v>0</v>
      </c>
      <c r="L98" s="21"/>
      <c r="M98" s="18">
        <f t="shared" si="51"/>
        <v>0</v>
      </c>
      <c r="N98" s="21">
        <f t="shared" si="52"/>
        <v>0</v>
      </c>
      <c r="O98" s="14">
        <f t="shared" si="53"/>
        <v>0</v>
      </c>
      <c r="P98" s="19" t="e">
        <f t="shared" si="54"/>
        <v>#DIV/0!</v>
      </c>
      <c r="Q98" s="15"/>
      <c r="R98" s="19"/>
      <c r="S98" s="16"/>
      <c r="T98" s="21"/>
    </row>
    <row r="99" spans="4:20" x14ac:dyDescent="0.3">
      <c r="N99" s="2"/>
    </row>
  </sheetData>
  <mergeCells count="31">
    <mergeCell ref="A25:B25"/>
    <mergeCell ref="D36:D38"/>
    <mergeCell ref="D63:D65"/>
    <mergeCell ref="P4:Q4"/>
    <mergeCell ref="F4:G4"/>
    <mergeCell ref="P5:Q5"/>
    <mergeCell ref="J4:K4"/>
    <mergeCell ref="D39:D41"/>
    <mergeCell ref="D42:D44"/>
    <mergeCell ref="D45:D47"/>
    <mergeCell ref="D48:D50"/>
    <mergeCell ref="D51:D53"/>
    <mergeCell ref="D27:D29"/>
    <mergeCell ref="D30:D32"/>
    <mergeCell ref="D33:D35"/>
    <mergeCell ref="E1:G2"/>
    <mergeCell ref="D96:D98"/>
    <mergeCell ref="I18:K18"/>
    <mergeCell ref="D81:D83"/>
    <mergeCell ref="D84:D86"/>
    <mergeCell ref="D87:D89"/>
    <mergeCell ref="D90:D92"/>
    <mergeCell ref="D93:D95"/>
    <mergeCell ref="D66:D68"/>
    <mergeCell ref="D69:D71"/>
    <mergeCell ref="D72:D74"/>
    <mergeCell ref="D75:D77"/>
    <mergeCell ref="D78:D80"/>
    <mergeCell ref="D54:D56"/>
    <mergeCell ref="D57:D59"/>
    <mergeCell ref="D60:D62"/>
  </mergeCells>
  <conditionalFormatting sqref="Q27:Q73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27:Q74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75:Q86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87:Q9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2025-05-11T13:21:05Z</dcterms:modified>
</cp:coreProperties>
</file>