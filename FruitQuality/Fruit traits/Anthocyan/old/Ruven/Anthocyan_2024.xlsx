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evenc\Desktop\R_Working_Directory\Fruit traits\Anthocyan\"/>
    </mc:Choice>
  </mc:AlternateContent>
  <xr:revisionPtr revIDLastSave="0" documentId="13_ncr:1_{4F34E658-9E5D-4EA1-903D-B61F963EEAE3}" xr6:coauthVersionLast="36" xr6:coauthVersionMax="47" xr10:uidLastSave="{00000000-0000-0000-0000-000000000000}"/>
  <bookViews>
    <workbookView xWindow="-108" yWindow="-108" windowWidth="23256" windowHeight="12456" xr2:uid="{EB30DD52-98CB-4CCE-8161-7A2E208EC454}"/>
  </bookViews>
  <sheets>
    <sheet name="1-24" sheetId="1" r:id="rId1"/>
    <sheet name="25-48" sheetId="3" r:id="rId2"/>
    <sheet name="49-72" sheetId="5" r:id="rId3"/>
    <sheet name="73-96" sheetId="6" r:id="rId4"/>
    <sheet name="97-120" sheetId="7" r:id="rId5"/>
    <sheet name="121-144" sheetId="8" r:id="rId6"/>
    <sheet name="145-168" sheetId="9" r:id="rId7"/>
    <sheet name="169-192" sheetId="10" r:id="rId8"/>
    <sheet name="193-202" sheetId="1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F96" i="11"/>
  <c r="F98" i="11" s="1"/>
  <c r="D96" i="11"/>
  <c r="T50" i="11" s="1"/>
  <c r="F95" i="11"/>
  <c r="F94" i="11"/>
  <c r="F93" i="11"/>
  <c r="D93" i="11"/>
  <c r="F91" i="11"/>
  <c r="F90" i="11"/>
  <c r="F92" i="11" s="1"/>
  <c r="D90" i="11"/>
  <c r="T48" i="11" s="1"/>
  <c r="F87" i="11"/>
  <c r="D87" i="11"/>
  <c r="F86" i="11"/>
  <c r="K85" i="11"/>
  <c r="F85" i="11"/>
  <c r="F84" i="11"/>
  <c r="D84" i="11"/>
  <c r="T46" i="11" s="1"/>
  <c r="F83" i="11"/>
  <c r="K82" i="11"/>
  <c r="F82" i="11"/>
  <c r="F81" i="11"/>
  <c r="D81" i="11"/>
  <c r="F79" i="11"/>
  <c r="F78" i="11"/>
  <c r="F80" i="11" s="1"/>
  <c r="D78" i="11"/>
  <c r="T44" i="11" s="1"/>
  <c r="K76" i="11"/>
  <c r="F75" i="11"/>
  <c r="D75" i="11"/>
  <c r="K74" i="11"/>
  <c r="F72" i="11"/>
  <c r="F73" i="11" s="1"/>
  <c r="D72" i="11"/>
  <c r="T42" i="11" s="1"/>
  <c r="F71" i="11"/>
  <c r="F70" i="11"/>
  <c r="F69" i="11"/>
  <c r="D69" i="11"/>
  <c r="K66" i="11"/>
  <c r="F66" i="11"/>
  <c r="F67" i="11" s="1"/>
  <c r="D66" i="11"/>
  <c r="T40" i="11" s="1"/>
  <c r="F63" i="11"/>
  <c r="D63" i="11"/>
  <c r="T39" i="11" s="1"/>
  <c r="F62" i="11"/>
  <c r="F61" i="11"/>
  <c r="F60" i="11"/>
  <c r="D60" i="11"/>
  <c r="F59" i="11"/>
  <c r="F58" i="11"/>
  <c r="F57" i="11"/>
  <c r="D57" i="11"/>
  <c r="K56" i="11"/>
  <c r="F56" i="11"/>
  <c r="F54" i="11"/>
  <c r="F55" i="11" s="1"/>
  <c r="D54" i="11"/>
  <c r="F51" i="11"/>
  <c r="D51" i="11"/>
  <c r="T35" i="11" s="1"/>
  <c r="T49" i="11"/>
  <c r="F49" i="11"/>
  <c r="F48" i="11"/>
  <c r="F50" i="11" s="1"/>
  <c r="D48" i="11"/>
  <c r="T47" i="11"/>
  <c r="K47" i="11"/>
  <c r="F47" i="11"/>
  <c r="K46" i="11"/>
  <c r="F46" i="11"/>
  <c r="T45" i="11"/>
  <c r="F45" i="11"/>
  <c r="D45" i="11"/>
  <c r="T43" i="11"/>
  <c r="F43" i="11"/>
  <c r="F42" i="11"/>
  <c r="F44" i="11" s="1"/>
  <c r="D42" i="11"/>
  <c r="T41" i="11"/>
  <c r="F39" i="11"/>
  <c r="D39" i="11"/>
  <c r="T31" i="11" s="1"/>
  <c r="T38" i="11"/>
  <c r="T37" i="11"/>
  <c r="T36" i="11"/>
  <c r="K36" i="11"/>
  <c r="F36" i="11"/>
  <c r="D36" i="11"/>
  <c r="F35" i="11"/>
  <c r="T34" i="11"/>
  <c r="T33" i="11"/>
  <c r="F33" i="11"/>
  <c r="F34" i="11" s="1"/>
  <c r="D33" i="11"/>
  <c r="T32" i="11"/>
  <c r="K32" i="11"/>
  <c r="T30" i="11"/>
  <c r="K30" i="11"/>
  <c r="F30" i="11"/>
  <c r="F32" i="11" s="1"/>
  <c r="D30" i="11"/>
  <c r="T28" i="11" s="1"/>
  <c r="T29" i="11"/>
  <c r="F29" i="11"/>
  <c r="F28" i="11"/>
  <c r="T27" i="11"/>
  <c r="K27" i="11"/>
  <c r="F27" i="11"/>
  <c r="D27" i="11"/>
  <c r="K13" i="11"/>
  <c r="J13" i="11"/>
  <c r="K12" i="11"/>
  <c r="J12" i="11"/>
  <c r="K11" i="11"/>
  <c r="K14" i="11" s="1"/>
  <c r="K62" i="11" s="1"/>
  <c r="J11" i="11"/>
  <c r="K10" i="11"/>
  <c r="J10" i="11"/>
  <c r="K9" i="11"/>
  <c r="N9" i="11" s="1"/>
  <c r="J9" i="11"/>
  <c r="K8" i="11"/>
  <c r="J8" i="11"/>
  <c r="K7" i="11"/>
  <c r="N7" i="11" s="1"/>
  <c r="J7" i="11"/>
  <c r="K6" i="11"/>
  <c r="J6" i="11"/>
  <c r="F98" i="10"/>
  <c r="F97" i="10"/>
  <c r="F96" i="10"/>
  <c r="D96" i="10"/>
  <c r="T50" i="10" s="1"/>
  <c r="F94" i="10"/>
  <c r="F93" i="10"/>
  <c r="F95" i="10" s="1"/>
  <c r="D93" i="10"/>
  <c r="F90" i="10"/>
  <c r="D90" i="10"/>
  <c r="T48" i="10" s="1"/>
  <c r="F87" i="10"/>
  <c r="D87" i="10"/>
  <c r="T47" i="10" s="1"/>
  <c r="F86" i="10"/>
  <c r="F85" i="10"/>
  <c r="F84" i="10"/>
  <c r="D84" i="10"/>
  <c r="T46" i="10" s="1"/>
  <c r="F81" i="10"/>
  <c r="F83" i="10" s="1"/>
  <c r="D81" i="10"/>
  <c r="T45" i="10" s="1"/>
  <c r="K80" i="10"/>
  <c r="J80" i="10"/>
  <c r="M80" i="10" s="1"/>
  <c r="N80" i="10" s="1"/>
  <c r="O80" i="10" s="1"/>
  <c r="F78" i="10"/>
  <c r="D78" i="10"/>
  <c r="T44" i="10" s="1"/>
  <c r="F75" i="10"/>
  <c r="D75" i="10"/>
  <c r="T43" i="10" s="1"/>
  <c r="F74" i="10"/>
  <c r="F73" i="10"/>
  <c r="F72" i="10"/>
  <c r="D72" i="10"/>
  <c r="T42" i="10" s="1"/>
  <c r="F71" i="10"/>
  <c r="F69" i="10"/>
  <c r="F70" i="10" s="1"/>
  <c r="D69" i="10"/>
  <c r="T41" i="10" s="1"/>
  <c r="F66" i="10"/>
  <c r="F67" i="10" s="1"/>
  <c r="D66" i="10"/>
  <c r="T40" i="10" s="1"/>
  <c r="F63" i="10"/>
  <c r="F65" i="10" s="1"/>
  <c r="D63" i="10"/>
  <c r="T39" i="10" s="1"/>
  <c r="F62" i="10"/>
  <c r="K61" i="10"/>
  <c r="J61" i="10"/>
  <c r="M61" i="10" s="1"/>
  <c r="N61" i="10" s="1"/>
  <c r="O61" i="10" s="1"/>
  <c r="P61" i="10" s="1"/>
  <c r="F61" i="10"/>
  <c r="F60" i="10"/>
  <c r="D60" i="10"/>
  <c r="F57" i="10"/>
  <c r="F58" i="10" s="1"/>
  <c r="D57" i="10"/>
  <c r="T37" i="10" s="1"/>
  <c r="F54" i="10"/>
  <c r="F55" i="10" s="1"/>
  <c r="D54" i="10"/>
  <c r="T36" i="10" s="1"/>
  <c r="F52" i="10"/>
  <c r="F51" i="10"/>
  <c r="F53" i="10" s="1"/>
  <c r="D51" i="10"/>
  <c r="T49" i="10"/>
  <c r="F48" i="10"/>
  <c r="F49" i="10" s="1"/>
  <c r="D48" i="10"/>
  <c r="T34" i="10" s="1"/>
  <c r="F47" i="10"/>
  <c r="F46" i="10"/>
  <c r="F45" i="10"/>
  <c r="D45" i="10"/>
  <c r="F42" i="10"/>
  <c r="F44" i="10" s="1"/>
  <c r="D42" i="10"/>
  <c r="T32" i="10" s="1"/>
  <c r="F40" i="10"/>
  <c r="F39" i="10"/>
  <c r="F41" i="10" s="1"/>
  <c r="D39" i="10"/>
  <c r="T38" i="10"/>
  <c r="F36" i="10"/>
  <c r="F37" i="10" s="1"/>
  <c r="D36" i="10"/>
  <c r="T30" i="10" s="1"/>
  <c r="T35" i="10"/>
  <c r="T33" i="10"/>
  <c r="F33" i="10"/>
  <c r="D33" i="10"/>
  <c r="T29" i="10" s="1"/>
  <c r="T31" i="10"/>
  <c r="F30" i="10"/>
  <c r="D30" i="10"/>
  <c r="F29" i="10"/>
  <c r="T28" i="10"/>
  <c r="F28" i="10"/>
  <c r="T27" i="10"/>
  <c r="F27" i="10"/>
  <c r="D27" i="10"/>
  <c r="K13" i="10"/>
  <c r="J13" i="10"/>
  <c r="K12" i="10"/>
  <c r="J12" i="10"/>
  <c r="K11" i="10"/>
  <c r="K14" i="10" s="1"/>
  <c r="J11" i="10"/>
  <c r="J14" i="10" s="1"/>
  <c r="N10" i="10"/>
  <c r="K10" i="10"/>
  <c r="J10" i="10"/>
  <c r="K9" i="10"/>
  <c r="J9" i="10"/>
  <c r="K8" i="10"/>
  <c r="J8" i="10"/>
  <c r="K7" i="10"/>
  <c r="N7" i="10" s="1"/>
  <c r="J7" i="10"/>
  <c r="M7" i="10" s="1"/>
  <c r="P8" i="10" s="1"/>
  <c r="K6" i="10"/>
  <c r="N6" i="10" s="1"/>
  <c r="J6" i="10"/>
  <c r="F98" i="9"/>
  <c r="F97" i="9"/>
  <c r="F96" i="9"/>
  <c r="D96" i="9"/>
  <c r="T50" i="9" s="1"/>
  <c r="F95" i="9"/>
  <c r="F94" i="9"/>
  <c r="F93" i="9"/>
  <c r="D93" i="9"/>
  <c r="F91" i="9"/>
  <c r="F90" i="9"/>
  <c r="F92" i="9" s="1"/>
  <c r="D90" i="9"/>
  <c r="F87" i="9"/>
  <c r="D87" i="9"/>
  <c r="F86" i="9"/>
  <c r="F85" i="9"/>
  <c r="F84" i="9"/>
  <c r="D84" i="9"/>
  <c r="T46" i="9" s="1"/>
  <c r="F83" i="9"/>
  <c r="F82" i="9"/>
  <c r="F81" i="9"/>
  <c r="D81" i="9"/>
  <c r="F79" i="9"/>
  <c r="F78" i="9"/>
  <c r="F80" i="9" s="1"/>
  <c r="D78" i="9"/>
  <c r="T44" i="9" s="1"/>
  <c r="F75" i="9"/>
  <c r="D75" i="9"/>
  <c r="T43" i="9" s="1"/>
  <c r="F74" i="9"/>
  <c r="F72" i="9"/>
  <c r="F73" i="9" s="1"/>
  <c r="D72" i="9"/>
  <c r="T42" i="9" s="1"/>
  <c r="J71" i="9"/>
  <c r="F71" i="9"/>
  <c r="F70" i="9"/>
  <c r="F69" i="9"/>
  <c r="D69" i="9"/>
  <c r="F68" i="9"/>
  <c r="F66" i="9"/>
  <c r="F67" i="9" s="1"/>
  <c r="D66" i="9"/>
  <c r="K63" i="9"/>
  <c r="J63" i="9"/>
  <c r="M63" i="9" s="1"/>
  <c r="N63" i="9" s="1"/>
  <c r="O63" i="9" s="1"/>
  <c r="P63" i="9" s="1"/>
  <c r="F63" i="9"/>
  <c r="D63" i="9"/>
  <c r="T39" i="9" s="1"/>
  <c r="F62" i="9"/>
  <c r="K61" i="9"/>
  <c r="F60" i="9"/>
  <c r="F61" i="9" s="1"/>
  <c r="D60" i="9"/>
  <c r="F59" i="9"/>
  <c r="F58" i="9"/>
  <c r="F57" i="9"/>
  <c r="D57" i="9"/>
  <c r="F56" i="9"/>
  <c r="K54" i="9"/>
  <c r="F54" i="9"/>
  <c r="F55" i="9" s="1"/>
  <c r="D54" i="9"/>
  <c r="F51" i="9"/>
  <c r="D51" i="9"/>
  <c r="T35" i="9" s="1"/>
  <c r="J50" i="9"/>
  <c r="T49" i="9"/>
  <c r="F49" i="9"/>
  <c r="T48" i="9"/>
  <c r="F48" i="9"/>
  <c r="F50" i="9" s="1"/>
  <c r="D48" i="9"/>
  <c r="T47" i="9"/>
  <c r="F47" i="9"/>
  <c r="T45" i="9"/>
  <c r="F45" i="9"/>
  <c r="F46" i="9" s="1"/>
  <c r="D45" i="9"/>
  <c r="F43" i="9"/>
  <c r="F42" i="9"/>
  <c r="F44" i="9" s="1"/>
  <c r="D42" i="9"/>
  <c r="T32" i="9" s="1"/>
  <c r="T41" i="9"/>
  <c r="T40" i="9"/>
  <c r="F40" i="9"/>
  <c r="F39" i="9"/>
  <c r="F41" i="9" s="1"/>
  <c r="D39" i="9"/>
  <c r="T38" i="9"/>
  <c r="K38" i="9"/>
  <c r="J38" i="9"/>
  <c r="M38" i="9" s="1"/>
  <c r="N38" i="9" s="1"/>
  <c r="O38" i="9" s="1"/>
  <c r="F38" i="9"/>
  <c r="T37" i="9"/>
  <c r="T36" i="9"/>
  <c r="F36" i="9"/>
  <c r="F37" i="9" s="1"/>
  <c r="D36" i="9"/>
  <c r="T34" i="9"/>
  <c r="F34" i="9"/>
  <c r="T33" i="9"/>
  <c r="F33" i="9"/>
  <c r="F35" i="9" s="1"/>
  <c r="D33" i="9"/>
  <c r="T29" i="9" s="1"/>
  <c r="F32" i="9"/>
  <c r="T31" i="9"/>
  <c r="T30" i="9"/>
  <c r="F30" i="9"/>
  <c r="F31" i="9" s="1"/>
  <c r="D30" i="9"/>
  <c r="T28" i="9" s="1"/>
  <c r="F29" i="9"/>
  <c r="F28" i="9"/>
  <c r="K27" i="9"/>
  <c r="F27" i="9"/>
  <c r="D27" i="9"/>
  <c r="T27" i="9" s="1"/>
  <c r="K13" i="9"/>
  <c r="J13" i="9"/>
  <c r="K12" i="9"/>
  <c r="J12" i="9"/>
  <c r="K11" i="9"/>
  <c r="K14" i="9" s="1"/>
  <c r="J11" i="9"/>
  <c r="J14" i="9" s="1"/>
  <c r="N10" i="9"/>
  <c r="K10" i="9"/>
  <c r="J10" i="9"/>
  <c r="K9" i="9"/>
  <c r="N9" i="9" s="1"/>
  <c r="J9" i="9"/>
  <c r="M9" i="9" s="1"/>
  <c r="P10" i="9" s="1"/>
  <c r="K8" i="9"/>
  <c r="J8" i="9"/>
  <c r="K7" i="9"/>
  <c r="J7" i="9"/>
  <c r="K6" i="9"/>
  <c r="N6" i="9" s="1"/>
  <c r="J6" i="9"/>
  <c r="F96" i="8"/>
  <c r="D96" i="8"/>
  <c r="T50" i="8" s="1"/>
  <c r="F93" i="8"/>
  <c r="D93" i="8"/>
  <c r="T49" i="8" s="1"/>
  <c r="F92" i="8"/>
  <c r="F91" i="8"/>
  <c r="F90" i="8"/>
  <c r="D90" i="8"/>
  <c r="T48" i="8" s="1"/>
  <c r="F87" i="8"/>
  <c r="D87" i="8"/>
  <c r="T47" i="8" s="1"/>
  <c r="F86" i="8"/>
  <c r="F84" i="8"/>
  <c r="F85" i="8" s="1"/>
  <c r="D84" i="8"/>
  <c r="T46" i="8" s="1"/>
  <c r="K82" i="8"/>
  <c r="F82" i="8"/>
  <c r="F81" i="8"/>
  <c r="F83" i="8" s="1"/>
  <c r="D81" i="8"/>
  <c r="T45" i="8" s="1"/>
  <c r="F80" i="8"/>
  <c r="F79" i="8"/>
  <c r="F78" i="8"/>
  <c r="D78" i="8"/>
  <c r="F76" i="8"/>
  <c r="K75" i="8"/>
  <c r="F75" i="8"/>
  <c r="F77" i="8" s="1"/>
  <c r="D75" i="8"/>
  <c r="T43" i="8" s="1"/>
  <c r="F72" i="8"/>
  <c r="D72" i="8"/>
  <c r="T42" i="8" s="1"/>
  <c r="K69" i="8"/>
  <c r="J69" i="8"/>
  <c r="M69" i="8" s="1"/>
  <c r="N69" i="8" s="1"/>
  <c r="O69" i="8" s="1"/>
  <c r="P69" i="8" s="1"/>
  <c r="F69" i="8"/>
  <c r="D69" i="8"/>
  <c r="T41" i="8" s="1"/>
  <c r="F68" i="8"/>
  <c r="F67" i="8"/>
  <c r="F66" i="8"/>
  <c r="D66" i="8"/>
  <c r="K63" i="8"/>
  <c r="J63" i="8"/>
  <c r="M63" i="8" s="1"/>
  <c r="N63" i="8" s="1"/>
  <c r="O63" i="8" s="1"/>
  <c r="P63" i="8" s="1"/>
  <c r="F63" i="8"/>
  <c r="D63" i="8"/>
  <c r="T39" i="8" s="1"/>
  <c r="F62" i="8"/>
  <c r="F60" i="8"/>
  <c r="F61" i="8" s="1"/>
  <c r="D60" i="8"/>
  <c r="T38" i="8" s="1"/>
  <c r="K58" i="8"/>
  <c r="F58" i="8"/>
  <c r="F57" i="8"/>
  <c r="F59" i="8" s="1"/>
  <c r="D57" i="8"/>
  <c r="F56" i="8"/>
  <c r="F55" i="8"/>
  <c r="F54" i="8"/>
  <c r="D54" i="8"/>
  <c r="T36" i="8" s="1"/>
  <c r="F52" i="8"/>
  <c r="F51" i="8"/>
  <c r="F53" i="8" s="1"/>
  <c r="D51" i="8"/>
  <c r="J50" i="8"/>
  <c r="F50" i="8"/>
  <c r="F49" i="8"/>
  <c r="F48" i="8"/>
  <c r="D48" i="8"/>
  <c r="F47" i="8"/>
  <c r="F46" i="8"/>
  <c r="F45" i="8"/>
  <c r="D45" i="8"/>
  <c r="T44" i="8"/>
  <c r="F44" i="8"/>
  <c r="F43" i="8"/>
  <c r="F42" i="8"/>
  <c r="D42" i="8"/>
  <c r="T40" i="8"/>
  <c r="F40" i="8"/>
  <c r="F39" i="8"/>
  <c r="F41" i="8" s="1"/>
  <c r="D39" i="8"/>
  <c r="T31" i="8" s="1"/>
  <c r="T37" i="8"/>
  <c r="F36" i="8"/>
  <c r="D36" i="8"/>
  <c r="T35" i="8"/>
  <c r="J35" i="8"/>
  <c r="F35" i="8"/>
  <c r="T34" i="8"/>
  <c r="T33" i="8"/>
  <c r="K33" i="8"/>
  <c r="J33" i="8"/>
  <c r="M33" i="8" s="1"/>
  <c r="N33" i="8" s="1"/>
  <c r="O33" i="8" s="1"/>
  <c r="P33" i="8" s="1"/>
  <c r="F33" i="8"/>
  <c r="F34" i="8" s="1"/>
  <c r="D33" i="8"/>
  <c r="T29" i="8" s="1"/>
  <c r="T32" i="8"/>
  <c r="T30" i="8"/>
  <c r="F30" i="8"/>
  <c r="F32" i="8" s="1"/>
  <c r="D30" i="8"/>
  <c r="F29" i="8"/>
  <c r="T28" i="8"/>
  <c r="F28" i="8"/>
  <c r="T27" i="8"/>
  <c r="F27" i="8"/>
  <c r="D27" i="8"/>
  <c r="K13" i="8"/>
  <c r="J13" i="8"/>
  <c r="K12" i="8"/>
  <c r="J12" i="8"/>
  <c r="K11" i="8"/>
  <c r="K14" i="8" s="1"/>
  <c r="J11" i="8"/>
  <c r="J14" i="8" s="1"/>
  <c r="K10" i="8"/>
  <c r="J10" i="8"/>
  <c r="K9" i="8"/>
  <c r="J9" i="8"/>
  <c r="K8" i="8"/>
  <c r="J8" i="8"/>
  <c r="K7" i="8"/>
  <c r="N7" i="8" s="1"/>
  <c r="J7" i="8"/>
  <c r="K6" i="8"/>
  <c r="N6" i="8" s="1"/>
  <c r="J6" i="8"/>
  <c r="F98" i="7"/>
  <c r="F97" i="7"/>
  <c r="F96" i="7"/>
  <c r="D96" i="7"/>
  <c r="T50" i="7" s="1"/>
  <c r="K95" i="7"/>
  <c r="K94" i="7"/>
  <c r="J94" i="7"/>
  <c r="M94" i="7" s="1"/>
  <c r="N94" i="7" s="1"/>
  <c r="O94" i="7" s="1"/>
  <c r="F94" i="7"/>
  <c r="K93" i="7"/>
  <c r="F93" i="7"/>
  <c r="F95" i="7" s="1"/>
  <c r="D93" i="7"/>
  <c r="F90" i="7"/>
  <c r="D90" i="7"/>
  <c r="T48" i="7" s="1"/>
  <c r="F87" i="7"/>
  <c r="D87" i="7"/>
  <c r="F86" i="7"/>
  <c r="K85" i="7"/>
  <c r="J85" i="7"/>
  <c r="M85" i="7" s="1"/>
  <c r="N85" i="7" s="1"/>
  <c r="O85" i="7" s="1"/>
  <c r="P85" i="7" s="1"/>
  <c r="F85" i="7"/>
  <c r="F84" i="7"/>
  <c r="D84" i="7"/>
  <c r="T46" i="7" s="1"/>
  <c r="F83" i="7"/>
  <c r="F81" i="7"/>
  <c r="F82" i="7" s="1"/>
  <c r="D81" i="7"/>
  <c r="K80" i="7"/>
  <c r="J80" i="7"/>
  <c r="M80" i="7" s="1"/>
  <c r="N80" i="7" s="1"/>
  <c r="O80" i="7" s="1"/>
  <c r="P80" i="7" s="1"/>
  <c r="F80" i="7"/>
  <c r="F78" i="7"/>
  <c r="F79" i="7" s="1"/>
  <c r="D78" i="7"/>
  <c r="T44" i="7" s="1"/>
  <c r="F76" i="7"/>
  <c r="F75" i="7"/>
  <c r="F77" i="7" s="1"/>
  <c r="D75" i="7"/>
  <c r="F74" i="7"/>
  <c r="F73" i="7"/>
  <c r="F72" i="7"/>
  <c r="D72" i="7"/>
  <c r="T42" i="7" s="1"/>
  <c r="F69" i="7"/>
  <c r="F71" i="7" s="1"/>
  <c r="D69" i="7"/>
  <c r="T41" i="7" s="1"/>
  <c r="F66" i="7"/>
  <c r="D66" i="7"/>
  <c r="T40" i="7" s="1"/>
  <c r="K63" i="7"/>
  <c r="J63" i="7"/>
  <c r="M63" i="7" s="1"/>
  <c r="N63" i="7" s="1"/>
  <c r="O63" i="7" s="1"/>
  <c r="P63" i="7" s="1"/>
  <c r="F63" i="7"/>
  <c r="D63" i="7"/>
  <c r="F62" i="7"/>
  <c r="F61" i="7"/>
  <c r="F60" i="7"/>
  <c r="D60" i="7"/>
  <c r="K59" i="7"/>
  <c r="F57" i="7"/>
  <c r="F59" i="7" s="1"/>
  <c r="D57" i="7"/>
  <c r="T37" i="7" s="1"/>
  <c r="K56" i="7"/>
  <c r="J56" i="7"/>
  <c r="M56" i="7" s="1"/>
  <c r="N56" i="7" s="1"/>
  <c r="O56" i="7" s="1"/>
  <c r="P56" i="7" s="1"/>
  <c r="F56" i="7"/>
  <c r="F54" i="7"/>
  <c r="F55" i="7" s="1"/>
  <c r="D54" i="7"/>
  <c r="T36" i="7" s="1"/>
  <c r="K51" i="7"/>
  <c r="J51" i="7"/>
  <c r="M51" i="7" s="1"/>
  <c r="N51" i="7" s="1"/>
  <c r="O51" i="7" s="1"/>
  <c r="P51" i="7" s="1"/>
  <c r="F51" i="7"/>
  <c r="D51" i="7"/>
  <c r="T35" i="7" s="1"/>
  <c r="T49" i="7"/>
  <c r="F48" i="7"/>
  <c r="F49" i="7" s="1"/>
  <c r="D48" i="7"/>
  <c r="T47" i="7"/>
  <c r="F47" i="7"/>
  <c r="F46" i="7"/>
  <c r="T45" i="7"/>
  <c r="K45" i="7"/>
  <c r="J45" i="7"/>
  <c r="M45" i="7" s="1"/>
  <c r="N45" i="7" s="1"/>
  <c r="O45" i="7" s="1"/>
  <c r="P45" i="7" s="1"/>
  <c r="F45" i="7"/>
  <c r="D45" i="7"/>
  <c r="F44" i="7"/>
  <c r="T43" i="7"/>
  <c r="F43" i="7"/>
  <c r="F42" i="7"/>
  <c r="D42" i="7"/>
  <c r="K41" i="7"/>
  <c r="F40" i="7"/>
  <c r="T39" i="7"/>
  <c r="F39" i="7"/>
  <c r="F41" i="7" s="1"/>
  <c r="D39" i="7"/>
  <c r="T38" i="7"/>
  <c r="K38" i="7"/>
  <c r="J38" i="7"/>
  <c r="M38" i="7" s="1"/>
  <c r="N38" i="7" s="1"/>
  <c r="O38" i="7" s="1"/>
  <c r="P38" i="7" s="1"/>
  <c r="F38" i="7"/>
  <c r="F36" i="7"/>
  <c r="F37" i="7" s="1"/>
  <c r="D36" i="7"/>
  <c r="T30" i="7" s="1"/>
  <c r="T34" i="7"/>
  <c r="F34" i="7"/>
  <c r="T33" i="7"/>
  <c r="F33" i="7"/>
  <c r="F35" i="7" s="1"/>
  <c r="D33" i="7"/>
  <c r="T29" i="7" s="1"/>
  <c r="T32" i="7"/>
  <c r="T31" i="7"/>
  <c r="F30" i="7"/>
  <c r="D30" i="7"/>
  <c r="T28" i="7"/>
  <c r="K28" i="7"/>
  <c r="J28" i="7"/>
  <c r="M28" i="7" s="1"/>
  <c r="N28" i="7" s="1"/>
  <c r="O28" i="7" s="1"/>
  <c r="P28" i="7" s="1"/>
  <c r="F28" i="7"/>
  <c r="T27" i="7"/>
  <c r="F27" i="7"/>
  <c r="F29" i="7" s="1"/>
  <c r="D27" i="7"/>
  <c r="K13" i="7"/>
  <c r="J13" i="7"/>
  <c r="K12" i="7"/>
  <c r="J12" i="7"/>
  <c r="K11" i="7"/>
  <c r="K14" i="7" s="1"/>
  <c r="K83" i="7" s="1"/>
  <c r="J11" i="7"/>
  <c r="J14" i="7" s="1"/>
  <c r="N10" i="7"/>
  <c r="M10" i="7"/>
  <c r="P11" i="7" s="1"/>
  <c r="K10" i="7"/>
  <c r="J10" i="7"/>
  <c r="K9" i="7"/>
  <c r="J9" i="7"/>
  <c r="K8" i="7"/>
  <c r="J8" i="7"/>
  <c r="K7" i="7"/>
  <c r="J7" i="7"/>
  <c r="K6" i="7"/>
  <c r="N6" i="7" s="1"/>
  <c r="J6" i="7"/>
  <c r="F98" i="6"/>
  <c r="F97" i="6"/>
  <c r="F96" i="6"/>
  <c r="D96" i="6"/>
  <c r="T50" i="6" s="1"/>
  <c r="F94" i="6"/>
  <c r="F93" i="6"/>
  <c r="F95" i="6" s="1"/>
  <c r="D93" i="6"/>
  <c r="T49" i="6" s="1"/>
  <c r="F90" i="6"/>
  <c r="D90" i="6"/>
  <c r="T48" i="6" s="1"/>
  <c r="F87" i="6"/>
  <c r="D87" i="6"/>
  <c r="T47" i="6" s="1"/>
  <c r="F86" i="6"/>
  <c r="F85" i="6"/>
  <c r="F84" i="6"/>
  <c r="D84" i="6"/>
  <c r="T46" i="6" s="1"/>
  <c r="F83" i="6"/>
  <c r="F81" i="6"/>
  <c r="F82" i="6" s="1"/>
  <c r="D81" i="6"/>
  <c r="T45" i="6" s="1"/>
  <c r="F80" i="6"/>
  <c r="F78" i="6"/>
  <c r="F79" i="6" s="1"/>
  <c r="D78" i="6"/>
  <c r="T44" i="6" s="1"/>
  <c r="F76" i="6"/>
  <c r="F75" i="6"/>
  <c r="F77" i="6" s="1"/>
  <c r="D75" i="6"/>
  <c r="F74" i="6"/>
  <c r="F73" i="6"/>
  <c r="F72" i="6"/>
  <c r="D72" i="6"/>
  <c r="T42" i="6" s="1"/>
  <c r="J69" i="6"/>
  <c r="F69" i="6"/>
  <c r="D69" i="6"/>
  <c r="F66" i="6"/>
  <c r="F67" i="6" s="1"/>
  <c r="D66" i="6"/>
  <c r="T40" i="6" s="1"/>
  <c r="F64" i="6"/>
  <c r="F63" i="6"/>
  <c r="F65" i="6" s="1"/>
  <c r="D63" i="6"/>
  <c r="T39" i="6" s="1"/>
  <c r="F62" i="6"/>
  <c r="F61" i="6"/>
  <c r="F60" i="6"/>
  <c r="D60" i="6"/>
  <c r="J57" i="6"/>
  <c r="F57" i="6"/>
  <c r="D57" i="6"/>
  <c r="T37" i="6" s="1"/>
  <c r="F54" i="6"/>
  <c r="D54" i="6"/>
  <c r="T36" i="6" s="1"/>
  <c r="F51" i="6"/>
  <c r="D51" i="6"/>
  <c r="T35" i="6" s="1"/>
  <c r="F50" i="6"/>
  <c r="F49" i="6"/>
  <c r="F48" i="6"/>
  <c r="D48" i="6"/>
  <c r="T34" i="6" s="1"/>
  <c r="F47" i="6"/>
  <c r="F46" i="6"/>
  <c r="F45" i="6"/>
  <c r="D45" i="6"/>
  <c r="F44" i="6"/>
  <c r="T43" i="6"/>
  <c r="F43" i="6"/>
  <c r="F42" i="6"/>
  <c r="D42" i="6"/>
  <c r="T32" i="6" s="1"/>
  <c r="T41" i="6"/>
  <c r="F41" i="6"/>
  <c r="F40" i="6"/>
  <c r="F39" i="6"/>
  <c r="D39" i="6"/>
  <c r="T38" i="6"/>
  <c r="F38" i="6"/>
  <c r="F36" i="6"/>
  <c r="F37" i="6" s="1"/>
  <c r="D36" i="6"/>
  <c r="F34" i="6"/>
  <c r="T33" i="6"/>
  <c r="F33" i="6"/>
  <c r="F35" i="6" s="1"/>
  <c r="D33" i="6"/>
  <c r="T29" i="6" s="1"/>
  <c r="F32" i="6"/>
  <c r="T31" i="6"/>
  <c r="T30" i="6"/>
  <c r="F30" i="6"/>
  <c r="F31" i="6" s="1"/>
  <c r="D30" i="6"/>
  <c r="F29" i="6"/>
  <c r="T28" i="6"/>
  <c r="F28" i="6"/>
  <c r="F27" i="6"/>
  <c r="D27" i="6"/>
  <c r="T27" i="6" s="1"/>
  <c r="J14" i="6"/>
  <c r="J73" i="6" s="1"/>
  <c r="K13" i="6"/>
  <c r="K14" i="6" s="1"/>
  <c r="J13" i="6"/>
  <c r="K12" i="6"/>
  <c r="J12" i="6"/>
  <c r="K11" i="6"/>
  <c r="J11" i="6"/>
  <c r="K10" i="6"/>
  <c r="J10" i="6"/>
  <c r="K9" i="6"/>
  <c r="J9" i="6"/>
  <c r="K8" i="6"/>
  <c r="J8" i="6"/>
  <c r="K7" i="6"/>
  <c r="N7" i="6" s="1"/>
  <c r="J7" i="6"/>
  <c r="M7" i="6" s="1"/>
  <c r="P8" i="6" s="1"/>
  <c r="K6" i="6"/>
  <c r="J6" i="6"/>
  <c r="F96" i="5"/>
  <c r="D96" i="5"/>
  <c r="T50" i="5" s="1"/>
  <c r="F93" i="5"/>
  <c r="D93" i="5"/>
  <c r="F92" i="5"/>
  <c r="F91" i="5"/>
  <c r="F90" i="5"/>
  <c r="D90" i="5"/>
  <c r="T48" i="5" s="1"/>
  <c r="F87" i="5"/>
  <c r="F89" i="5" s="1"/>
  <c r="D87" i="5"/>
  <c r="T47" i="5" s="1"/>
  <c r="F86" i="5"/>
  <c r="F84" i="5"/>
  <c r="F85" i="5" s="1"/>
  <c r="D84" i="5"/>
  <c r="T46" i="5" s="1"/>
  <c r="K83" i="5"/>
  <c r="J83" i="5"/>
  <c r="M83" i="5" s="1"/>
  <c r="N83" i="5" s="1"/>
  <c r="O83" i="5" s="1"/>
  <c r="P83" i="5" s="1"/>
  <c r="K82" i="5"/>
  <c r="F82" i="5"/>
  <c r="F81" i="5"/>
  <c r="F83" i="5" s="1"/>
  <c r="D81" i="5"/>
  <c r="T45" i="5" s="1"/>
  <c r="F80" i="5"/>
  <c r="F79" i="5"/>
  <c r="F78" i="5"/>
  <c r="D78" i="5"/>
  <c r="K76" i="5"/>
  <c r="F76" i="5"/>
  <c r="F75" i="5"/>
  <c r="F77" i="5" s="1"/>
  <c r="D75" i="5"/>
  <c r="T43" i="5" s="1"/>
  <c r="F72" i="5"/>
  <c r="D72" i="5"/>
  <c r="T42" i="5" s="1"/>
  <c r="F69" i="5"/>
  <c r="D69" i="5"/>
  <c r="K68" i="5"/>
  <c r="J68" i="5"/>
  <c r="M68" i="5" s="1"/>
  <c r="N68" i="5" s="1"/>
  <c r="O68" i="5" s="1"/>
  <c r="P68" i="5" s="1"/>
  <c r="F68" i="5"/>
  <c r="F67" i="5"/>
  <c r="F66" i="5"/>
  <c r="D66" i="5"/>
  <c r="T40" i="5" s="1"/>
  <c r="F63" i="5"/>
  <c r="D63" i="5"/>
  <c r="T39" i="5" s="1"/>
  <c r="F62" i="5"/>
  <c r="F60" i="5"/>
  <c r="F61" i="5" s="1"/>
  <c r="D60" i="5"/>
  <c r="T38" i="5" s="1"/>
  <c r="K59" i="5"/>
  <c r="J59" i="5"/>
  <c r="M59" i="5" s="1"/>
  <c r="N59" i="5" s="1"/>
  <c r="O59" i="5" s="1"/>
  <c r="P59" i="5" s="1"/>
  <c r="F58" i="5"/>
  <c r="F57" i="5"/>
  <c r="F59" i="5" s="1"/>
  <c r="D57" i="5"/>
  <c r="F56" i="5"/>
  <c r="F55" i="5"/>
  <c r="F54" i="5"/>
  <c r="D54" i="5"/>
  <c r="F52" i="5"/>
  <c r="F51" i="5"/>
  <c r="F53" i="5" s="1"/>
  <c r="D51" i="5"/>
  <c r="F50" i="5"/>
  <c r="T49" i="5"/>
  <c r="F49" i="5"/>
  <c r="F48" i="5"/>
  <c r="D48" i="5"/>
  <c r="F47" i="5"/>
  <c r="K46" i="5"/>
  <c r="J46" i="5"/>
  <c r="M46" i="5" s="1"/>
  <c r="N46" i="5" s="1"/>
  <c r="O46" i="5" s="1"/>
  <c r="P46" i="5" s="1"/>
  <c r="F46" i="5"/>
  <c r="F45" i="5"/>
  <c r="D45" i="5"/>
  <c r="T44" i="5"/>
  <c r="F44" i="5"/>
  <c r="F43" i="5"/>
  <c r="K42" i="5"/>
  <c r="J42" i="5"/>
  <c r="M42" i="5" s="1"/>
  <c r="N42" i="5" s="1"/>
  <c r="O42" i="5" s="1"/>
  <c r="P42" i="5" s="1"/>
  <c r="F42" i="5"/>
  <c r="D42" i="5"/>
  <c r="T41" i="5"/>
  <c r="K40" i="5"/>
  <c r="J40" i="5"/>
  <c r="M40" i="5" s="1"/>
  <c r="N40" i="5" s="1"/>
  <c r="O40" i="5" s="1"/>
  <c r="P40" i="5" s="1"/>
  <c r="F40" i="5"/>
  <c r="F39" i="5"/>
  <c r="F41" i="5" s="1"/>
  <c r="D39" i="5"/>
  <c r="T31" i="5" s="1"/>
  <c r="T37" i="5"/>
  <c r="T36" i="5"/>
  <c r="F36" i="5"/>
  <c r="D36" i="5"/>
  <c r="T35" i="5"/>
  <c r="T34" i="5"/>
  <c r="T33" i="5"/>
  <c r="K33" i="5"/>
  <c r="J33" i="5"/>
  <c r="M33" i="5" s="1"/>
  <c r="N33" i="5" s="1"/>
  <c r="O33" i="5" s="1"/>
  <c r="F33" i="5"/>
  <c r="D33" i="5"/>
  <c r="T29" i="5" s="1"/>
  <c r="T32" i="5"/>
  <c r="T30" i="5"/>
  <c r="K30" i="5"/>
  <c r="J30" i="5"/>
  <c r="M30" i="5" s="1"/>
  <c r="N30" i="5" s="1"/>
  <c r="O30" i="5" s="1"/>
  <c r="P30" i="5" s="1"/>
  <c r="F30" i="5"/>
  <c r="D30" i="5"/>
  <c r="T28" i="5" s="1"/>
  <c r="F29" i="5"/>
  <c r="J28" i="5"/>
  <c r="F28" i="5"/>
  <c r="T27" i="5"/>
  <c r="F27" i="5"/>
  <c r="D27" i="5"/>
  <c r="K13" i="5"/>
  <c r="J13" i="5"/>
  <c r="K12" i="5"/>
  <c r="J12" i="5"/>
  <c r="K11" i="5"/>
  <c r="K14" i="5" s="1"/>
  <c r="J11" i="5"/>
  <c r="J14" i="5" s="1"/>
  <c r="N10" i="5"/>
  <c r="M10" i="5"/>
  <c r="P11" i="5" s="1"/>
  <c r="K10" i="5"/>
  <c r="J10" i="5"/>
  <c r="K9" i="5"/>
  <c r="J9" i="5"/>
  <c r="K8" i="5"/>
  <c r="J8" i="5"/>
  <c r="K7" i="5"/>
  <c r="N7" i="5" s="1"/>
  <c r="J7" i="5"/>
  <c r="M7" i="5" s="1"/>
  <c r="P8" i="5" s="1"/>
  <c r="M6" i="5"/>
  <c r="P7" i="5" s="1"/>
  <c r="K6" i="5"/>
  <c r="N6" i="5" s="1"/>
  <c r="J6" i="5"/>
  <c r="F96" i="3"/>
  <c r="F98" i="3" s="1"/>
  <c r="D96" i="3"/>
  <c r="T50" i="3" s="1"/>
  <c r="K93" i="3"/>
  <c r="J93" i="3"/>
  <c r="M93" i="3" s="1"/>
  <c r="N93" i="3" s="1"/>
  <c r="O93" i="3" s="1"/>
  <c r="P93" i="3" s="1"/>
  <c r="F93" i="3"/>
  <c r="F95" i="3" s="1"/>
  <c r="D93" i="3"/>
  <c r="F92" i="3"/>
  <c r="F91" i="3"/>
  <c r="K90" i="3"/>
  <c r="F90" i="3"/>
  <c r="D90" i="3"/>
  <c r="K88" i="3"/>
  <c r="F88" i="3"/>
  <c r="F87" i="3"/>
  <c r="F89" i="3" s="1"/>
  <c r="D87" i="3"/>
  <c r="F86" i="3"/>
  <c r="K85" i="3"/>
  <c r="F85" i="3"/>
  <c r="F84" i="3"/>
  <c r="D84" i="3"/>
  <c r="T46" i="3" s="1"/>
  <c r="F83" i="3"/>
  <c r="F82" i="3"/>
  <c r="F81" i="3"/>
  <c r="D81" i="3"/>
  <c r="T45" i="3" s="1"/>
  <c r="K80" i="3"/>
  <c r="F80" i="3"/>
  <c r="F79" i="3"/>
  <c r="F78" i="3"/>
  <c r="D78" i="3"/>
  <c r="K76" i="3"/>
  <c r="F76" i="3"/>
  <c r="F75" i="3"/>
  <c r="F77" i="3" s="1"/>
  <c r="D75" i="3"/>
  <c r="T43" i="3" s="1"/>
  <c r="F74" i="3"/>
  <c r="F72" i="3"/>
  <c r="F73" i="3" s="1"/>
  <c r="D72" i="3"/>
  <c r="T42" i="3" s="1"/>
  <c r="K71" i="3"/>
  <c r="F71" i="3"/>
  <c r="F69" i="3"/>
  <c r="F70" i="3" s="1"/>
  <c r="D69" i="3"/>
  <c r="T41" i="3" s="1"/>
  <c r="K66" i="3"/>
  <c r="F66" i="3"/>
  <c r="F67" i="3" s="1"/>
  <c r="D66" i="3"/>
  <c r="T40" i="3" s="1"/>
  <c r="F63" i="3"/>
  <c r="D63" i="3"/>
  <c r="K62" i="3"/>
  <c r="F60" i="3"/>
  <c r="F61" i="3" s="1"/>
  <c r="D60" i="3"/>
  <c r="T38" i="3" s="1"/>
  <c r="F57" i="3"/>
  <c r="D57" i="3"/>
  <c r="T37" i="3" s="1"/>
  <c r="F54" i="3"/>
  <c r="D54" i="3"/>
  <c r="T36" i="3" s="1"/>
  <c r="K51" i="3"/>
  <c r="F51" i="3"/>
  <c r="D51" i="3"/>
  <c r="T35" i="3" s="1"/>
  <c r="F50" i="3"/>
  <c r="T49" i="3"/>
  <c r="F49" i="3"/>
  <c r="T48" i="3"/>
  <c r="F48" i="3"/>
  <c r="D48" i="3"/>
  <c r="T47" i="3"/>
  <c r="K47" i="3"/>
  <c r="J47" i="3"/>
  <c r="M47" i="3" s="1"/>
  <c r="N47" i="3" s="1"/>
  <c r="O47" i="3" s="1"/>
  <c r="P47" i="3" s="1"/>
  <c r="F47" i="3"/>
  <c r="F46" i="3"/>
  <c r="F45" i="3"/>
  <c r="D45" i="3"/>
  <c r="T44" i="3"/>
  <c r="K44" i="3"/>
  <c r="F43" i="3"/>
  <c r="F42" i="3"/>
  <c r="F44" i="3" s="1"/>
  <c r="D42" i="3"/>
  <c r="T32" i="3" s="1"/>
  <c r="K40" i="3"/>
  <c r="F40" i="3"/>
  <c r="T39" i="3"/>
  <c r="F39" i="3"/>
  <c r="F41" i="3" s="1"/>
  <c r="D39" i="3"/>
  <c r="K36" i="3"/>
  <c r="F36" i="3"/>
  <c r="F37" i="3" s="1"/>
  <c r="D36" i="3"/>
  <c r="T30" i="3" s="1"/>
  <c r="F35" i="3"/>
  <c r="T34" i="3"/>
  <c r="F34" i="3"/>
  <c r="T33" i="3"/>
  <c r="K33" i="3"/>
  <c r="F33" i="3"/>
  <c r="D33" i="3"/>
  <c r="K32" i="3"/>
  <c r="J32" i="3"/>
  <c r="M32" i="3" s="1"/>
  <c r="N32" i="3" s="1"/>
  <c r="O32" i="3" s="1"/>
  <c r="T31" i="3"/>
  <c r="F30" i="3"/>
  <c r="F32" i="3" s="1"/>
  <c r="D30" i="3"/>
  <c r="T28" i="3" s="1"/>
  <c r="T29" i="3"/>
  <c r="K29" i="3"/>
  <c r="J29" i="3"/>
  <c r="M29" i="3" s="1"/>
  <c r="N29" i="3" s="1"/>
  <c r="O29" i="3" s="1"/>
  <c r="P29" i="3" s="1"/>
  <c r="F29" i="3"/>
  <c r="F27" i="3"/>
  <c r="F28" i="3" s="1"/>
  <c r="D27" i="3"/>
  <c r="T27" i="3" s="1"/>
  <c r="K14" i="3"/>
  <c r="K73" i="3" s="1"/>
  <c r="K13" i="3"/>
  <c r="J13" i="3"/>
  <c r="K12" i="3"/>
  <c r="J12" i="3"/>
  <c r="K11" i="3"/>
  <c r="J11" i="3"/>
  <c r="J14" i="3" s="1"/>
  <c r="N10" i="3"/>
  <c r="M10" i="3"/>
  <c r="P11" i="3" s="1"/>
  <c r="K10" i="3"/>
  <c r="J10" i="3"/>
  <c r="K9" i="3"/>
  <c r="N9" i="3" s="1"/>
  <c r="J9" i="3"/>
  <c r="M9" i="3" s="1"/>
  <c r="P10" i="3" s="1"/>
  <c r="K8" i="3"/>
  <c r="J8" i="3"/>
  <c r="K7" i="3"/>
  <c r="J7" i="3"/>
  <c r="K6" i="3"/>
  <c r="N6" i="3" s="1"/>
  <c r="J6" i="3"/>
  <c r="F31" i="11" l="1"/>
  <c r="F41" i="11"/>
  <c r="F40" i="11"/>
  <c r="F53" i="11"/>
  <c r="F52" i="11"/>
  <c r="K89" i="11"/>
  <c r="K51" i="11"/>
  <c r="K94" i="11"/>
  <c r="K57" i="11"/>
  <c r="F68" i="11"/>
  <c r="F37" i="11"/>
  <c r="F38" i="11"/>
  <c r="K52" i="11"/>
  <c r="F74" i="11"/>
  <c r="F65" i="11"/>
  <c r="F64" i="11"/>
  <c r="K39" i="11"/>
  <c r="K96" i="11"/>
  <c r="K91" i="11"/>
  <c r="K84" i="11"/>
  <c r="K79" i="11"/>
  <c r="K72" i="11"/>
  <c r="K67" i="11"/>
  <c r="K60" i="11"/>
  <c r="K55" i="11"/>
  <c r="K35" i="11"/>
  <c r="K31" i="11"/>
  <c r="K44" i="11"/>
  <c r="K40" i="11"/>
  <c r="K95" i="11"/>
  <c r="K83" i="11"/>
  <c r="K71" i="11"/>
  <c r="K59" i="11"/>
  <c r="K42" i="11"/>
  <c r="K38" i="11"/>
  <c r="K34" i="11"/>
  <c r="K75" i="11"/>
  <c r="K58" i="11"/>
  <c r="K98" i="11"/>
  <c r="K88" i="11"/>
  <c r="K78" i="11"/>
  <c r="K65" i="11"/>
  <c r="K61" i="11"/>
  <c r="K29" i="11"/>
  <c r="K68" i="11"/>
  <c r="K81" i="11"/>
  <c r="K87" i="11"/>
  <c r="K70" i="11"/>
  <c r="K48" i="11"/>
  <c r="K41" i="11"/>
  <c r="K28" i="11"/>
  <c r="K90" i="11"/>
  <c r="K77" i="11"/>
  <c r="K73" i="11"/>
  <c r="K33" i="11"/>
  <c r="K80" i="11"/>
  <c r="N10" i="11"/>
  <c r="K93" i="11"/>
  <c r="K50" i="11"/>
  <c r="K43" i="11"/>
  <c r="K63" i="11"/>
  <c r="K53" i="11"/>
  <c r="K69" i="11"/>
  <c r="K45" i="11"/>
  <c r="F97" i="11"/>
  <c r="K37" i="11"/>
  <c r="K64" i="11"/>
  <c r="K86" i="11"/>
  <c r="K97" i="11"/>
  <c r="N6" i="11"/>
  <c r="K49" i="11"/>
  <c r="K54" i="11"/>
  <c r="K92" i="11"/>
  <c r="F89" i="11"/>
  <c r="F88" i="11"/>
  <c r="J14" i="11"/>
  <c r="M9" i="11" s="1"/>
  <c r="P10" i="11" s="1"/>
  <c r="F77" i="11"/>
  <c r="F76" i="11"/>
  <c r="N8" i="11"/>
  <c r="F77" i="10"/>
  <c r="F76" i="10"/>
  <c r="J89" i="10"/>
  <c r="J77" i="10"/>
  <c r="J65" i="10"/>
  <c r="J53" i="10"/>
  <c r="J41" i="10"/>
  <c r="J37" i="10"/>
  <c r="J96" i="10"/>
  <c r="M96" i="10" s="1"/>
  <c r="N96" i="10" s="1"/>
  <c r="O96" i="10" s="1"/>
  <c r="P96" i="10" s="1"/>
  <c r="J91" i="10"/>
  <c r="M91" i="10" s="1"/>
  <c r="N91" i="10" s="1"/>
  <c r="O91" i="10" s="1"/>
  <c r="P91" i="10" s="1"/>
  <c r="J84" i="10"/>
  <c r="M84" i="10" s="1"/>
  <c r="N84" i="10" s="1"/>
  <c r="O84" i="10" s="1"/>
  <c r="P84" i="10" s="1"/>
  <c r="J79" i="10"/>
  <c r="M79" i="10" s="1"/>
  <c r="N79" i="10" s="1"/>
  <c r="O79" i="10" s="1"/>
  <c r="J72" i="10"/>
  <c r="M72" i="10" s="1"/>
  <c r="N72" i="10" s="1"/>
  <c r="O72" i="10" s="1"/>
  <c r="P72" i="10" s="1"/>
  <c r="J67" i="10"/>
  <c r="M67" i="10" s="1"/>
  <c r="N67" i="10" s="1"/>
  <c r="O67" i="10" s="1"/>
  <c r="P67" i="10" s="1"/>
  <c r="J60" i="10"/>
  <c r="M60" i="10" s="1"/>
  <c r="N60" i="10" s="1"/>
  <c r="O60" i="10" s="1"/>
  <c r="P60" i="10" s="1"/>
  <c r="J55" i="10"/>
  <c r="M55" i="10" s="1"/>
  <c r="N55" i="10" s="1"/>
  <c r="O55" i="10" s="1"/>
  <c r="P55" i="10" s="1"/>
  <c r="J35" i="10"/>
  <c r="M35" i="10" s="1"/>
  <c r="N35" i="10" s="1"/>
  <c r="O35" i="10" s="1"/>
  <c r="P35" i="10" s="1"/>
  <c r="J31" i="10"/>
  <c r="M31" i="10" s="1"/>
  <c r="N31" i="10" s="1"/>
  <c r="O31" i="10" s="1"/>
  <c r="P31" i="10" s="1"/>
  <c r="J33" i="10"/>
  <c r="M33" i="10" s="1"/>
  <c r="N33" i="10" s="1"/>
  <c r="O33" i="10" s="1"/>
  <c r="P33" i="10" s="1"/>
  <c r="J39" i="10"/>
  <c r="J98" i="10"/>
  <c r="J58" i="10"/>
  <c r="J46" i="10"/>
  <c r="M46" i="10" s="1"/>
  <c r="N46" i="10" s="1"/>
  <c r="O46" i="10" s="1"/>
  <c r="P46" i="10" s="1"/>
  <c r="J95" i="10"/>
  <c r="J70" i="10"/>
  <c r="M70" i="10" s="1"/>
  <c r="N70" i="10" s="1"/>
  <c r="O70" i="10" s="1"/>
  <c r="P70" i="10" s="1"/>
  <c r="J34" i="10"/>
  <c r="J29" i="10"/>
  <c r="M29" i="10" s="1"/>
  <c r="N29" i="10" s="1"/>
  <c r="O29" i="10" s="1"/>
  <c r="P29" i="10" s="1"/>
  <c r="J57" i="10"/>
  <c r="J51" i="10"/>
  <c r="M51" i="10" s="1"/>
  <c r="N51" i="10" s="1"/>
  <c r="O51" i="10" s="1"/>
  <c r="P51" i="10" s="1"/>
  <c r="J76" i="10"/>
  <c r="J73" i="10"/>
  <c r="J32" i="10"/>
  <c r="J27" i="10"/>
  <c r="J92" i="10"/>
  <c r="M92" i="10" s="1"/>
  <c r="N92" i="10" s="1"/>
  <c r="O92" i="10" s="1"/>
  <c r="P92" i="10" s="1"/>
  <c r="J88" i="10"/>
  <c r="M88" i="10" s="1"/>
  <c r="N88" i="10" s="1"/>
  <c r="O88" i="10" s="1"/>
  <c r="P88" i="10" s="1"/>
  <c r="J85" i="10"/>
  <c r="M85" i="10" s="1"/>
  <c r="N85" i="10" s="1"/>
  <c r="O85" i="10" s="1"/>
  <c r="P85" i="10" s="1"/>
  <c r="J54" i="10"/>
  <c r="M54" i="10" s="1"/>
  <c r="N54" i="10" s="1"/>
  <c r="O54" i="10" s="1"/>
  <c r="P54" i="10" s="1"/>
  <c r="J82" i="10"/>
  <c r="M82" i="10" s="1"/>
  <c r="N82" i="10" s="1"/>
  <c r="O82" i="10" s="1"/>
  <c r="P82" i="10" s="1"/>
  <c r="K39" i="10"/>
  <c r="K33" i="10"/>
  <c r="K29" i="10"/>
  <c r="K74" i="10"/>
  <c r="K62" i="10"/>
  <c r="K96" i="10"/>
  <c r="K91" i="10"/>
  <c r="K84" i="10"/>
  <c r="K79" i="10"/>
  <c r="K72" i="10"/>
  <c r="K67" i="10"/>
  <c r="K60" i="10"/>
  <c r="K55" i="10"/>
  <c r="K35" i="10"/>
  <c r="K31" i="10"/>
  <c r="K98" i="10"/>
  <c r="K86" i="10"/>
  <c r="K76" i="10"/>
  <c r="K73" i="10"/>
  <c r="K32" i="10"/>
  <c r="K27" i="10"/>
  <c r="K70" i="10"/>
  <c r="K85" i="10"/>
  <c r="K51" i="10"/>
  <c r="K82" i="10"/>
  <c r="K97" i="10"/>
  <c r="K95" i="10"/>
  <c r="K92" i="10"/>
  <c r="K89" i="10"/>
  <c r="K34" i="10"/>
  <c r="K88" i="10"/>
  <c r="K57" i="10"/>
  <c r="K54" i="10"/>
  <c r="K48" i="10"/>
  <c r="K41" i="10"/>
  <c r="K45" i="10"/>
  <c r="J48" i="10"/>
  <c r="M48" i="10" s="1"/>
  <c r="N48" i="10" s="1"/>
  <c r="O48" i="10" s="1"/>
  <c r="P48" i="10" s="1"/>
  <c r="K52" i="10"/>
  <c r="J71" i="10"/>
  <c r="M71" i="10" s="1"/>
  <c r="N71" i="10" s="1"/>
  <c r="O71" i="10" s="1"/>
  <c r="P71" i="10" s="1"/>
  <c r="K75" i="10"/>
  <c r="J94" i="10"/>
  <c r="M94" i="10" s="1"/>
  <c r="N94" i="10" s="1"/>
  <c r="O94" i="10" s="1"/>
  <c r="P94" i="10" s="1"/>
  <c r="J42" i="10"/>
  <c r="F91" i="10"/>
  <c r="F92" i="10"/>
  <c r="J90" i="10"/>
  <c r="K58" i="10"/>
  <c r="K66" i="10"/>
  <c r="K90" i="10"/>
  <c r="F31" i="10"/>
  <c r="F32" i="10"/>
  <c r="J36" i="10"/>
  <c r="J30" i="10"/>
  <c r="K36" i="10"/>
  <c r="K30" i="10"/>
  <c r="F35" i="10"/>
  <c r="F34" i="10"/>
  <c r="F68" i="10"/>
  <c r="K81" i="10"/>
  <c r="J86" i="10"/>
  <c r="M86" i="10" s="1"/>
  <c r="N86" i="10" s="1"/>
  <c r="O86" i="10" s="1"/>
  <c r="P86" i="10" s="1"/>
  <c r="K37" i="10"/>
  <c r="F43" i="10"/>
  <c r="F59" i="10"/>
  <c r="K68" i="10"/>
  <c r="F89" i="10"/>
  <c r="F88" i="10"/>
  <c r="J43" i="10"/>
  <c r="F50" i="10"/>
  <c r="J59" i="10"/>
  <c r="K63" i="10"/>
  <c r="F82" i="10"/>
  <c r="J87" i="10"/>
  <c r="M87" i="10" s="1"/>
  <c r="N87" i="10" s="1"/>
  <c r="O87" i="10" s="1"/>
  <c r="P87" i="10" s="1"/>
  <c r="K43" i="10"/>
  <c r="J50" i="10"/>
  <c r="K50" i="10"/>
  <c r="F64" i="10"/>
  <c r="F79" i="10"/>
  <c r="F80" i="10"/>
  <c r="P80" i="10" s="1"/>
  <c r="K83" i="10"/>
  <c r="N9" i="10"/>
  <c r="J40" i="10"/>
  <c r="M40" i="10" s="1"/>
  <c r="N40" i="10" s="1"/>
  <c r="O40" i="10" s="1"/>
  <c r="P40" i="10" s="1"/>
  <c r="K44" i="10"/>
  <c r="K64" i="10"/>
  <c r="J28" i="10"/>
  <c r="F38" i="10"/>
  <c r="F56" i="10"/>
  <c r="J69" i="10"/>
  <c r="J93" i="10"/>
  <c r="J45" i="10"/>
  <c r="J52" i="10"/>
  <c r="J75" i="10"/>
  <c r="J49" i="10"/>
  <c r="K71" i="10"/>
  <c r="K94" i="10"/>
  <c r="M6" i="10"/>
  <c r="P7" i="10" s="1"/>
  <c r="K42" i="10"/>
  <c r="K49" i="10"/>
  <c r="K53" i="10"/>
  <c r="J66" i="10"/>
  <c r="M66" i="10" s="1"/>
  <c r="N66" i="10" s="1"/>
  <c r="O66" i="10" s="1"/>
  <c r="P66" i="10" s="1"/>
  <c r="J62" i="10"/>
  <c r="M62" i="10" s="1"/>
  <c r="N62" i="10" s="1"/>
  <c r="O62" i="10" s="1"/>
  <c r="P62" i="10" s="1"/>
  <c r="K77" i="10"/>
  <c r="J81" i="10"/>
  <c r="M81" i="10" s="1"/>
  <c r="N81" i="10" s="1"/>
  <c r="O81" i="10" s="1"/>
  <c r="P81" i="10" s="1"/>
  <c r="K46" i="10"/>
  <c r="J68" i="10"/>
  <c r="M68" i="10" s="1"/>
  <c r="N68" i="10" s="1"/>
  <c r="O68" i="10" s="1"/>
  <c r="J63" i="10"/>
  <c r="M8" i="10"/>
  <c r="P9" i="10" s="1"/>
  <c r="N8" i="10"/>
  <c r="J47" i="10"/>
  <c r="K59" i="10"/>
  <c r="J83" i="10"/>
  <c r="K87" i="10"/>
  <c r="K47" i="10"/>
  <c r="J44" i="10"/>
  <c r="J64" i="10"/>
  <c r="M64" i="10" s="1"/>
  <c r="N64" i="10" s="1"/>
  <c r="O64" i="10" s="1"/>
  <c r="J78" i="10"/>
  <c r="M9" i="10"/>
  <c r="P10" i="10" s="1"/>
  <c r="K40" i="10"/>
  <c r="K78" i="10"/>
  <c r="K28" i="10"/>
  <c r="J38" i="10"/>
  <c r="M38" i="10" s="1"/>
  <c r="N38" i="10" s="1"/>
  <c r="O38" i="10" s="1"/>
  <c r="P38" i="10" s="1"/>
  <c r="J56" i="10"/>
  <c r="M56" i="10" s="1"/>
  <c r="N56" i="10" s="1"/>
  <c r="O56" i="10" s="1"/>
  <c r="P56" i="10" s="1"/>
  <c r="K65" i="10"/>
  <c r="J97" i="10"/>
  <c r="M10" i="10"/>
  <c r="P11" i="10" s="1"/>
  <c r="K38" i="10"/>
  <c r="K56" i="10"/>
  <c r="K69" i="10"/>
  <c r="J74" i="10"/>
  <c r="M74" i="10" s="1"/>
  <c r="N74" i="10" s="1"/>
  <c r="O74" i="10" s="1"/>
  <c r="P74" i="10" s="1"/>
  <c r="K93" i="10"/>
  <c r="P38" i="9"/>
  <c r="J89" i="9"/>
  <c r="M89" i="9" s="1"/>
  <c r="N89" i="9" s="1"/>
  <c r="O89" i="9" s="1"/>
  <c r="P89" i="9" s="1"/>
  <c r="J77" i="9"/>
  <c r="M77" i="9" s="1"/>
  <c r="N77" i="9" s="1"/>
  <c r="O77" i="9" s="1"/>
  <c r="J65" i="9"/>
  <c r="M65" i="9" s="1"/>
  <c r="N65" i="9" s="1"/>
  <c r="O65" i="9" s="1"/>
  <c r="J53" i="9"/>
  <c r="M53" i="9" s="1"/>
  <c r="N53" i="9" s="1"/>
  <c r="O53" i="9" s="1"/>
  <c r="J41" i="9"/>
  <c r="J37" i="9"/>
  <c r="J39" i="9"/>
  <c r="J96" i="9"/>
  <c r="J91" i="9"/>
  <c r="J84" i="9"/>
  <c r="J79" i="9"/>
  <c r="J72" i="9"/>
  <c r="M72" i="9" s="1"/>
  <c r="N72" i="9" s="1"/>
  <c r="O72" i="9" s="1"/>
  <c r="P72" i="9" s="1"/>
  <c r="J67" i="9"/>
  <c r="M67" i="9" s="1"/>
  <c r="N67" i="9" s="1"/>
  <c r="O67" i="9" s="1"/>
  <c r="P67" i="9" s="1"/>
  <c r="J60" i="9"/>
  <c r="M60" i="9" s="1"/>
  <c r="N60" i="9" s="1"/>
  <c r="O60" i="9" s="1"/>
  <c r="P60" i="9" s="1"/>
  <c r="J55" i="9"/>
  <c r="M55" i="9" s="1"/>
  <c r="N55" i="9" s="1"/>
  <c r="O55" i="9" s="1"/>
  <c r="P55" i="9" s="1"/>
  <c r="J48" i="9"/>
  <c r="M48" i="9" s="1"/>
  <c r="N48" i="9" s="1"/>
  <c r="O48" i="9" s="1"/>
  <c r="P48" i="9" s="1"/>
  <c r="J44" i="9"/>
  <c r="J40" i="9"/>
  <c r="J95" i="9"/>
  <c r="J83" i="9"/>
  <c r="J36" i="9"/>
  <c r="M36" i="9" s="1"/>
  <c r="N36" i="9" s="1"/>
  <c r="O36" i="9" s="1"/>
  <c r="P36" i="9" s="1"/>
  <c r="J31" i="9"/>
  <c r="M31" i="9" s="1"/>
  <c r="N31" i="9" s="1"/>
  <c r="O31" i="9" s="1"/>
  <c r="P31" i="9" s="1"/>
  <c r="J75" i="9"/>
  <c r="M75" i="9" s="1"/>
  <c r="N75" i="9" s="1"/>
  <c r="O75" i="9" s="1"/>
  <c r="P75" i="9" s="1"/>
  <c r="J59" i="9"/>
  <c r="J61" i="9"/>
  <c r="M61" i="9" s="1"/>
  <c r="N61" i="9" s="1"/>
  <c r="O61" i="9" s="1"/>
  <c r="P61" i="9" s="1"/>
  <c r="J58" i="9"/>
  <c r="J47" i="9"/>
  <c r="J35" i="9"/>
  <c r="J87" i="9"/>
  <c r="J49" i="9"/>
  <c r="M49" i="9" s="1"/>
  <c r="N49" i="9" s="1"/>
  <c r="O49" i="9" s="1"/>
  <c r="P49" i="9" s="1"/>
  <c r="J90" i="9"/>
  <c r="M90" i="9" s="1"/>
  <c r="N90" i="9" s="1"/>
  <c r="O90" i="9" s="1"/>
  <c r="P90" i="9" s="1"/>
  <c r="J64" i="9"/>
  <c r="M64" i="9" s="1"/>
  <c r="N64" i="9" s="1"/>
  <c r="O64" i="9" s="1"/>
  <c r="P64" i="9" s="1"/>
  <c r="J42" i="9"/>
  <c r="M42" i="9" s="1"/>
  <c r="N42" i="9" s="1"/>
  <c r="O42" i="9" s="1"/>
  <c r="P42" i="9" s="1"/>
  <c r="J30" i="9"/>
  <c r="M30" i="9" s="1"/>
  <c r="N30" i="9" s="1"/>
  <c r="O30" i="9" s="1"/>
  <c r="P30" i="9" s="1"/>
  <c r="J80" i="9"/>
  <c r="M80" i="9" s="1"/>
  <c r="N80" i="9" s="1"/>
  <c r="O80" i="9" s="1"/>
  <c r="P80" i="9" s="1"/>
  <c r="J73" i="9"/>
  <c r="M73" i="9" s="1"/>
  <c r="N73" i="9" s="1"/>
  <c r="O73" i="9" s="1"/>
  <c r="P73" i="9" s="1"/>
  <c r="J70" i="9"/>
  <c r="J85" i="9"/>
  <c r="J94" i="9"/>
  <c r="K39" i="9"/>
  <c r="K96" i="9"/>
  <c r="K91" i="9"/>
  <c r="K84" i="9"/>
  <c r="K79" i="9"/>
  <c r="K72" i="9"/>
  <c r="K67" i="9"/>
  <c r="K60" i="9"/>
  <c r="K55" i="9"/>
  <c r="K35" i="9"/>
  <c r="K31" i="9"/>
  <c r="K44" i="9"/>
  <c r="K40" i="9"/>
  <c r="K95" i="9"/>
  <c r="K83" i="9"/>
  <c r="K71" i="9"/>
  <c r="M71" i="9" s="1"/>
  <c r="N71" i="9" s="1"/>
  <c r="O71" i="9" s="1"/>
  <c r="P71" i="9" s="1"/>
  <c r="K59" i="9"/>
  <c r="K42" i="9"/>
  <c r="K75" i="9"/>
  <c r="K98" i="9"/>
  <c r="K88" i="9"/>
  <c r="K78" i="9"/>
  <c r="K50" i="9"/>
  <c r="M50" i="9" s="1"/>
  <c r="N50" i="9" s="1"/>
  <c r="O50" i="9" s="1"/>
  <c r="P50" i="9" s="1"/>
  <c r="K43" i="9"/>
  <c r="K87" i="9"/>
  <c r="K49" i="9"/>
  <c r="K90" i="9"/>
  <c r="K77" i="9"/>
  <c r="K64" i="9"/>
  <c r="K30" i="9"/>
  <c r="K80" i="9"/>
  <c r="K73" i="9"/>
  <c r="K70" i="9"/>
  <c r="K93" i="9"/>
  <c r="J29" i="9"/>
  <c r="M29" i="9" s="1"/>
  <c r="N29" i="9" s="1"/>
  <c r="O29" i="9" s="1"/>
  <c r="P29" i="9" s="1"/>
  <c r="J32" i="9"/>
  <c r="M32" i="9" s="1"/>
  <c r="N32" i="9" s="1"/>
  <c r="O32" i="9" s="1"/>
  <c r="P32" i="9" s="1"/>
  <c r="J68" i="9"/>
  <c r="M68" i="9" s="1"/>
  <c r="N68" i="9" s="1"/>
  <c r="O68" i="9" s="1"/>
  <c r="P68" i="9" s="1"/>
  <c r="J76" i="9"/>
  <c r="J81" i="9"/>
  <c r="K85" i="9"/>
  <c r="K94" i="9"/>
  <c r="M6" i="9"/>
  <c r="P7" i="9" s="1"/>
  <c r="K29" i="9"/>
  <c r="K32" i="9"/>
  <c r="F53" i="9"/>
  <c r="F52" i="9"/>
  <c r="K68" i="9"/>
  <c r="K76" i="9"/>
  <c r="K81" i="9"/>
  <c r="J45" i="9"/>
  <c r="J51" i="9"/>
  <c r="M7" i="9"/>
  <c r="P8" i="9" s="1"/>
  <c r="K45" i="9"/>
  <c r="K51" i="9"/>
  <c r="J86" i="9"/>
  <c r="M86" i="9" s="1"/>
  <c r="N86" i="9" s="1"/>
  <c r="O86" i="9" s="1"/>
  <c r="P86" i="9" s="1"/>
  <c r="K48" i="9"/>
  <c r="J56" i="9"/>
  <c r="M56" i="9" s="1"/>
  <c r="N56" i="9" s="1"/>
  <c r="O56" i="9" s="1"/>
  <c r="P56" i="9" s="1"/>
  <c r="K86" i="9"/>
  <c r="N7" i="9"/>
  <c r="J33" i="9"/>
  <c r="K36" i="9"/>
  <c r="K56" i="9"/>
  <c r="J82" i="9"/>
  <c r="M82" i="9" s="1"/>
  <c r="N82" i="9" s="1"/>
  <c r="O82" i="9" s="1"/>
  <c r="P82" i="9" s="1"/>
  <c r="K33" i="9"/>
  <c r="J52" i="9"/>
  <c r="M52" i="9" s="1"/>
  <c r="N52" i="9" s="1"/>
  <c r="O52" i="9" s="1"/>
  <c r="P52" i="9" s="1"/>
  <c r="K65" i="9"/>
  <c r="K82" i="9"/>
  <c r="M8" i="9"/>
  <c r="P9" i="9" s="1"/>
  <c r="K52" i="9"/>
  <c r="J69" i="9"/>
  <c r="N8" i="9"/>
  <c r="J27" i="9"/>
  <c r="M27" i="9" s="1"/>
  <c r="N27" i="9" s="1"/>
  <c r="O27" i="9" s="1"/>
  <c r="P27" i="9" s="1"/>
  <c r="K69" i="9"/>
  <c r="J78" i="9"/>
  <c r="M78" i="9" s="1"/>
  <c r="N78" i="9" s="1"/>
  <c r="O78" i="9" s="1"/>
  <c r="P78" i="9" s="1"/>
  <c r="J92" i="9"/>
  <c r="M92" i="9" s="1"/>
  <c r="N92" i="9" s="1"/>
  <c r="O92" i="9" s="1"/>
  <c r="P92" i="9" s="1"/>
  <c r="J43" i="9"/>
  <c r="M43" i="9" s="1"/>
  <c r="N43" i="9" s="1"/>
  <c r="O43" i="9" s="1"/>
  <c r="P43" i="9" s="1"/>
  <c r="J46" i="9"/>
  <c r="J57" i="9"/>
  <c r="J74" i="9"/>
  <c r="K92" i="9"/>
  <c r="K46" i="9"/>
  <c r="K53" i="9"/>
  <c r="K57" i="9"/>
  <c r="K74" i="9"/>
  <c r="J66" i="9"/>
  <c r="J97" i="9"/>
  <c r="J34" i="9"/>
  <c r="K37" i="9"/>
  <c r="J62" i="9"/>
  <c r="K66" i="9"/>
  <c r="J88" i="9"/>
  <c r="M88" i="9" s="1"/>
  <c r="N88" i="9" s="1"/>
  <c r="O88" i="9" s="1"/>
  <c r="P88" i="9" s="1"/>
  <c r="K97" i="9"/>
  <c r="K34" i="9"/>
  <c r="K62" i="9"/>
  <c r="F77" i="9"/>
  <c r="F76" i="9"/>
  <c r="J28" i="9"/>
  <c r="K58" i="9"/>
  <c r="M10" i="9"/>
  <c r="P11" i="9" s="1"/>
  <c r="K28" i="9"/>
  <c r="K41" i="9"/>
  <c r="K47" i="9"/>
  <c r="J54" i="9"/>
  <c r="M54" i="9" s="1"/>
  <c r="N54" i="9" s="1"/>
  <c r="O54" i="9" s="1"/>
  <c r="P54" i="9" s="1"/>
  <c r="F65" i="9"/>
  <c r="F64" i="9"/>
  <c r="K89" i="9"/>
  <c r="J93" i="9"/>
  <c r="J98" i="9"/>
  <c r="M98" i="9" s="1"/>
  <c r="N98" i="9" s="1"/>
  <c r="O98" i="9" s="1"/>
  <c r="P98" i="9" s="1"/>
  <c r="F89" i="9"/>
  <c r="F88" i="9"/>
  <c r="M35" i="8"/>
  <c r="N35" i="8" s="1"/>
  <c r="O35" i="8" s="1"/>
  <c r="P35" i="8" s="1"/>
  <c r="J89" i="8"/>
  <c r="J77" i="8"/>
  <c r="J65" i="8"/>
  <c r="M65" i="8" s="1"/>
  <c r="N65" i="8" s="1"/>
  <c r="O65" i="8" s="1"/>
  <c r="J53" i="8"/>
  <c r="M53" i="8" s="1"/>
  <c r="N53" i="8" s="1"/>
  <c r="O53" i="8" s="1"/>
  <c r="P53" i="8" s="1"/>
  <c r="J41" i="8"/>
  <c r="M41" i="8" s="1"/>
  <c r="N41" i="8" s="1"/>
  <c r="O41" i="8" s="1"/>
  <c r="P41" i="8" s="1"/>
  <c r="J37" i="8"/>
  <c r="J39" i="8"/>
  <c r="J96" i="8"/>
  <c r="J91" i="8"/>
  <c r="J84" i="8"/>
  <c r="J79" i="8"/>
  <c r="M79" i="8" s="1"/>
  <c r="N79" i="8" s="1"/>
  <c r="O79" i="8" s="1"/>
  <c r="P79" i="8" s="1"/>
  <c r="J72" i="8"/>
  <c r="M72" i="8" s="1"/>
  <c r="N72" i="8" s="1"/>
  <c r="O72" i="8" s="1"/>
  <c r="P72" i="8" s="1"/>
  <c r="J67" i="8"/>
  <c r="J60" i="8"/>
  <c r="J55" i="8"/>
  <c r="J38" i="8"/>
  <c r="J34" i="8"/>
  <c r="J97" i="8"/>
  <c r="J90" i="8"/>
  <c r="J85" i="8"/>
  <c r="J78" i="8"/>
  <c r="J73" i="8"/>
  <c r="J66" i="8"/>
  <c r="J61" i="8"/>
  <c r="J54" i="8"/>
  <c r="J36" i="8"/>
  <c r="J46" i="8"/>
  <c r="M46" i="8" s="1"/>
  <c r="N46" i="8" s="1"/>
  <c r="O46" i="8" s="1"/>
  <c r="P46" i="8" s="1"/>
  <c r="J44" i="8"/>
  <c r="M44" i="8" s="1"/>
  <c r="N44" i="8" s="1"/>
  <c r="O44" i="8" s="1"/>
  <c r="P44" i="8" s="1"/>
  <c r="J98" i="8"/>
  <c r="M98" i="8" s="1"/>
  <c r="N98" i="8" s="1"/>
  <c r="O98" i="8" s="1"/>
  <c r="P98" i="8" s="1"/>
  <c r="J51" i="8"/>
  <c r="M51" i="8" s="1"/>
  <c r="N51" i="8" s="1"/>
  <c r="O51" i="8" s="1"/>
  <c r="P51" i="8" s="1"/>
  <c r="J27" i="8"/>
  <c r="M27" i="8" s="1"/>
  <c r="N27" i="8" s="1"/>
  <c r="O27" i="8" s="1"/>
  <c r="P27" i="8" s="1"/>
  <c r="J74" i="8"/>
  <c r="M74" i="8" s="1"/>
  <c r="N74" i="8" s="1"/>
  <c r="O74" i="8" s="1"/>
  <c r="P74" i="8" s="1"/>
  <c r="J57" i="8"/>
  <c r="J48" i="8"/>
  <c r="J87" i="8"/>
  <c r="J80" i="8"/>
  <c r="J95" i="8"/>
  <c r="J88" i="8"/>
  <c r="J32" i="8"/>
  <c r="J81" i="8"/>
  <c r="M81" i="8" s="1"/>
  <c r="N81" i="8" s="1"/>
  <c r="O81" i="8" s="1"/>
  <c r="P81" i="8" s="1"/>
  <c r="J71" i="8"/>
  <c r="M71" i="8" s="1"/>
  <c r="N71" i="8" s="1"/>
  <c r="O71" i="8" s="1"/>
  <c r="P71" i="8" s="1"/>
  <c r="J64" i="8"/>
  <c r="M64" i="8" s="1"/>
  <c r="N64" i="8" s="1"/>
  <c r="O64" i="8" s="1"/>
  <c r="P64" i="8" s="1"/>
  <c r="J94" i="8"/>
  <c r="J29" i="8"/>
  <c r="M29" i="8" s="1"/>
  <c r="N29" i="8" s="1"/>
  <c r="O29" i="8" s="1"/>
  <c r="P29" i="8" s="1"/>
  <c r="J70" i="8"/>
  <c r="M8" i="8"/>
  <c r="P9" i="8" s="1"/>
  <c r="J43" i="8"/>
  <c r="J31" i="8"/>
  <c r="M31" i="8" s="1"/>
  <c r="N31" i="8" s="1"/>
  <c r="O31" i="8" s="1"/>
  <c r="K39" i="8"/>
  <c r="K96" i="8"/>
  <c r="K91" i="8"/>
  <c r="K84" i="8"/>
  <c r="K79" i="8"/>
  <c r="K72" i="8"/>
  <c r="K67" i="8"/>
  <c r="K60" i="8"/>
  <c r="K55" i="8"/>
  <c r="K35" i="8"/>
  <c r="K31" i="8"/>
  <c r="K97" i="8"/>
  <c r="K90" i="8"/>
  <c r="K85" i="8"/>
  <c r="K78" i="8"/>
  <c r="K73" i="8"/>
  <c r="K66" i="8"/>
  <c r="K61" i="8"/>
  <c r="K54" i="8"/>
  <c r="K36" i="8"/>
  <c r="K32" i="8"/>
  <c r="K28" i="8"/>
  <c r="K95" i="8"/>
  <c r="K88" i="8"/>
  <c r="K46" i="8"/>
  <c r="K44" i="8"/>
  <c r="K98" i="8"/>
  <c r="K51" i="8"/>
  <c r="K81" i="8"/>
  <c r="K71" i="8"/>
  <c r="K64" i="8"/>
  <c r="K57" i="8"/>
  <c r="K48" i="8"/>
  <c r="K29" i="8"/>
  <c r="K77" i="8"/>
  <c r="K41" i="8"/>
  <c r="K27" i="8"/>
  <c r="K74" i="8"/>
  <c r="K94" i="8"/>
  <c r="K34" i="8"/>
  <c r="K70" i="8"/>
  <c r="K87" i="8"/>
  <c r="K80" i="8"/>
  <c r="K43" i="8"/>
  <c r="K50" i="8"/>
  <c r="M50" i="8" s="1"/>
  <c r="N50" i="8" s="1"/>
  <c r="O50" i="8" s="1"/>
  <c r="P50" i="8" s="1"/>
  <c r="J45" i="8"/>
  <c r="J49" i="8"/>
  <c r="K53" i="8"/>
  <c r="J92" i="8"/>
  <c r="J42" i="8"/>
  <c r="K45" i="8"/>
  <c r="K49" i="8"/>
  <c r="J59" i="8"/>
  <c r="K65" i="8"/>
  <c r="K92" i="8"/>
  <c r="J30" i="8"/>
  <c r="K38" i="8"/>
  <c r="K42" i="8"/>
  <c r="K59" i="8"/>
  <c r="J86" i="8"/>
  <c r="K30" i="8"/>
  <c r="K86" i="8"/>
  <c r="M6" i="8"/>
  <c r="P7" i="8" s="1"/>
  <c r="J76" i="8"/>
  <c r="M76" i="8" s="1"/>
  <c r="N76" i="8" s="1"/>
  <c r="O76" i="8" s="1"/>
  <c r="P76" i="8" s="1"/>
  <c r="F95" i="8"/>
  <c r="F94" i="8"/>
  <c r="K76" i="8"/>
  <c r="J93" i="8"/>
  <c r="J82" i="8"/>
  <c r="M82" i="8" s="1"/>
  <c r="N82" i="8" s="1"/>
  <c r="O82" i="8" s="1"/>
  <c r="P82" i="8" s="1"/>
  <c r="F89" i="8"/>
  <c r="F88" i="8"/>
  <c r="K93" i="8"/>
  <c r="F73" i="8"/>
  <c r="F74" i="8"/>
  <c r="M7" i="8"/>
  <c r="P8" i="8" s="1"/>
  <c r="J47" i="8"/>
  <c r="K47" i="8"/>
  <c r="J83" i="8"/>
  <c r="K89" i="8"/>
  <c r="N8" i="8"/>
  <c r="F31" i="8"/>
  <c r="K83" i="8"/>
  <c r="M9" i="8"/>
  <c r="P10" i="8" s="1"/>
  <c r="J40" i="8"/>
  <c r="M40" i="8" s="1"/>
  <c r="N40" i="8" s="1"/>
  <c r="O40" i="8" s="1"/>
  <c r="P40" i="8" s="1"/>
  <c r="J56" i="8"/>
  <c r="N9" i="8"/>
  <c r="K40" i="8"/>
  <c r="K56" i="8"/>
  <c r="J62" i="8"/>
  <c r="J68" i="8"/>
  <c r="F97" i="8"/>
  <c r="F98" i="8"/>
  <c r="J28" i="8"/>
  <c r="F37" i="8"/>
  <c r="F38" i="8"/>
  <c r="K62" i="8"/>
  <c r="K68" i="8"/>
  <c r="K37" i="8"/>
  <c r="J52" i="8"/>
  <c r="M10" i="8"/>
  <c r="P11" i="8" s="1"/>
  <c r="K52" i="8"/>
  <c r="N10" i="8"/>
  <c r="J58" i="8"/>
  <c r="M58" i="8" s="1"/>
  <c r="N58" i="8" s="1"/>
  <c r="O58" i="8" s="1"/>
  <c r="P58" i="8" s="1"/>
  <c r="F65" i="8"/>
  <c r="F64" i="8"/>
  <c r="F71" i="8"/>
  <c r="F70" i="8"/>
  <c r="J75" i="8"/>
  <c r="M75" i="8" s="1"/>
  <c r="N75" i="8" s="1"/>
  <c r="O75" i="8" s="1"/>
  <c r="P75" i="8" s="1"/>
  <c r="P94" i="7"/>
  <c r="J89" i="7"/>
  <c r="J77" i="7"/>
  <c r="J65" i="7"/>
  <c r="J53" i="7"/>
  <c r="J41" i="7"/>
  <c r="M41" i="7" s="1"/>
  <c r="N41" i="7" s="1"/>
  <c r="O41" i="7" s="1"/>
  <c r="P41" i="7" s="1"/>
  <c r="J37" i="7"/>
  <c r="J96" i="7"/>
  <c r="J91" i="7"/>
  <c r="J84" i="7"/>
  <c r="M84" i="7" s="1"/>
  <c r="N84" i="7" s="1"/>
  <c r="O84" i="7" s="1"/>
  <c r="P84" i="7" s="1"/>
  <c r="J79" i="7"/>
  <c r="M79" i="7" s="1"/>
  <c r="N79" i="7" s="1"/>
  <c r="O79" i="7" s="1"/>
  <c r="P79" i="7" s="1"/>
  <c r="J72" i="7"/>
  <c r="M72" i="7" s="1"/>
  <c r="N72" i="7" s="1"/>
  <c r="O72" i="7" s="1"/>
  <c r="P72" i="7" s="1"/>
  <c r="J67" i="7"/>
  <c r="M67" i="7" s="1"/>
  <c r="N67" i="7" s="1"/>
  <c r="O67" i="7" s="1"/>
  <c r="P67" i="7" s="1"/>
  <c r="J60" i="7"/>
  <c r="M60" i="7" s="1"/>
  <c r="N60" i="7" s="1"/>
  <c r="O60" i="7" s="1"/>
  <c r="P60" i="7" s="1"/>
  <c r="J55" i="7"/>
  <c r="J35" i="7"/>
  <c r="J31" i="7"/>
  <c r="J33" i="7"/>
  <c r="J86" i="7"/>
  <c r="J74" i="7"/>
  <c r="J39" i="7"/>
  <c r="J29" i="7"/>
  <c r="J98" i="7"/>
  <c r="J95" i="7"/>
  <c r="M95" i="7" s="1"/>
  <c r="N95" i="7" s="1"/>
  <c r="O95" i="7" s="1"/>
  <c r="P95" i="7" s="1"/>
  <c r="J52" i="7"/>
  <c r="J42" i="7"/>
  <c r="M42" i="7" s="1"/>
  <c r="N42" i="7" s="1"/>
  <c r="O42" i="7" s="1"/>
  <c r="P42" i="7" s="1"/>
  <c r="J75" i="7"/>
  <c r="M75" i="7" s="1"/>
  <c r="N75" i="7" s="1"/>
  <c r="O75" i="7" s="1"/>
  <c r="P75" i="7" s="1"/>
  <c r="J47" i="7"/>
  <c r="M47" i="7" s="1"/>
  <c r="N47" i="7" s="1"/>
  <c r="O47" i="7" s="1"/>
  <c r="P47" i="7" s="1"/>
  <c r="J32" i="7"/>
  <c r="M32" i="7" s="1"/>
  <c r="N32" i="7" s="1"/>
  <c r="O32" i="7" s="1"/>
  <c r="P32" i="7" s="1"/>
  <c r="J81" i="7"/>
  <c r="J68" i="7"/>
  <c r="M68" i="7" s="1"/>
  <c r="N68" i="7" s="1"/>
  <c r="O68" i="7" s="1"/>
  <c r="P68" i="7" s="1"/>
  <c r="J64" i="7"/>
  <c r="J34" i="7"/>
  <c r="J71" i="7"/>
  <c r="M71" i="7" s="1"/>
  <c r="N71" i="7" s="1"/>
  <c r="O71" i="7" s="1"/>
  <c r="P71" i="7" s="1"/>
  <c r="J78" i="7"/>
  <c r="J61" i="7"/>
  <c r="J49" i="7"/>
  <c r="J44" i="7"/>
  <c r="M44" i="7" s="1"/>
  <c r="N44" i="7" s="1"/>
  <c r="O44" i="7" s="1"/>
  <c r="P44" i="7" s="1"/>
  <c r="J76" i="7"/>
  <c r="F91" i="7"/>
  <c r="F92" i="7"/>
  <c r="K42" i="7"/>
  <c r="J69" i="7"/>
  <c r="M6" i="7"/>
  <c r="P7" i="7" s="1"/>
  <c r="F31" i="7"/>
  <c r="F32" i="7"/>
  <c r="K69" i="7"/>
  <c r="J30" i="7"/>
  <c r="J36" i="7"/>
  <c r="M36" i="7" s="1"/>
  <c r="N36" i="7" s="1"/>
  <c r="O36" i="7" s="1"/>
  <c r="P36" i="7" s="1"/>
  <c r="K53" i="7"/>
  <c r="K82" i="7"/>
  <c r="F70" i="7"/>
  <c r="J57" i="7"/>
  <c r="M57" i="7" s="1"/>
  <c r="N57" i="7" s="1"/>
  <c r="O57" i="7" s="1"/>
  <c r="P57" i="7" s="1"/>
  <c r="J43" i="7"/>
  <c r="M43" i="7" s="1"/>
  <c r="N43" i="7" s="1"/>
  <c r="O43" i="7" s="1"/>
  <c r="P43" i="7" s="1"/>
  <c r="F67" i="7"/>
  <c r="F68" i="7"/>
  <c r="K87" i="7"/>
  <c r="J40" i="7"/>
  <c r="K66" i="7"/>
  <c r="K40" i="7"/>
  <c r="J46" i="7"/>
  <c r="M46" i="7" s="1"/>
  <c r="N46" i="7" s="1"/>
  <c r="O46" i="7" s="1"/>
  <c r="P46" i="7" s="1"/>
  <c r="R45" i="7" s="1"/>
  <c r="F50" i="7"/>
  <c r="J83" i="7"/>
  <c r="M83" i="7" s="1"/>
  <c r="N83" i="7" s="1"/>
  <c r="O83" i="7" s="1"/>
  <c r="P83" i="7" s="1"/>
  <c r="J50" i="7"/>
  <c r="M50" i="7" s="1"/>
  <c r="N50" i="7" s="1"/>
  <c r="O50" i="7" s="1"/>
  <c r="P50" i="7" s="1"/>
  <c r="J62" i="7"/>
  <c r="F53" i="7"/>
  <c r="F52" i="7"/>
  <c r="K39" i="7"/>
  <c r="K29" i="7"/>
  <c r="K86" i="7"/>
  <c r="K62" i="7"/>
  <c r="K27" i="7"/>
  <c r="K96" i="7"/>
  <c r="K91" i="7"/>
  <c r="K84" i="7"/>
  <c r="K79" i="7"/>
  <c r="K72" i="7"/>
  <c r="K67" i="7"/>
  <c r="K60" i="7"/>
  <c r="K55" i="7"/>
  <c r="K35" i="7"/>
  <c r="K31" i="7"/>
  <c r="K33" i="7"/>
  <c r="K98" i="7"/>
  <c r="K74" i="7"/>
  <c r="K75" i="7"/>
  <c r="K47" i="7"/>
  <c r="K32" i="7"/>
  <c r="K78" i="7"/>
  <c r="K65" i="7"/>
  <c r="K37" i="7"/>
  <c r="K81" i="7"/>
  <c r="K64" i="7"/>
  <c r="K34" i="7"/>
  <c r="K71" i="7"/>
  <c r="K44" i="7"/>
  <c r="K58" i="7"/>
  <c r="K46" i="7"/>
  <c r="K68" i="7"/>
  <c r="K61" i="7"/>
  <c r="K49" i="7"/>
  <c r="K97" i="7"/>
  <c r="J48" i="7"/>
  <c r="K76" i="7"/>
  <c r="J90" i="7"/>
  <c r="K48" i="7"/>
  <c r="K77" i="7"/>
  <c r="K90" i="7"/>
  <c r="K52" i="7"/>
  <c r="J73" i="7"/>
  <c r="K73" i="7"/>
  <c r="J82" i="7"/>
  <c r="M82" i="7" s="1"/>
  <c r="N82" i="7" s="1"/>
  <c r="O82" i="7" s="1"/>
  <c r="P82" i="7" s="1"/>
  <c r="M7" i="7"/>
  <c r="P8" i="7" s="1"/>
  <c r="K30" i="7"/>
  <c r="K36" i="7"/>
  <c r="J92" i="7"/>
  <c r="N7" i="7"/>
  <c r="J70" i="7"/>
  <c r="F89" i="7"/>
  <c r="F88" i="7"/>
  <c r="K92" i="7"/>
  <c r="K57" i="7"/>
  <c r="K70" i="7"/>
  <c r="J87" i="7"/>
  <c r="M87" i="7" s="1"/>
  <c r="N87" i="7" s="1"/>
  <c r="O87" i="7" s="1"/>
  <c r="P87" i="7" s="1"/>
  <c r="J27" i="7"/>
  <c r="K43" i="7"/>
  <c r="J66" i="7"/>
  <c r="M66" i="7" s="1"/>
  <c r="N66" i="7" s="1"/>
  <c r="O66" i="7" s="1"/>
  <c r="P66" i="7" s="1"/>
  <c r="M8" i="7"/>
  <c r="P9" i="7" s="1"/>
  <c r="N8" i="7"/>
  <c r="F58" i="7"/>
  <c r="J54" i="7"/>
  <c r="M54" i="7" s="1"/>
  <c r="N54" i="7" s="1"/>
  <c r="O54" i="7" s="1"/>
  <c r="P54" i="7" s="1"/>
  <c r="J58" i="7"/>
  <c r="M58" i="7" s="1"/>
  <c r="N58" i="7" s="1"/>
  <c r="O58" i="7" s="1"/>
  <c r="P58" i="7" s="1"/>
  <c r="J88" i="7"/>
  <c r="M88" i="7" s="1"/>
  <c r="N88" i="7" s="1"/>
  <c r="O88" i="7" s="1"/>
  <c r="P88" i="7" s="1"/>
  <c r="M9" i="7"/>
  <c r="P10" i="7" s="1"/>
  <c r="K50" i="7"/>
  <c r="K54" i="7"/>
  <c r="K88" i="7"/>
  <c r="J97" i="7"/>
  <c r="N9" i="7"/>
  <c r="J59" i="7"/>
  <c r="M59" i="7" s="1"/>
  <c r="N59" i="7" s="1"/>
  <c r="O59" i="7" s="1"/>
  <c r="P59" i="7" s="1"/>
  <c r="F65" i="7"/>
  <c r="F64" i="7"/>
  <c r="K89" i="7"/>
  <c r="J93" i="7"/>
  <c r="M93" i="7" s="1"/>
  <c r="N93" i="7" s="1"/>
  <c r="O93" i="7" s="1"/>
  <c r="P93" i="7" s="1"/>
  <c r="K39" i="6"/>
  <c r="K96" i="6"/>
  <c r="K91" i="6"/>
  <c r="K84" i="6"/>
  <c r="K79" i="6"/>
  <c r="K72" i="6"/>
  <c r="K67" i="6"/>
  <c r="K60" i="6"/>
  <c r="K55" i="6"/>
  <c r="K35" i="6"/>
  <c r="K31" i="6"/>
  <c r="K86" i="6"/>
  <c r="K33" i="6"/>
  <c r="K29" i="6"/>
  <c r="K98" i="6"/>
  <c r="K74" i="6"/>
  <c r="K62" i="6"/>
  <c r="K27" i="6"/>
  <c r="K75" i="6"/>
  <c r="K59" i="6"/>
  <c r="K56" i="6"/>
  <c r="K53" i="6"/>
  <c r="K30" i="6"/>
  <c r="K78" i="6"/>
  <c r="K81" i="6"/>
  <c r="K52" i="6"/>
  <c r="K42" i="6"/>
  <c r="K71" i="6"/>
  <c r="K68" i="6"/>
  <c r="K65" i="6"/>
  <c r="K47" i="6"/>
  <c r="K93" i="6"/>
  <c r="K48" i="6"/>
  <c r="K32" i="6"/>
  <c r="K80" i="6"/>
  <c r="K45" i="6"/>
  <c r="K51" i="6"/>
  <c r="K63" i="6"/>
  <c r="K34" i="6"/>
  <c r="N10" i="6"/>
  <c r="K92" i="6"/>
  <c r="K58" i="6"/>
  <c r="K50" i="6"/>
  <c r="K66" i="6"/>
  <c r="K49" i="6"/>
  <c r="K95" i="6"/>
  <c r="K97" i="6"/>
  <c r="K88" i="6"/>
  <c r="K41" i="6"/>
  <c r="K87" i="6"/>
  <c r="K54" i="6"/>
  <c r="K61" i="6"/>
  <c r="K40" i="6"/>
  <c r="K89" i="6"/>
  <c r="K44" i="6"/>
  <c r="K83" i="6"/>
  <c r="K38" i="6"/>
  <c r="K28" i="6"/>
  <c r="K46" i="6"/>
  <c r="K37" i="6"/>
  <c r="K70" i="6"/>
  <c r="K82" i="6"/>
  <c r="K90" i="6"/>
  <c r="K85" i="6"/>
  <c r="K73" i="6"/>
  <c r="K94" i="6"/>
  <c r="K43" i="6"/>
  <c r="K36" i="6"/>
  <c r="K57" i="6"/>
  <c r="M57" i="6" s="1"/>
  <c r="N57" i="6" s="1"/>
  <c r="O57" i="6" s="1"/>
  <c r="P57" i="6" s="1"/>
  <c r="K76" i="6"/>
  <c r="K69" i="6"/>
  <c r="M69" i="6" s="1"/>
  <c r="N69" i="6" s="1"/>
  <c r="O69" i="6" s="1"/>
  <c r="P69" i="6" s="1"/>
  <c r="K64" i="6"/>
  <c r="K77" i="6"/>
  <c r="M73" i="6"/>
  <c r="N73" i="6" s="1"/>
  <c r="O73" i="6" s="1"/>
  <c r="P73" i="6" s="1"/>
  <c r="J90" i="6"/>
  <c r="M90" i="6" s="1"/>
  <c r="N90" i="6" s="1"/>
  <c r="O90" i="6" s="1"/>
  <c r="P90" i="6" s="1"/>
  <c r="J36" i="6"/>
  <c r="M36" i="6" s="1"/>
  <c r="N36" i="6" s="1"/>
  <c r="O36" i="6" s="1"/>
  <c r="P36" i="6" s="1"/>
  <c r="J49" i="6"/>
  <c r="M49" i="6" s="1"/>
  <c r="N49" i="6" s="1"/>
  <c r="O49" i="6" s="1"/>
  <c r="P49" i="6" s="1"/>
  <c r="J43" i="6"/>
  <c r="M43" i="6" s="1"/>
  <c r="N43" i="6" s="1"/>
  <c r="O43" i="6" s="1"/>
  <c r="P43" i="6" s="1"/>
  <c r="J82" i="6"/>
  <c r="M82" i="6" s="1"/>
  <c r="N82" i="6" s="1"/>
  <c r="O82" i="6" s="1"/>
  <c r="P82" i="6" s="1"/>
  <c r="F71" i="6"/>
  <c r="F70" i="6"/>
  <c r="F91" i="6"/>
  <c r="F92" i="6"/>
  <c r="N6" i="6"/>
  <c r="F59" i="6"/>
  <c r="F58" i="6"/>
  <c r="J89" i="6"/>
  <c r="J77" i="6"/>
  <c r="J65" i="6"/>
  <c r="M65" i="6" s="1"/>
  <c r="N65" i="6" s="1"/>
  <c r="O65" i="6" s="1"/>
  <c r="P65" i="6" s="1"/>
  <c r="J53" i="6"/>
  <c r="M53" i="6" s="1"/>
  <c r="N53" i="6" s="1"/>
  <c r="O53" i="6" s="1"/>
  <c r="P53" i="6" s="1"/>
  <c r="J41" i="6"/>
  <c r="M41" i="6" s="1"/>
  <c r="N41" i="6" s="1"/>
  <c r="O41" i="6" s="1"/>
  <c r="P41" i="6" s="1"/>
  <c r="J37" i="6"/>
  <c r="M37" i="6" s="1"/>
  <c r="N37" i="6" s="1"/>
  <c r="O37" i="6" s="1"/>
  <c r="P37" i="6" s="1"/>
  <c r="J39" i="6"/>
  <c r="M39" i="6" s="1"/>
  <c r="N39" i="6" s="1"/>
  <c r="O39" i="6" s="1"/>
  <c r="P39" i="6" s="1"/>
  <c r="J29" i="6"/>
  <c r="M29" i="6" s="1"/>
  <c r="N29" i="6" s="1"/>
  <c r="O29" i="6" s="1"/>
  <c r="P29" i="6" s="1"/>
  <c r="J86" i="6"/>
  <c r="M86" i="6" s="1"/>
  <c r="N86" i="6" s="1"/>
  <c r="O86" i="6" s="1"/>
  <c r="P86" i="6" s="1"/>
  <c r="J74" i="6"/>
  <c r="M74" i="6" s="1"/>
  <c r="N74" i="6" s="1"/>
  <c r="O74" i="6" s="1"/>
  <c r="P74" i="6" s="1"/>
  <c r="J96" i="6"/>
  <c r="M96" i="6" s="1"/>
  <c r="N96" i="6" s="1"/>
  <c r="O96" i="6" s="1"/>
  <c r="P96" i="6" s="1"/>
  <c r="J91" i="6"/>
  <c r="M91" i="6" s="1"/>
  <c r="N91" i="6" s="1"/>
  <c r="O91" i="6" s="1"/>
  <c r="P91" i="6" s="1"/>
  <c r="J84" i="6"/>
  <c r="J79" i="6"/>
  <c r="J72" i="6"/>
  <c r="J67" i="6"/>
  <c r="J60" i="6"/>
  <c r="J55" i="6"/>
  <c r="J35" i="6"/>
  <c r="J31" i="6"/>
  <c r="J33" i="6"/>
  <c r="J98" i="6"/>
  <c r="J95" i="6"/>
  <c r="M95" i="6" s="1"/>
  <c r="N95" i="6" s="1"/>
  <c r="O95" i="6" s="1"/>
  <c r="P95" i="6" s="1"/>
  <c r="J45" i="6"/>
  <c r="J56" i="6"/>
  <c r="M56" i="6" s="1"/>
  <c r="N56" i="6" s="1"/>
  <c r="O56" i="6" s="1"/>
  <c r="J30" i="6"/>
  <c r="M30" i="6" s="1"/>
  <c r="N30" i="6" s="1"/>
  <c r="O30" i="6" s="1"/>
  <c r="P30" i="6" s="1"/>
  <c r="J75" i="6"/>
  <c r="J59" i="6"/>
  <c r="M59" i="6" s="1"/>
  <c r="N59" i="6" s="1"/>
  <c r="O59" i="6" s="1"/>
  <c r="P59" i="6" s="1"/>
  <c r="J78" i="6"/>
  <c r="M78" i="6" s="1"/>
  <c r="N78" i="6" s="1"/>
  <c r="O78" i="6" s="1"/>
  <c r="P78" i="6" s="1"/>
  <c r="J27" i="6"/>
  <c r="J81" i="6"/>
  <c r="M81" i="6" s="1"/>
  <c r="N81" i="6" s="1"/>
  <c r="O81" i="6" s="1"/>
  <c r="P81" i="6" s="1"/>
  <c r="J52" i="6"/>
  <c r="M52" i="6" s="1"/>
  <c r="N52" i="6" s="1"/>
  <c r="O52" i="6" s="1"/>
  <c r="P52" i="6" s="1"/>
  <c r="J42" i="6"/>
  <c r="J71" i="6"/>
  <c r="J68" i="6"/>
  <c r="J47" i="6"/>
  <c r="J76" i="6"/>
  <c r="M6" i="6"/>
  <c r="P7" i="6" s="1"/>
  <c r="J97" i="6"/>
  <c r="J48" i="6"/>
  <c r="J32" i="6"/>
  <c r="J51" i="6"/>
  <c r="J44" i="6"/>
  <c r="J83" i="6"/>
  <c r="J38" i="6"/>
  <c r="J92" i="6"/>
  <c r="M92" i="6" s="1"/>
  <c r="N92" i="6" s="1"/>
  <c r="O92" i="6" s="1"/>
  <c r="P92" i="6" s="1"/>
  <c r="J28" i="6"/>
  <c r="J62" i="6"/>
  <c r="J50" i="6"/>
  <c r="M50" i="6" s="1"/>
  <c r="N50" i="6" s="1"/>
  <c r="O50" i="6" s="1"/>
  <c r="P50" i="6" s="1"/>
  <c r="J46" i="6"/>
  <c r="J70" i="6"/>
  <c r="M70" i="6" s="1"/>
  <c r="N70" i="6" s="1"/>
  <c r="O70" i="6" s="1"/>
  <c r="P70" i="6" s="1"/>
  <c r="J93" i="6"/>
  <c r="M93" i="6" s="1"/>
  <c r="N93" i="6" s="1"/>
  <c r="O93" i="6" s="1"/>
  <c r="P93" i="6" s="1"/>
  <c r="J88" i="6"/>
  <c r="J63" i="6"/>
  <c r="M10" i="6"/>
  <c r="P11" i="6" s="1"/>
  <c r="J87" i="6"/>
  <c r="J58" i="6"/>
  <c r="M58" i="6" s="1"/>
  <c r="N58" i="6" s="1"/>
  <c r="O58" i="6" s="1"/>
  <c r="J40" i="6"/>
  <c r="J80" i="6"/>
  <c r="J34" i="6"/>
  <c r="J54" i="6"/>
  <c r="J66" i="6"/>
  <c r="M66" i="6" s="1"/>
  <c r="N66" i="6" s="1"/>
  <c r="O66" i="6" s="1"/>
  <c r="P66" i="6" s="1"/>
  <c r="J61" i="6"/>
  <c r="J94" i="6"/>
  <c r="M94" i="6" s="1"/>
  <c r="N94" i="6" s="1"/>
  <c r="O94" i="6" s="1"/>
  <c r="P94" i="6" s="1"/>
  <c r="J85" i="6"/>
  <c r="M85" i="6" s="1"/>
  <c r="N85" i="6" s="1"/>
  <c r="O85" i="6" s="1"/>
  <c r="P85" i="6" s="1"/>
  <c r="J64" i="6"/>
  <c r="M64" i="6" s="1"/>
  <c r="N64" i="6" s="1"/>
  <c r="O64" i="6" s="1"/>
  <c r="P64" i="6" s="1"/>
  <c r="N8" i="6"/>
  <c r="M8" i="6"/>
  <c r="P9" i="6" s="1"/>
  <c r="F89" i="6"/>
  <c r="F88" i="6"/>
  <c r="F55" i="6"/>
  <c r="F56" i="6"/>
  <c r="N9" i="6"/>
  <c r="F53" i="6"/>
  <c r="F52" i="6"/>
  <c r="F68" i="6"/>
  <c r="M9" i="6"/>
  <c r="P10" i="6" s="1"/>
  <c r="F34" i="5"/>
  <c r="F35" i="5"/>
  <c r="P33" i="5"/>
  <c r="F31" i="5"/>
  <c r="F32" i="5"/>
  <c r="F73" i="5"/>
  <c r="F74" i="5"/>
  <c r="J89" i="5"/>
  <c r="J77" i="5"/>
  <c r="J65" i="5"/>
  <c r="M65" i="5" s="1"/>
  <c r="N65" i="5" s="1"/>
  <c r="O65" i="5" s="1"/>
  <c r="P65" i="5" s="1"/>
  <c r="J53" i="5"/>
  <c r="M53" i="5" s="1"/>
  <c r="N53" i="5" s="1"/>
  <c r="O53" i="5" s="1"/>
  <c r="P53" i="5" s="1"/>
  <c r="J41" i="5"/>
  <c r="J37" i="5"/>
  <c r="J39" i="5"/>
  <c r="M39" i="5" s="1"/>
  <c r="N39" i="5" s="1"/>
  <c r="O39" i="5" s="1"/>
  <c r="P39" i="5" s="1"/>
  <c r="J96" i="5"/>
  <c r="M96" i="5" s="1"/>
  <c r="N96" i="5" s="1"/>
  <c r="O96" i="5" s="1"/>
  <c r="P96" i="5" s="1"/>
  <c r="J91" i="5"/>
  <c r="J84" i="5"/>
  <c r="J79" i="5"/>
  <c r="J72" i="5"/>
  <c r="J67" i="5"/>
  <c r="M67" i="5" s="1"/>
  <c r="N67" i="5" s="1"/>
  <c r="O67" i="5" s="1"/>
  <c r="P67" i="5" s="1"/>
  <c r="J60" i="5"/>
  <c r="M60" i="5" s="1"/>
  <c r="N60" i="5" s="1"/>
  <c r="O60" i="5" s="1"/>
  <c r="P60" i="5" s="1"/>
  <c r="J55" i="5"/>
  <c r="M55" i="5" s="1"/>
  <c r="N55" i="5" s="1"/>
  <c r="O55" i="5" s="1"/>
  <c r="P55" i="5" s="1"/>
  <c r="J38" i="5"/>
  <c r="J34" i="5"/>
  <c r="M34" i="5" s="1"/>
  <c r="N34" i="5" s="1"/>
  <c r="O34" i="5" s="1"/>
  <c r="P34" i="5" s="1"/>
  <c r="J97" i="5"/>
  <c r="M97" i="5" s="1"/>
  <c r="N97" i="5" s="1"/>
  <c r="O97" i="5" s="1"/>
  <c r="J90" i="5"/>
  <c r="M90" i="5" s="1"/>
  <c r="N90" i="5" s="1"/>
  <c r="O90" i="5" s="1"/>
  <c r="P90" i="5" s="1"/>
  <c r="J85" i="5"/>
  <c r="M85" i="5" s="1"/>
  <c r="N85" i="5" s="1"/>
  <c r="O85" i="5" s="1"/>
  <c r="P85" i="5" s="1"/>
  <c r="J78" i="5"/>
  <c r="M78" i="5" s="1"/>
  <c r="N78" i="5" s="1"/>
  <c r="O78" i="5" s="1"/>
  <c r="P78" i="5" s="1"/>
  <c r="J73" i="5"/>
  <c r="M73" i="5" s="1"/>
  <c r="N73" i="5" s="1"/>
  <c r="O73" i="5" s="1"/>
  <c r="P73" i="5" s="1"/>
  <c r="J66" i="5"/>
  <c r="M66" i="5" s="1"/>
  <c r="N66" i="5" s="1"/>
  <c r="O66" i="5" s="1"/>
  <c r="P66" i="5" s="1"/>
  <c r="J61" i="5"/>
  <c r="M61" i="5" s="1"/>
  <c r="N61" i="5" s="1"/>
  <c r="O61" i="5" s="1"/>
  <c r="P61" i="5" s="1"/>
  <c r="J54" i="5"/>
  <c r="M54" i="5" s="1"/>
  <c r="N54" i="5" s="1"/>
  <c r="O54" i="5" s="1"/>
  <c r="P54" i="5" s="1"/>
  <c r="J36" i="5"/>
  <c r="M36" i="5" s="1"/>
  <c r="N36" i="5" s="1"/>
  <c r="O36" i="5" s="1"/>
  <c r="P36" i="5" s="1"/>
  <c r="J27" i="5"/>
  <c r="M27" i="5" s="1"/>
  <c r="N27" i="5" s="1"/>
  <c r="O27" i="5" s="1"/>
  <c r="P27" i="5" s="1"/>
  <c r="J95" i="5"/>
  <c r="M95" i="5" s="1"/>
  <c r="N95" i="5" s="1"/>
  <c r="O95" i="5" s="1"/>
  <c r="P95" i="5" s="1"/>
  <c r="J88" i="5"/>
  <c r="J51" i="5"/>
  <c r="J98" i="5"/>
  <c r="J71" i="5"/>
  <c r="J64" i="5"/>
  <c r="M64" i="5" s="1"/>
  <c r="N64" i="5" s="1"/>
  <c r="O64" i="5" s="1"/>
  <c r="J29" i="5"/>
  <c r="J74" i="5"/>
  <c r="J48" i="5"/>
  <c r="M8" i="5"/>
  <c r="P9" i="5" s="1"/>
  <c r="J94" i="5"/>
  <c r="M94" i="5" s="1"/>
  <c r="N94" i="5" s="1"/>
  <c r="O94" i="5" s="1"/>
  <c r="P94" i="5" s="1"/>
  <c r="J43" i="5"/>
  <c r="M43" i="5" s="1"/>
  <c r="N43" i="5" s="1"/>
  <c r="O43" i="5" s="1"/>
  <c r="P43" i="5" s="1"/>
  <c r="J31" i="5"/>
  <c r="M31" i="5" s="1"/>
  <c r="N31" i="5" s="1"/>
  <c r="O31" i="5" s="1"/>
  <c r="P31" i="5" s="1"/>
  <c r="J80" i="5"/>
  <c r="M80" i="5" s="1"/>
  <c r="N80" i="5" s="1"/>
  <c r="O80" i="5" s="1"/>
  <c r="P80" i="5" s="1"/>
  <c r="J81" i="5"/>
  <c r="M81" i="5" s="1"/>
  <c r="N81" i="5" s="1"/>
  <c r="O81" i="5" s="1"/>
  <c r="P81" i="5" s="1"/>
  <c r="J57" i="5"/>
  <c r="J70" i="5"/>
  <c r="J87" i="5"/>
  <c r="M87" i="5" s="1"/>
  <c r="N87" i="5" s="1"/>
  <c r="O87" i="5" s="1"/>
  <c r="P87" i="5" s="1"/>
  <c r="J50" i="5"/>
  <c r="M50" i="5" s="1"/>
  <c r="N50" i="5" s="1"/>
  <c r="O50" i="5" s="1"/>
  <c r="P50" i="5" s="1"/>
  <c r="J45" i="5"/>
  <c r="M45" i="5" s="1"/>
  <c r="N45" i="5" s="1"/>
  <c r="O45" i="5" s="1"/>
  <c r="P45" i="5" s="1"/>
  <c r="J76" i="5"/>
  <c r="M76" i="5" s="1"/>
  <c r="N76" i="5" s="1"/>
  <c r="O76" i="5" s="1"/>
  <c r="P76" i="5" s="1"/>
  <c r="J32" i="5"/>
  <c r="J93" i="5"/>
  <c r="J63" i="5"/>
  <c r="J58" i="5"/>
  <c r="J52" i="5"/>
  <c r="J44" i="5"/>
  <c r="M9" i="5"/>
  <c r="P10" i="5" s="1"/>
  <c r="J35" i="5"/>
  <c r="M35" i="5" s="1"/>
  <c r="N35" i="5" s="1"/>
  <c r="O35" i="5" s="1"/>
  <c r="P35" i="5" s="1"/>
  <c r="J86" i="5"/>
  <c r="J69" i="5"/>
  <c r="J47" i="5"/>
  <c r="J92" i="5"/>
  <c r="J56" i="5"/>
  <c r="M56" i="5" s="1"/>
  <c r="N56" i="5" s="1"/>
  <c r="O56" i="5" s="1"/>
  <c r="P56" i="5" s="1"/>
  <c r="J75" i="5"/>
  <c r="J62" i="5"/>
  <c r="K39" i="5"/>
  <c r="K96" i="5"/>
  <c r="K91" i="5"/>
  <c r="K84" i="5"/>
  <c r="K79" i="5"/>
  <c r="K72" i="5"/>
  <c r="K67" i="5"/>
  <c r="K60" i="5"/>
  <c r="K55" i="5"/>
  <c r="K35" i="5"/>
  <c r="K31" i="5"/>
  <c r="K97" i="5"/>
  <c r="K90" i="5"/>
  <c r="K85" i="5"/>
  <c r="K78" i="5"/>
  <c r="K73" i="5"/>
  <c r="K66" i="5"/>
  <c r="K61" i="5"/>
  <c r="K54" i="5"/>
  <c r="K36" i="5"/>
  <c r="K32" i="5"/>
  <c r="K28" i="5"/>
  <c r="M28" i="5" s="1"/>
  <c r="N28" i="5" s="1"/>
  <c r="O28" i="5" s="1"/>
  <c r="P28" i="5" s="1"/>
  <c r="K95" i="5"/>
  <c r="K88" i="5"/>
  <c r="K51" i="5"/>
  <c r="K98" i="5"/>
  <c r="K34" i="5"/>
  <c r="K81" i="5"/>
  <c r="K64" i="5"/>
  <c r="K94" i="5"/>
  <c r="K43" i="5"/>
  <c r="K87" i="5"/>
  <c r="K80" i="5"/>
  <c r="K50" i="5"/>
  <c r="K45" i="5"/>
  <c r="K63" i="5"/>
  <c r="K56" i="5"/>
  <c r="K38" i="5"/>
  <c r="K71" i="5"/>
  <c r="K29" i="5"/>
  <c r="K74" i="5"/>
  <c r="K48" i="5"/>
  <c r="K57" i="5"/>
  <c r="K41" i="5"/>
  <c r="K70" i="5"/>
  <c r="K77" i="5"/>
  <c r="K53" i="5"/>
  <c r="K93" i="5"/>
  <c r="K65" i="5"/>
  <c r="K58" i="5"/>
  <c r="K52" i="5"/>
  <c r="K44" i="5"/>
  <c r="N9" i="5"/>
  <c r="K86" i="5"/>
  <c r="K69" i="5"/>
  <c r="K47" i="5"/>
  <c r="K92" i="5"/>
  <c r="K27" i="5"/>
  <c r="K75" i="5"/>
  <c r="K62" i="5"/>
  <c r="F97" i="5"/>
  <c r="F98" i="5"/>
  <c r="K37" i="5"/>
  <c r="J49" i="5"/>
  <c r="K89" i="5"/>
  <c r="K49" i="5"/>
  <c r="J82" i="5"/>
  <c r="M82" i="5" s="1"/>
  <c r="N82" i="5" s="1"/>
  <c r="O82" i="5" s="1"/>
  <c r="P82" i="5" s="1"/>
  <c r="N8" i="5"/>
  <c r="F71" i="5"/>
  <c r="F70" i="5"/>
  <c r="F65" i="5"/>
  <c r="F64" i="5"/>
  <c r="F95" i="5"/>
  <c r="F94" i="5"/>
  <c r="F88" i="5"/>
  <c r="F37" i="5"/>
  <c r="F38" i="5"/>
  <c r="J89" i="3"/>
  <c r="J77" i="3"/>
  <c r="J65" i="3"/>
  <c r="J53" i="3"/>
  <c r="J41" i="3"/>
  <c r="J37" i="3"/>
  <c r="J39" i="3"/>
  <c r="J91" i="3"/>
  <c r="J84" i="3"/>
  <c r="J79" i="3"/>
  <c r="J72" i="3"/>
  <c r="J67" i="3"/>
  <c r="M67" i="3" s="1"/>
  <c r="N67" i="3" s="1"/>
  <c r="O67" i="3" s="1"/>
  <c r="P67" i="3" s="1"/>
  <c r="J60" i="3"/>
  <c r="M60" i="3" s="1"/>
  <c r="N60" i="3" s="1"/>
  <c r="O60" i="3" s="1"/>
  <c r="P60" i="3" s="1"/>
  <c r="J55" i="3"/>
  <c r="M55" i="3" s="1"/>
  <c r="N55" i="3" s="1"/>
  <c r="O55" i="3" s="1"/>
  <c r="P55" i="3" s="1"/>
  <c r="J96" i="3"/>
  <c r="M96" i="3" s="1"/>
  <c r="N96" i="3" s="1"/>
  <c r="O96" i="3" s="1"/>
  <c r="P96" i="3" s="1"/>
  <c r="J90" i="3"/>
  <c r="M90" i="3" s="1"/>
  <c r="N90" i="3" s="1"/>
  <c r="O90" i="3" s="1"/>
  <c r="P90" i="3" s="1"/>
  <c r="J33" i="3"/>
  <c r="M33" i="3" s="1"/>
  <c r="N33" i="3" s="1"/>
  <c r="O33" i="3" s="1"/>
  <c r="P33" i="3" s="1"/>
  <c r="J70" i="3"/>
  <c r="M70" i="3" s="1"/>
  <c r="N70" i="3" s="1"/>
  <c r="O70" i="3" s="1"/>
  <c r="P70" i="3" s="1"/>
  <c r="J56" i="3"/>
  <c r="J35" i="3"/>
  <c r="J98" i="3"/>
  <c r="J87" i="3"/>
  <c r="J64" i="3"/>
  <c r="J48" i="3"/>
  <c r="J81" i="3"/>
  <c r="J61" i="3"/>
  <c r="J78" i="3"/>
  <c r="M78" i="3" s="1"/>
  <c r="N78" i="3" s="1"/>
  <c r="O78" i="3" s="1"/>
  <c r="P78" i="3" s="1"/>
  <c r="J92" i="3"/>
  <c r="M92" i="3" s="1"/>
  <c r="N92" i="3" s="1"/>
  <c r="O92" i="3" s="1"/>
  <c r="P92" i="3" s="1"/>
  <c r="J58" i="3"/>
  <c r="M58" i="3" s="1"/>
  <c r="N58" i="3" s="1"/>
  <c r="O58" i="3" s="1"/>
  <c r="J28" i="3"/>
  <c r="M28" i="3" s="1"/>
  <c r="N28" i="3" s="1"/>
  <c r="O28" i="3" s="1"/>
  <c r="P28" i="3" s="1"/>
  <c r="J86" i="3"/>
  <c r="J75" i="3"/>
  <c r="J52" i="3"/>
  <c r="M52" i="3" s="1"/>
  <c r="N52" i="3" s="1"/>
  <c r="O52" i="3" s="1"/>
  <c r="P52" i="3" s="1"/>
  <c r="J69" i="3"/>
  <c r="J95" i="3"/>
  <c r="M95" i="3" s="1"/>
  <c r="N95" i="3" s="1"/>
  <c r="O95" i="3" s="1"/>
  <c r="P95" i="3" s="1"/>
  <c r="J50" i="3"/>
  <c r="M50" i="3" s="1"/>
  <c r="N50" i="3" s="1"/>
  <c r="O50" i="3" s="1"/>
  <c r="P50" i="3" s="1"/>
  <c r="J43" i="3"/>
  <c r="M43" i="3" s="1"/>
  <c r="N43" i="3" s="1"/>
  <c r="O43" i="3" s="1"/>
  <c r="P43" i="3" s="1"/>
  <c r="J97" i="3"/>
  <c r="M97" i="3" s="1"/>
  <c r="N97" i="3" s="1"/>
  <c r="O97" i="3" s="1"/>
  <c r="P97" i="3" s="1"/>
  <c r="J36" i="3"/>
  <c r="M36" i="3" s="1"/>
  <c r="N36" i="3" s="1"/>
  <c r="O36" i="3" s="1"/>
  <c r="P36" i="3" s="1"/>
  <c r="J44" i="3"/>
  <c r="M44" i="3" s="1"/>
  <c r="N44" i="3" s="1"/>
  <c r="O44" i="3" s="1"/>
  <c r="P44" i="3" s="1"/>
  <c r="J51" i="3"/>
  <c r="M51" i="3" s="1"/>
  <c r="N51" i="3" s="1"/>
  <c r="O51" i="3" s="1"/>
  <c r="P51" i="3" s="1"/>
  <c r="J71" i="3"/>
  <c r="M71" i="3" s="1"/>
  <c r="N71" i="3" s="1"/>
  <c r="O71" i="3" s="1"/>
  <c r="P71" i="3" s="1"/>
  <c r="J88" i="3"/>
  <c r="M88" i="3" s="1"/>
  <c r="N88" i="3" s="1"/>
  <c r="O88" i="3" s="1"/>
  <c r="P88" i="3" s="1"/>
  <c r="J80" i="3"/>
  <c r="M80" i="3" s="1"/>
  <c r="N80" i="3" s="1"/>
  <c r="O80" i="3" s="1"/>
  <c r="P80" i="3" s="1"/>
  <c r="J66" i="3"/>
  <c r="M66" i="3" s="1"/>
  <c r="N66" i="3" s="1"/>
  <c r="O66" i="3" s="1"/>
  <c r="P66" i="3" s="1"/>
  <c r="J76" i="3"/>
  <c r="M76" i="3" s="1"/>
  <c r="N76" i="3" s="1"/>
  <c r="O76" i="3" s="1"/>
  <c r="P76" i="3" s="1"/>
  <c r="J40" i="3"/>
  <c r="M40" i="3" s="1"/>
  <c r="N40" i="3" s="1"/>
  <c r="O40" i="3" s="1"/>
  <c r="P40" i="3" s="1"/>
  <c r="F94" i="3"/>
  <c r="F59" i="3"/>
  <c r="F58" i="3"/>
  <c r="J94" i="3"/>
  <c r="N7" i="3"/>
  <c r="J57" i="3"/>
  <c r="F68" i="3"/>
  <c r="K94" i="3"/>
  <c r="K57" i="3"/>
  <c r="K68" i="3"/>
  <c r="J27" i="3"/>
  <c r="M27" i="3" s="1"/>
  <c r="N27" i="3" s="1"/>
  <c r="O27" i="3" s="1"/>
  <c r="P27" i="3" s="1"/>
  <c r="F38" i="3"/>
  <c r="J45" i="3"/>
  <c r="J63" i="3"/>
  <c r="J82" i="3"/>
  <c r="J31" i="3"/>
  <c r="J42" i="3"/>
  <c r="P32" i="3"/>
  <c r="F53" i="3"/>
  <c r="F52" i="3"/>
  <c r="F62" i="3"/>
  <c r="M6" i="3"/>
  <c r="P7" i="3" s="1"/>
  <c r="J62" i="3"/>
  <c r="M62" i="3" s="1"/>
  <c r="N62" i="3" s="1"/>
  <c r="O62" i="3" s="1"/>
  <c r="P62" i="3" s="1"/>
  <c r="J85" i="3"/>
  <c r="M85" i="3" s="1"/>
  <c r="N85" i="3" s="1"/>
  <c r="O85" i="3" s="1"/>
  <c r="P85" i="3" s="1"/>
  <c r="M7" i="3"/>
  <c r="P8" i="3" s="1"/>
  <c r="K39" i="3"/>
  <c r="K96" i="3"/>
  <c r="K91" i="3"/>
  <c r="K84" i="3"/>
  <c r="K79" i="3"/>
  <c r="K72" i="3"/>
  <c r="K67" i="3"/>
  <c r="K60" i="3"/>
  <c r="K55" i="3"/>
  <c r="K35" i="3"/>
  <c r="K31" i="3"/>
  <c r="K70" i="3"/>
  <c r="K56" i="3"/>
  <c r="K98" i="3"/>
  <c r="K87" i="3"/>
  <c r="K64" i="3"/>
  <c r="K48" i="3"/>
  <c r="K81" i="3"/>
  <c r="K53" i="3"/>
  <c r="K37" i="3"/>
  <c r="K61" i="3"/>
  <c r="K50" i="3"/>
  <c r="K86" i="3"/>
  <c r="K75" i="3"/>
  <c r="K41" i="3"/>
  <c r="K69" i="3"/>
  <c r="K43" i="3"/>
  <c r="K97" i="3"/>
  <c r="K83" i="3"/>
  <c r="K30" i="3"/>
  <c r="K95" i="3"/>
  <c r="K78" i="3"/>
  <c r="K92" i="3"/>
  <c r="K58" i="3"/>
  <c r="K28" i="3"/>
  <c r="K52" i="3"/>
  <c r="K89" i="3"/>
  <c r="M8" i="3"/>
  <c r="P9" i="3" s="1"/>
  <c r="J30" i="3"/>
  <c r="M30" i="3" s="1"/>
  <c r="N30" i="3" s="1"/>
  <c r="O30" i="3" s="1"/>
  <c r="P30" i="3" s="1"/>
  <c r="J68" i="3"/>
  <c r="K77" i="3"/>
  <c r="F65" i="3"/>
  <c r="F64" i="3"/>
  <c r="J73" i="3"/>
  <c r="M73" i="3" s="1"/>
  <c r="N73" i="3" s="1"/>
  <c r="O73" i="3" s="1"/>
  <c r="P73" i="3" s="1"/>
  <c r="N8" i="3"/>
  <c r="F31" i="3"/>
  <c r="K27" i="3"/>
  <c r="J34" i="3"/>
  <c r="J38" i="3"/>
  <c r="K45" i="3"/>
  <c r="K63" i="3"/>
  <c r="K82" i="3"/>
  <c r="K34" i="3"/>
  <c r="K38" i="3"/>
  <c r="J49" i="3"/>
  <c r="J59" i="3"/>
  <c r="K42" i="3"/>
  <c r="J46" i="3"/>
  <c r="K49" i="3"/>
  <c r="F56" i="3"/>
  <c r="F55" i="3"/>
  <c r="K59" i="3"/>
  <c r="K46" i="3"/>
  <c r="J54" i="3"/>
  <c r="K54" i="3"/>
  <c r="K65" i="3"/>
  <c r="J74" i="3"/>
  <c r="K74" i="3"/>
  <c r="J83" i="3"/>
  <c r="M83" i="3" s="1"/>
  <c r="N83" i="3" s="1"/>
  <c r="O83" i="3" s="1"/>
  <c r="P83" i="3" s="1"/>
  <c r="F97" i="3"/>
  <c r="F96" i="1"/>
  <c r="F98" i="1" s="1"/>
  <c r="D96" i="1"/>
  <c r="T50" i="1" s="1"/>
  <c r="F93" i="1"/>
  <c r="F94" i="1" s="1"/>
  <c r="D93" i="1"/>
  <c r="T49" i="1" s="1"/>
  <c r="F90" i="1"/>
  <c r="F92" i="1" s="1"/>
  <c r="D90" i="1"/>
  <c r="T48" i="1" s="1"/>
  <c r="F87" i="1"/>
  <c r="F89" i="1" s="1"/>
  <c r="D87" i="1"/>
  <c r="T47" i="1" s="1"/>
  <c r="F84" i="1"/>
  <c r="D84" i="1"/>
  <c r="T46" i="1" s="1"/>
  <c r="F81" i="1"/>
  <c r="F83" i="1" s="1"/>
  <c r="D81" i="1"/>
  <c r="T45" i="1" s="1"/>
  <c r="F78" i="1"/>
  <c r="F79" i="1" s="1"/>
  <c r="D78" i="1"/>
  <c r="T44" i="1" s="1"/>
  <c r="F75" i="1"/>
  <c r="F76" i="1" s="1"/>
  <c r="D75" i="1"/>
  <c r="F72" i="1"/>
  <c r="F73" i="1" s="1"/>
  <c r="D72" i="1"/>
  <c r="T42" i="1" s="1"/>
  <c r="F69" i="1"/>
  <c r="F71" i="1" s="1"/>
  <c r="D69" i="1"/>
  <c r="F66" i="1"/>
  <c r="F68" i="1" s="1"/>
  <c r="D66" i="1"/>
  <c r="T40" i="1" s="1"/>
  <c r="F63" i="1"/>
  <c r="F64" i="1" s="1"/>
  <c r="D63" i="1"/>
  <c r="T39" i="1" s="1"/>
  <c r="F60" i="1"/>
  <c r="F62" i="1" s="1"/>
  <c r="D60" i="1"/>
  <c r="T38" i="1" s="1"/>
  <c r="F57" i="1"/>
  <c r="F58" i="1" s="1"/>
  <c r="D57" i="1"/>
  <c r="T37" i="1" s="1"/>
  <c r="F54" i="1"/>
  <c r="F56" i="1" s="1"/>
  <c r="D54" i="1"/>
  <c r="T36" i="1" s="1"/>
  <c r="F51" i="1"/>
  <c r="F52" i="1" s="1"/>
  <c r="D51" i="1"/>
  <c r="T35" i="1" s="1"/>
  <c r="F48" i="1"/>
  <c r="D48" i="1"/>
  <c r="T34" i="1" s="1"/>
  <c r="F45" i="1"/>
  <c r="D45" i="1"/>
  <c r="T33" i="1" s="1"/>
  <c r="T43" i="1"/>
  <c r="F42" i="1"/>
  <c r="F44" i="1" s="1"/>
  <c r="D42" i="1"/>
  <c r="T32" i="1" s="1"/>
  <c r="T41" i="1"/>
  <c r="F39" i="1"/>
  <c r="F41" i="1" s="1"/>
  <c r="D39" i="1"/>
  <c r="T31" i="1" s="1"/>
  <c r="F36" i="1"/>
  <c r="F38" i="1" s="1"/>
  <c r="D36" i="1"/>
  <c r="T30" i="1" s="1"/>
  <c r="F33" i="1"/>
  <c r="F35" i="1" s="1"/>
  <c r="D33" i="1"/>
  <c r="T29" i="1" s="1"/>
  <c r="F30" i="1"/>
  <c r="F32" i="1" s="1"/>
  <c r="D30" i="1"/>
  <c r="T28" i="1" s="1"/>
  <c r="F27" i="1"/>
  <c r="F29" i="1" s="1"/>
  <c r="D27" i="1"/>
  <c r="T27" i="1" s="1"/>
  <c r="J89" i="11" l="1"/>
  <c r="M89" i="11" s="1"/>
  <c r="N89" i="11" s="1"/>
  <c r="O89" i="11" s="1"/>
  <c r="P89" i="11" s="1"/>
  <c r="J77" i="11"/>
  <c r="M77" i="11" s="1"/>
  <c r="N77" i="11" s="1"/>
  <c r="O77" i="11" s="1"/>
  <c r="P77" i="11" s="1"/>
  <c r="J65" i="11"/>
  <c r="M65" i="11" s="1"/>
  <c r="N65" i="11" s="1"/>
  <c r="O65" i="11" s="1"/>
  <c r="P65" i="11" s="1"/>
  <c r="J53" i="11"/>
  <c r="M53" i="11" s="1"/>
  <c r="N53" i="11" s="1"/>
  <c r="O53" i="11" s="1"/>
  <c r="P53" i="11" s="1"/>
  <c r="J41" i="11"/>
  <c r="M41" i="11" s="1"/>
  <c r="N41" i="11" s="1"/>
  <c r="O41" i="11" s="1"/>
  <c r="P41" i="11" s="1"/>
  <c r="J37" i="11"/>
  <c r="M37" i="11" s="1"/>
  <c r="N37" i="11" s="1"/>
  <c r="O37" i="11" s="1"/>
  <c r="P37" i="11" s="1"/>
  <c r="J39" i="11"/>
  <c r="M39" i="11" s="1"/>
  <c r="N39" i="11" s="1"/>
  <c r="O39" i="11" s="1"/>
  <c r="P39" i="11" s="1"/>
  <c r="J96" i="11"/>
  <c r="M96" i="11" s="1"/>
  <c r="N96" i="11" s="1"/>
  <c r="O96" i="11" s="1"/>
  <c r="P96" i="11" s="1"/>
  <c r="J91" i="11"/>
  <c r="M91" i="11" s="1"/>
  <c r="N91" i="11" s="1"/>
  <c r="O91" i="11" s="1"/>
  <c r="P91" i="11" s="1"/>
  <c r="J84" i="11"/>
  <c r="M84" i="11" s="1"/>
  <c r="N84" i="11" s="1"/>
  <c r="O84" i="11" s="1"/>
  <c r="P84" i="11" s="1"/>
  <c r="J79" i="11"/>
  <c r="M79" i="11" s="1"/>
  <c r="N79" i="11" s="1"/>
  <c r="O79" i="11" s="1"/>
  <c r="P79" i="11" s="1"/>
  <c r="J72" i="11"/>
  <c r="M72" i="11" s="1"/>
  <c r="N72" i="11" s="1"/>
  <c r="O72" i="11" s="1"/>
  <c r="P72" i="11" s="1"/>
  <c r="J67" i="11"/>
  <c r="M67" i="11" s="1"/>
  <c r="N67" i="11" s="1"/>
  <c r="O67" i="11" s="1"/>
  <c r="P67" i="11" s="1"/>
  <c r="J60" i="11"/>
  <c r="M60" i="11" s="1"/>
  <c r="N60" i="11" s="1"/>
  <c r="O60" i="11" s="1"/>
  <c r="P60" i="11" s="1"/>
  <c r="J55" i="11"/>
  <c r="M55" i="11" s="1"/>
  <c r="N55" i="11" s="1"/>
  <c r="O55" i="11" s="1"/>
  <c r="P55" i="11" s="1"/>
  <c r="J48" i="11"/>
  <c r="M48" i="11" s="1"/>
  <c r="N48" i="11" s="1"/>
  <c r="O48" i="11" s="1"/>
  <c r="P48" i="11" s="1"/>
  <c r="J44" i="11"/>
  <c r="M44" i="11" s="1"/>
  <c r="N44" i="11" s="1"/>
  <c r="O44" i="11" s="1"/>
  <c r="P44" i="11" s="1"/>
  <c r="J40" i="11"/>
  <c r="M40" i="11" s="1"/>
  <c r="N40" i="11" s="1"/>
  <c r="O40" i="11" s="1"/>
  <c r="P40" i="11" s="1"/>
  <c r="J95" i="11"/>
  <c r="M95" i="11" s="1"/>
  <c r="N95" i="11" s="1"/>
  <c r="O95" i="11" s="1"/>
  <c r="P95" i="11" s="1"/>
  <c r="J83" i="11"/>
  <c r="M83" i="11" s="1"/>
  <c r="N83" i="11" s="1"/>
  <c r="O83" i="11" s="1"/>
  <c r="P83" i="11" s="1"/>
  <c r="J71" i="11"/>
  <c r="M71" i="11" s="1"/>
  <c r="N71" i="11" s="1"/>
  <c r="O71" i="11" s="1"/>
  <c r="P71" i="11" s="1"/>
  <c r="J59" i="11"/>
  <c r="M59" i="11" s="1"/>
  <c r="N59" i="11" s="1"/>
  <c r="O59" i="11" s="1"/>
  <c r="P59" i="11" s="1"/>
  <c r="J42" i="11"/>
  <c r="M42" i="11" s="1"/>
  <c r="N42" i="11" s="1"/>
  <c r="O42" i="11" s="1"/>
  <c r="P42" i="11" s="1"/>
  <c r="J34" i="11"/>
  <c r="M34" i="11" s="1"/>
  <c r="N34" i="11" s="1"/>
  <c r="O34" i="11" s="1"/>
  <c r="P34" i="11" s="1"/>
  <c r="J75" i="11"/>
  <c r="M75" i="11" s="1"/>
  <c r="N75" i="11" s="1"/>
  <c r="O75" i="11" s="1"/>
  <c r="P75" i="11" s="1"/>
  <c r="J58" i="11"/>
  <c r="M58" i="11" s="1"/>
  <c r="N58" i="11" s="1"/>
  <c r="O58" i="11" s="1"/>
  <c r="P58" i="11" s="1"/>
  <c r="J98" i="11"/>
  <c r="M98" i="11" s="1"/>
  <c r="N98" i="11" s="1"/>
  <c r="O98" i="11" s="1"/>
  <c r="P98" i="11" s="1"/>
  <c r="J88" i="11"/>
  <c r="M88" i="11" s="1"/>
  <c r="N88" i="11" s="1"/>
  <c r="O88" i="11" s="1"/>
  <c r="P88" i="11" s="1"/>
  <c r="J78" i="11"/>
  <c r="M78" i="11" s="1"/>
  <c r="N78" i="11" s="1"/>
  <c r="O78" i="11" s="1"/>
  <c r="P78" i="11" s="1"/>
  <c r="J61" i="11"/>
  <c r="M61" i="11" s="1"/>
  <c r="N61" i="11" s="1"/>
  <c r="O61" i="11" s="1"/>
  <c r="P61" i="11" s="1"/>
  <c r="J29" i="11"/>
  <c r="M29" i="11" s="1"/>
  <c r="N29" i="11" s="1"/>
  <c r="O29" i="11" s="1"/>
  <c r="P29" i="11" s="1"/>
  <c r="J68" i="11"/>
  <c r="M68" i="11" s="1"/>
  <c r="N68" i="11" s="1"/>
  <c r="O68" i="11" s="1"/>
  <c r="P68" i="11" s="1"/>
  <c r="J57" i="11"/>
  <c r="M57" i="11" s="1"/>
  <c r="N57" i="11" s="1"/>
  <c r="O57" i="11" s="1"/>
  <c r="P57" i="11" s="1"/>
  <c r="M6" i="11"/>
  <c r="P7" i="11" s="1"/>
  <c r="J87" i="11"/>
  <c r="M87" i="11" s="1"/>
  <c r="N87" i="11" s="1"/>
  <c r="O87" i="11" s="1"/>
  <c r="P87" i="11" s="1"/>
  <c r="J70" i="11"/>
  <c r="M70" i="11" s="1"/>
  <c r="N70" i="11" s="1"/>
  <c r="O70" i="11" s="1"/>
  <c r="P70" i="11" s="1"/>
  <c r="J28" i="11"/>
  <c r="M28" i="11" s="1"/>
  <c r="N28" i="11" s="1"/>
  <c r="O28" i="11" s="1"/>
  <c r="P28" i="11" s="1"/>
  <c r="J90" i="11"/>
  <c r="M90" i="11" s="1"/>
  <c r="N90" i="11" s="1"/>
  <c r="O90" i="11" s="1"/>
  <c r="P90" i="11" s="1"/>
  <c r="J73" i="11"/>
  <c r="M73" i="11" s="1"/>
  <c r="N73" i="11" s="1"/>
  <c r="O73" i="11" s="1"/>
  <c r="P73" i="11" s="1"/>
  <c r="J38" i="11"/>
  <c r="M38" i="11" s="1"/>
  <c r="N38" i="11" s="1"/>
  <c r="O38" i="11" s="1"/>
  <c r="P38" i="11" s="1"/>
  <c r="J33" i="11"/>
  <c r="M33" i="11" s="1"/>
  <c r="N33" i="11" s="1"/>
  <c r="O33" i="11" s="1"/>
  <c r="P33" i="11" s="1"/>
  <c r="J80" i="11"/>
  <c r="M80" i="11" s="1"/>
  <c r="N80" i="11" s="1"/>
  <c r="O80" i="11" s="1"/>
  <c r="P80" i="11" s="1"/>
  <c r="M10" i="11"/>
  <c r="P11" i="11" s="1"/>
  <c r="J93" i="11"/>
  <c r="M93" i="11" s="1"/>
  <c r="N93" i="11" s="1"/>
  <c r="O93" i="11" s="1"/>
  <c r="P93" i="11" s="1"/>
  <c r="J50" i="11"/>
  <c r="M50" i="11" s="1"/>
  <c r="N50" i="11" s="1"/>
  <c r="O50" i="11" s="1"/>
  <c r="P50" i="11" s="1"/>
  <c r="J43" i="11"/>
  <c r="M43" i="11" s="1"/>
  <c r="N43" i="11" s="1"/>
  <c r="O43" i="11" s="1"/>
  <c r="P43" i="11" s="1"/>
  <c r="J81" i="11"/>
  <c r="M81" i="11" s="1"/>
  <c r="N81" i="11" s="1"/>
  <c r="O81" i="11" s="1"/>
  <c r="P81" i="11" s="1"/>
  <c r="J92" i="11"/>
  <c r="M92" i="11" s="1"/>
  <c r="N92" i="11" s="1"/>
  <c r="O92" i="11" s="1"/>
  <c r="P92" i="11" s="1"/>
  <c r="J54" i="11"/>
  <c r="M54" i="11" s="1"/>
  <c r="N54" i="11" s="1"/>
  <c r="O54" i="11" s="1"/>
  <c r="P54" i="11" s="1"/>
  <c r="J49" i="11"/>
  <c r="M49" i="11" s="1"/>
  <c r="N49" i="11" s="1"/>
  <c r="O49" i="11" s="1"/>
  <c r="P49" i="11" s="1"/>
  <c r="J97" i="11"/>
  <c r="M97" i="11" s="1"/>
  <c r="N97" i="11" s="1"/>
  <c r="O97" i="11" s="1"/>
  <c r="P97" i="11" s="1"/>
  <c r="J86" i="11"/>
  <c r="M86" i="11" s="1"/>
  <c r="N86" i="11" s="1"/>
  <c r="O86" i="11" s="1"/>
  <c r="P86" i="11" s="1"/>
  <c r="J64" i="11"/>
  <c r="M64" i="11" s="1"/>
  <c r="N64" i="11" s="1"/>
  <c r="O64" i="11" s="1"/>
  <c r="P64" i="11" s="1"/>
  <c r="J63" i="11"/>
  <c r="M63" i="11" s="1"/>
  <c r="N63" i="11" s="1"/>
  <c r="O63" i="11" s="1"/>
  <c r="P63" i="11" s="1"/>
  <c r="J45" i="11"/>
  <c r="M45" i="11" s="1"/>
  <c r="N45" i="11" s="1"/>
  <c r="O45" i="11" s="1"/>
  <c r="P45" i="11" s="1"/>
  <c r="J69" i="11"/>
  <c r="M69" i="11" s="1"/>
  <c r="N69" i="11" s="1"/>
  <c r="O69" i="11" s="1"/>
  <c r="P69" i="11" s="1"/>
  <c r="J85" i="11"/>
  <c r="M85" i="11" s="1"/>
  <c r="N85" i="11" s="1"/>
  <c r="O85" i="11" s="1"/>
  <c r="P85" i="11" s="1"/>
  <c r="J74" i="11"/>
  <c r="M74" i="11" s="1"/>
  <c r="N74" i="11" s="1"/>
  <c r="O74" i="11" s="1"/>
  <c r="P74" i="11" s="1"/>
  <c r="J36" i="11"/>
  <c r="M36" i="11" s="1"/>
  <c r="N36" i="11" s="1"/>
  <c r="O36" i="11" s="1"/>
  <c r="P36" i="11" s="1"/>
  <c r="J46" i="11"/>
  <c r="M46" i="11" s="1"/>
  <c r="N46" i="11" s="1"/>
  <c r="O46" i="11" s="1"/>
  <c r="P46" i="11" s="1"/>
  <c r="J32" i="11"/>
  <c r="M32" i="11" s="1"/>
  <c r="N32" i="11" s="1"/>
  <c r="O32" i="11" s="1"/>
  <c r="P32" i="11" s="1"/>
  <c r="J62" i="11"/>
  <c r="M62" i="11" s="1"/>
  <c r="N62" i="11" s="1"/>
  <c r="O62" i="11" s="1"/>
  <c r="P62" i="11" s="1"/>
  <c r="J52" i="11"/>
  <c r="M52" i="11" s="1"/>
  <c r="N52" i="11" s="1"/>
  <c r="O52" i="11" s="1"/>
  <c r="P52" i="11" s="1"/>
  <c r="J35" i="11"/>
  <c r="M35" i="11" s="1"/>
  <c r="N35" i="11" s="1"/>
  <c r="O35" i="11" s="1"/>
  <c r="P35" i="11" s="1"/>
  <c r="J94" i="11"/>
  <c r="M94" i="11" s="1"/>
  <c r="N94" i="11" s="1"/>
  <c r="O94" i="11" s="1"/>
  <c r="P94" i="11" s="1"/>
  <c r="J51" i="11"/>
  <c r="M51" i="11" s="1"/>
  <c r="N51" i="11" s="1"/>
  <c r="O51" i="11" s="1"/>
  <c r="P51" i="11" s="1"/>
  <c r="J31" i="11"/>
  <c r="M31" i="11" s="1"/>
  <c r="N31" i="11" s="1"/>
  <c r="O31" i="11" s="1"/>
  <c r="P31" i="11" s="1"/>
  <c r="J66" i="11"/>
  <c r="M66" i="11" s="1"/>
  <c r="N66" i="11" s="1"/>
  <c r="O66" i="11" s="1"/>
  <c r="P66" i="11" s="1"/>
  <c r="J56" i="11"/>
  <c r="M56" i="11" s="1"/>
  <c r="N56" i="11" s="1"/>
  <c r="O56" i="11" s="1"/>
  <c r="P56" i="11" s="1"/>
  <c r="J47" i="11"/>
  <c r="M47" i="11" s="1"/>
  <c r="N47" i="11" s="1"/>
  <c r="O47" i="11" s="1"/>
  <c r="P47" i="11" s="1"/>
  <c r="J27" i="11"/>
  <c r="M27" i="11" s="1"/>
  <c r="N27" i="11" s="1"/>
  <c r="O27" i="11" s="1"/>
  <c r="P27" i="11" s="1"/>
  <c r="J82" i="11"/>
  <c r="M82" i="11" s="1"/>
  <c r="N82" i="11" s="1"/>
  <c r="O82" i="11" s="1"/>
  <c r="P82" i="11" s="1"/>
  <c r="J76" i="11"/>
  <c r="M76" i="11" s="1"/>
  <c r="N76" i="11" s="1"/>
  <c r="O76" i="11" s="1"/>
  <c r="P76" i="11" s="1"/>
  <c r="J30" i="11"/>
  <c r="M30" i="11" s="1"/>
  <c r="N30" i="11" s="1"/>
  <c r="O30" i="11" s="1"/>
  <c r="P30" i="11" s="1"/>
  <c r="M8" i="11"/>
  <c r="P9" i="11" s="1"/>
  <c r="M7" i="11"/>
  <c r="P8" i="11" s="1"/>
  <c r="Q60" i="10"/>
  <c r="U38" i="10" s="1"/>
  <c r="R60" i="10"/>
  <c r="S60" i="10" s="1"/>
  <c r="Q72" i="10"/>
  <c r="U42" i="10" s="1"/>
  <c r="R72" i="10"/>
  <c r="S72" i="10" s="1"/>
  <c r="M78" i="10"/>
  <c r="N78" i="10" s="1"/>
  <c r="O78" i="10" s="1"/>
  <c r="P78" i="10" s="1"/>
  <c r="P79" i="10"/>
  <c r="R84" i="10"/>
  <c r="Q84" i="10"/>
  <c r="U46" i="10" s="1"/>
  <c r="M44" i="10"/>
  <c r="N44" i="10" s="1"/>
  <c r="O44" i="10" s="1"/>
  <c r="P44" i="10" s="1"/>
  <c r="M49" i="10"/>
  <c r="N49" i="10" s="1"/>
  <c r="O49" i="10" s="1"/>
  <c r="P49" i="10" s="1"/>
  <c r="Q48" i="10" s="1"/>
  <c r="U34" i="10" s="1"/>
  <c r="M36" i="10"/>
  <c r="N36" i="10" s="1"/>
  <c r="O36" i="10" s="1"/>
  <c r="P36" i="10" s="1"/>
  <c r="M75" i="10"/>
  <c r="N75" i="10" s="1"/>
  <c r="O75" i="10" s="1"/>
  <c r="P75" i="10" s="1"/>
  <c r="M37" i="10"/>
  <c r="N37" i="10" s="1"/>
  <c r="O37" i="10" s="1"/>
  <c r="P37" i="10" s="1"/>
  <c r="M52" i="10"/>
  <c r="N52" i="10" s="1"/>
  <c r="O52" i="10" s="1"/>
  <c r="P52" i="10" s="1"/>
  <c r="Q51" i="10" s="1"/>
  <c r="U35" i="10" s="1"/>
  <c r="M41" i="10"/>
  <c r="N41" i="10" s="1"/>
  <c r="O41" i="10" s="1"/>
  <c r="P41" i="10" s="1"/>
  <c r="M45" i="10"/>
  <c r="N45" i="10" s="1"/>
  <c r="O45" i="10" s="1"/>
  <c r="P45" i="10" s="1"/>
  <c r="M53" i="10"/>
  <c r="N53" i="10" s="1"/>
  <c r="O53" i="10" s="1"/>
  <c r="P53" i="10" s="1"/>
  <c r="M93" i="10"/>
  <c r="N93" i="10" s="1"/>
  <c r="O93" i="10" s="1"/>
  <c r="P93" i="10" s="1"/>
  <c r="M65" i="10"/>
  <c r="N65" i="10" s="1"/>
  <c r="O65" i="10" s="1"/>
  <c r="P65" i="10" s="1"/>
  <c r="M43" i="10"/>
  <c r="N43" i="10" s="1"/>
  <c r="O43" i="10" s="1"/>
  <c r="P43" i="10" s="1"/>
  <c r="M77" i="10"/>
  <c r="N77" i="10" s="1"/>
  <c r="O77" i="10" s="1"/>
  <c r="P77" i="10" s="1"/>
  <c r="M58" i="10"/>
  <c r="N58" i="10" s="1"/>
  <c r="O58" i="10" s="1"/>
  <c r="P58" i="10" s="1"/>
  <c r="P68" i="10"/>
  <c r="M28" i="10"/>
  <c r="N28" i="10" s="1"/>
  <c r="O28" i="10" s="1"/>
  <c r="P28" i="10" s="1"/>
  <c r="M98" i="10"/>
  <c r="N98" i="10" s="1"/>
  <c r="O98" i="10" s="1"/>
  <c r="P98" i="10" s="1"/>
  <c r="R81" i="10"/>
  <c r="Q81" i="10"/>
  <c r="U45" i="10" s="1"/>
  <c r="R54" i="10"/>
  <c r="Q54" i="10"/>
  <c r="U36" i="10" s="1"/>
  <c r="R66" i="10"/>
  <c r="Q66" i="10"/>
  <c r="U40" i="10" s="1"/>
  <c r="M27" i="10"/>
  <c r="N27" i="10" s="1"/>
  <c r="O27" i="10" s="1"/>
  <c r="P27" i="10" s="1"/>
  <c r="M32" i="10"/>
  <c r="N32" i="10" s="1"/>
  <c r="O32" i="10" s="1"/>
  <c r="P32" i="10" s="1"/>
  <c r="P64" i="10"/>
  <c r="M50" i="10"/>
  <c r="N50" i="10" s="1"/>
  <c r="O50" i="10" s="1"/>
  <c r="P50" i="10" s="1"/>
  <c r="M73" i="10"/>
  <c r="N73" i="10" s="1"/>
  <c r="O73" i="10" s="1"/>
  <c r="P73" i="10" s="1"/>
  <c r="M30" i="10"/>
  <c r="N30" i="10" s="1"/>
  <c r="O30" i="10" s="1"/>
  <c r="P30" i="10" s="1"/>
  <c r="M76" i="10"/>
  <c r="N76" i="10" s="1"/>
  <c r="O76" i="10" s="1"/>
  <c r="P76" i="10" s="1"/>
  <c r="M57" i="10"/>
  <c r="N57" i="10" s="1"/>
  <c r="O57" i="10" s="1"/>
  <c r="P57" i="10" s="1"/>
  <c r="M83" i="10"/>
  <c r="N83" i="10" s="1"/>
  <c r="O83" i="10" s="1"/>
  <c r="P83" i="10" s="1"/>
  <c r="M59" i="10"/>
  <c r="N59" i="10" s="1"/>
  <c r="O59" i="10" s="1"/>
  <c r="P59" i="10" s="1"/>
  <c r="M34" i="10"/>
  <c r="N34" i="10" s="1"/>
  <c r="O34" i="10" s="1"/>
  <c r="P34" i="10" s="1"/>
  <c r="R33" i="10" s="1"/>
  <c r="M47" i="10"/>
  <c r="N47" i="10" s="1"/>
  <c r="O47" i="10" s="1"/>
  <c r="P47" i="10" s="1"/>
  <c r="M69" i="10"/>
  <c r="N69" i="10" s="1"/>
  <c r="O69" i="10" s="1"/>
  <c r="P69" i="10" s="1"/>
  <c r="M95" i="10"/>
  <c r="N95" i="10" s="1"/>
  <c r="O95" i="10" s="1"/>
  <c r="P95" i="10" s="1"/>
  <c r="M90" i="10"/>
  <c r="N90" i="10" s="1"/>
  <c r="O90" i="10" s="1"/>
  <c r="P90" i="10" s="1"/>
  <c r="M89" i="10"/>
  <c r="N89" i="10" s="1"/>
  <c r="O89" i="10" s="1"/>
  <c r="P89" i="10" s="1"/>
  <c r="R87" i="10" s="1"/>
  <c r="M63" i="10"/>
  <c r="N63" i="10" s="1"/>
  <c r="O63" i="10" s="1"/>
  <c r="P63" i="10" s="1"/>
  <c r="M97" i="10"/>
  <c r="N97" i="10" s="1"/>
  <c r="O97" i="10" s="1"/>
  <c r="P97" i="10" s="1"/>
  <c r="R96" i="10" s="1"/>
  <c r="M42" i="10"/>
  <c r="N42" i="10" s="1"/>
  <c r="O42" i="10" s="1"/>
  <c r="P42" i="10" s="1"/>
  <c r="M39" i="10"/>
  <c r="N39" i="10" s="1"/>
  <c r="O39" i="10" s="1"/>
  <c r="P39" i="10" s="1"/>
  <c r="Q30" i="9"/>
  <c r="U28" i="9" s="1"/>
  <c r="R30" i="9"/>
  <c r="S30" i="9" s="1"/>
  <c r="R42" i="9"/>
  <c r="Q42" i="9"/>
  <c r="U32" i="9" s="1"/>
  <c r="R72" i="9"/>
  <c r="Q72" i="9"/>
  <c r="U42" i="9" s="1"/>
  <c r="R90" i="9"/>
  <c r="Q90" i="9"/>
  <c r="U48" i="9" s="1"/>
  <c r="M79" i="9"/>
  <c r="N79" i="9" s="1"/>
  <c r="O79" i="9" s="1"/>
  <c r="P79" i="9" s="1"/>
  <c r="R78" i="9" s="1"/>
  <c r="M51" i="9"/>
  <c r="N51" i="9" s="1"/>
  <c r="O51" i="9" s="1"/>
  <c r="P51" i="9" s="1"/>
  <c r="M84" i="9"/>
  <c r="N84" i="9" s="1"/>
  <c r="O84" i="9" s="1"/>
  <c r="P84" i="9" s="1"/>
  <c r="M62" i="9"/>
  <c r="N62" i="9" s="1"/>
  <c r="O62" i="9" s="1"/>
  <c r="P62" i="9" s="1"/>
  <c r="Q60" i="9" s="1"/>
  <c r="U38" i="9" s="1"/>
  <c r="M69" i="9"/>
  <c r="N69" i="9" s="1"/>
  <c r="O69" i="9" s="1"/>
  <c r="P69" i="9" s="1"/>
  <c r="M45" i="9"/>
  <c r="N45" i="9" s="1"/>
  <c r="O45" i="9" s="1"/>
  <c r="P45" i="9" s="1"/>
  <c r="M87" i="9"/>
  <c r="N87" i="9" s="1"/>
  <c r="O87" i="9" s="1"/>
  <c r="P87" i="9" s="1"/>
  <c r="M91" i="9"/>
  <c r="N91" i="9" s="1"/>
  <c r="O91" i="9" s="1"/>
  <c r="P91" i="9" s="1"/>
  <c r="M35" i="9"/>
  <c r="N35" i="9" s="1"/>
  <c r="O35" i="9" s="1"/>
  <c r="P35" i="9" s="1"/>
  <c r="M96" i="9"/>
  <c r="N96" i="9" s="1"/>
  <c r="O96" i="9" s="1"/>
  <c r="P96" i="9" s="1"/>
  <c r="M93" i="9"/>
  <c r="N93" i="9" s="1"/>
  <c r="O93" i="9" s="1"/>
  <c r="P93" i="9" s="1"/>
  <c r="M34" i="9"/>
  <c r="N34" i="9" s="1"/>
  <c r="O34" i="9" s="1"/>
  <c r="P34" i="9" s="1"/>
  <c r="M47" i="9"/>
  <c r="N47" i="9" s="1"/>
  <c r="O47" i="9" s="1"/>
  <c r="P47" i="9" s="1"/>
  <c r="M39" i="9"/>
  <c r="N39" i="9" s="1"/>
  <c r="O39" i="9" s="1"/>
  <c r="P39" i="9" s="1"/>
  <c r="M97" i="9"/>
  <c r="N97" i="9" s="1"/>
  <c r="O97" i="9" s="1"/>
  <c r="P97" i="9" s="1"/>
  <c r="M58" i="9"/>
  <c r="N58" i="9" s="1"/>
  <c r="O58" i="9" s="1"/>
  <c r="P58" i="9" s="1"/>
  <c r="M37" i="9"/>
  <c r="N37" i="9" s="1"/>
  <c r="O37" i="9" s="1"/>
  <c r="P37" i="9" s="1"/>
  <c r="R36" i="9" s="1"/>
  <c r="M66" i="9"/>
  <c r="N66" i="9" s="1"/>
  <c r="O66" i="9" s="1"/>
  <c r="P66" i="9" s="1"/>
  <c r="M41" i="9"/>
  <c r="N41" i="9" s="1"/>
  <c r="O41" i="9" s="1"/>
  <c r="P41" i="9" s="1"/>
  <c r="R48" i="9"/>
  <c r="Q48" i="9"/>
  <c r="U34" i="9" s="1"/>
  <c r="M59" i="9"/>
  <c r="N59" i="9" s="1"/>
  <c r="O59" i="9" s="1"/>
  <c r="P59" i="9" s="1"/>
  <c r="P53" i="9"/>
  <c r="R54" i="9"/>
  <c r="Q54" i="9"/>
  <c r="U36" i="9" s="1"/>
  <c r="P65" i="9"/>
  <c r="R63" i="9" s="1"/>
  <c r="S63" i="9" s="1"/>
  <c r="P77" i="9"/>
  <c r="M83" i="9"/>
  <c r="N83" i="9" s="1"/>
  <c r="O83" i="9" s="1"/>
  <c r="P83" i="9" s="1"/>
  <c r="M74" i="9"/>
  <c r="N74" i="9" s="1"/>
  <c r="O74" i="9" s="1"/>
  <c r="P74" i="9" s="1"/>
  <c r="M33" i="9"/>
  <c r="N33" i="9" s="1"/>
  <c r="O33" i="9" s="1"/>
  <c r="P33" i="9" s="1"/>
  <c r="M94" i="9"/>
  <c r="N94" i="9" s="1"/>
  <c r="O94" i="9" s="1"/>
  <c r="P94" i="9" s="1"/>
  <c r="M95" i="9"/>
  <c r="N95" i="9" s="1"/>
  <c r="O95" i="9" s="1"/>
  <c r="P95" i="9" s="1"/>
  <c r="M57" i="9"/>
  <c r="N57" i="9" s="1"/>
  <c r="O57" i="9" s="1"/>
  <c r="P57" i="9" s="1"/>
  <c r="M81" i="9"/>
  <c r="N81" i="9" s="1"/>
  <c r="O81" i="9" s="1"/>
  <c r="P81" i="9" s="1"/>
  <c r="M85" i="9"/>
  <c r="N85" i="9" s="1"/>
  <c r="O85" i="9" s="1"/>
  <c r="P85" i="9" s="1"/>
  <c r="M40" i="9"/>
  <c r="N40" i="9" s="1"/>
  <c r="O40" i="9" s="1"/>
  <c r="P40" i="9" s="1"/>
  <c r="Q63" i="9"/>
  <c r="U39" i="9" s="1"/>
  <c r="M28" i="9"/>
  <c r="N28" i="9" s="1"/>
  <c r="O28" i="9" s="1"/>
  <c r="P28" i="9" s="1"/>
  <c r="Q27" i="9" s="1"/>
  <c r="U27" i="9" s="1"/>
  <c r="M46" i="9"/>
  <c r="N46" i="9" s="1"/>
  <c r="O46" i="9" s="1"/>
  <c r="P46" i="9" s="1"/>
  <c r="M76" i="9"/>
  <c r="N76" i="9" s="1"/>
  <c r="O76" i="9" s="1"/>
  <c r="P76" i="9" s="1"/>
  <c r="R75" i="9" s="1"/>
  <c r="M70" i="9"/>
  <c r="N70" i="9" s="1"/>
  <c r="O70" i="9" s="1"/>
  <c r="P70" i="9" s="1"/>
  <c r="M44" i="9"/>
  <c r="N44" i="9" s="1"/>
  <c r="O44" i="9" s="1"/>
  <c r="P44" i="9" s="1"/>
  <c r="Q51" i="8"/>
  <c r="U35" i="8" s="1"/>
  <c r="R51" i="8"/>
  <c r="S51" i="8" s="1"/>
  <c r="M84" i="8"/>
  <c r="N84" i="8" s="1"/>
  <c r="O84" i="8" s="1"/>
  <c r="P84" i="8" s="1"/>
  <c r="M91" i="8"/>
  <c r="N91" i="8" s="1"/>
  <c r="O91" i="8" s="1"/>
  <c r="P91" i="8" s="1"/>
  <c r="M86" i="8"/>
  <c r="N86" i="8" s="1"/>
  <c r="O86" i="8" s="1"/>
  <c r="P86" i="8" s="1"/>
  <c r="P31" i="8"/>
  <c r="M96" i="8"/>
  <c r="N96" i="8" s="1"/>
  <c r="O96" i="8" s="1"/>
  <c r="P96" i="8" s="1"/>
  <c r="M52" i="8"/>
  <c r="N52" i="8" s="1"/>
  <c r="O52" i="8" s="1"/>
  <c r="P52" i="8" s="1"/>
  <c r="M43" i="8"/>
  <c r="N43" i="8" s="1"/>
  <c r="O43" i="8" s="1"/>
  <c r="P43" i="8" s="1"/>
  <c r="M39" i="8"/>
  <c r="N39" i="8" s="1"/>
  <c r="O39" i="8" s="1"/>
  <c r="P39" i="8" s="1"/>
  <c r="M83" i="8"/>
  <c r="N83" i="8" s="1"/>
  <c r="O83" i="8" s="1"/>
  <c r="P83" i="8" s="1"/>
  <c r="R81" i="8" s="1"/>
  <c r="M36" i="8"/>
  <c r="N36" i="8" s="1"/>
  <c r="O36" i="8" s="1"/>
  <c r="P36" i="8" s="1"/>
  <c r="M37" i="8"/>
  <c r="N37" i="8" s="1"/>
  <c r="O37" i="8" s="1"/>
  <c r="P37" i="8" s="1"/>
  <c r="M70" i="8"/>
  <c r="N70" i="8" s="1"/>
  <c r="O70" i="8" s="1"/>
  <c r="P70" i="8" s="1"/>
  <c r="M54" i="8"/>
  <c r="N54" i="8" s="1"/>
  <c r="O54" i="8" s="1"/>
  <c r="P54" i="8" s="1"/>
  <c r="M47" i="8"/>
  <c r="N47" i="8" s="1"/>
  <c r="O47" i="8" s="1"/>
  <c r="P47" i="8" s="1"/>
  <c r="M30" i="8"/>
  <c r="N30" i="8" s="1"/>
  <c r="O30" i="8" s="1"/>
  <c r="P30" i="8" s="1"/>
  <c r="M61" i="8"/>
  <c r="N61" i="8" s="1"/>
  <c r="O61" i="8" s="1"/>
  <c r="P61" i="8" s="1"/>
  <c r="M94" i="8"/>
  <c r="N94" i="8" s="1"/>
  <c r="O94" i="8" s="1"/>
  <c r="P94" i="8" s="1"/>
  <c r="M66" i="8"/>
  <c r="N66" i="8" s="1"/>
  <c r="O66" i="8" s="1"/>
  <c r="P66" i="8" s="1"/>
  <c r="P65" i="8"/>
  <c r="Q63" i="8" s="1"/>
  <c r="U39" i="8" s="1"/>
  <c r="M73" i="8"/>
  <c r="N73" i="8" s="1"/>
  <c r="O73" i="8" s="1"/>
  <c r="P73" i="8" s="1"/>
  <c r="R72" i="8" s="1"/>
  <c r="M77" i="8"/>
  <c r="N77" i="8" s="1"/>
  <c r="O77" i="8" s="1"/>
  <c r="P77" i="8" s="1"/>
  <c r="Q75" i="8" s="1"/>
  <c r="U43" i="8" s="1"/>
  <c r="M28" i="8"/>
  <c r="N28" i="8" s="1"/>
  <c r="O28" i="8" s="1"/>
  <c r="P28" i="8" s="1"/>
  <c r="R27" i="8" s="1"/>
  <c r="M59" i="8"/>
  <c r="N59" i="8" s="1"/>
  <c r="O59" i="8" s="1"/>
  <c r="P59" i="8" s="1"/>
  <c r="M78" i="8"/>
  <c r="N78" i="8" s="1"/>
  <c r="O78" i="8" s="1"/>
  <c r="P78" i="8" s="1"/>
  <c r="M89" i="8"/>
  <c r="N89" i="8" s="1"/>
  <c r="O89" i="8" s="1"/>
  <c r="P89" i="8" s="1"/>
  <c r="M85" i="8"/>
  <c r="N85" i="8" s="1"/>
  <c r="O85" i="8" s="1"/>
  <c r="P85" i="8" s="1"/>
  <c r="M32" i="8"/>
  <c r="N32" i="8" s="1"/>
  <c r="O32" i="8" s="1"/>
  <c r="P32" i="8" s="1"/>
  <c r="M90" i="8"/>
  <c r="N90" i="8" s="1"/>
  <c r="O90" i="8" s="1"/>
  <c r="P90" i="8" s="1"/>
  <c r="M68" i="8"/>
  <c r="N68" i="8" s="1"/>
  <c r="O68" i="8" s="1"/>
  <c r="P68" i="8" s="1"/>
  <c r="M42" i="8"/>
  <c r="N42" i="8" s="1"/>
  <c r="O42" i="8" s="1"/>
  <c r="P42" i="8" s="1"/>
  <c r="M88" i="8"/>
  <c r="N88" i="8" s="1"/>
  <c r="O88" i="8" s="1"/>
  <c r="P88" i="8" s="1"/>
  <c r="M97" i="8"/>
  <c r="N97" i="8" s="1"/>
  <c r="O97" i="8" s="1"/>
  <c r="P97" i="8" s="1"/>
  <c r="M62" i="8"/>
  <c r="N62" i="8" s="1"/>
  <c r="O62" i="8" s="1"/>
  <c r="P62" i="8" s="1"/>
  <c r="M92" i="8"/>
  <c r="N92" i="8" s="1"/>
  <c r="O92" i="8" s="1"/>
  <c r="P92" i="8" s="1"/>
  <c r="M95" i="8"/>
  <c r="N95" i="8" s="1"/>
  <c r="O95" i="8" s="1"/>
  <c r="P95" i="8" s="1"/>
  <c r="M34" i="8"/>
  <c r="N34" i="8" s="1"/>
  <c r="O34" i="8" s="1"/>
  <c r="P34" i="8" s="1"/>
  <c r="R63" i="8"/>
  <c r="R75" i="8"/>
  <c r="M93" i="8"/>
  <c r="N93" i="8" s="1"/>
  <c r="O93" i="8" s="1"/>
  <c r="P93" i="8" s="1"/>
  <c r="M80" i="8"/>
  <c r="N80" i="8" s="1"/>
  <c r="O80" i="8" s="1"/>
  <c r="P80" i="8" s="1"/>
  <c r="M38" i="8"/>
  <c r="N38" i="8" s="1"/>
  <c r="O38" i="8" s="1"/>
  <c r="P38" i="8" s="1"/>
  <c r="M49" i="8"/>
  <c r="N49" i="8" s="1"/>
  <c r="O49" i="8" s="1"/>
  <c r="P49" i="8" s="1"/>
  <c r="M87" i="8"/>
  <c r="N87" i="8" s="1"/>
  <c r="O87" i="8" s="1"/>
  <c r="P87" i="8" s="1"/>
  <c r="M55" i="8"/>
  <c r="N55" i="8" s="1"/>
  <c r="O55" i="8" s="1"/>
  <c r="P55" i="8" s="1"/>
  <c r="M45" i="8"/>
  <c r="N45" i="8" s="1"/>
  <c r="O45" i="8" s="1"/>
  <c r="P45" i="8" s="1"/>
  <c r="M48" i="8"/>
  <c r="N48" i="8" s="1"/>
  <c r="O48" i="8" s="1"/>
  <c r="P48" i="8" s="1"/>
  <c r="M60" i="8"/>
  <c r="N60" i="8" s="1"/>
  <c r="O60" i="8" s="1"/>
  <c r="P60" i="8" s="1"/>
  <c r="M56" i="8"/>
  <c r="N56" i="8" s="1"/>
  <c r="O56" i="8" s="1"/>
  <c r="P56" i="8" s="1"/>
  <c r="M57" i="8"/>
  <c r="N57" i="8" s="1"/>
  <c r="O57" i="8" s="1"/>
  <c r="P57" i="8" s="1"/>
  <c r="M67" i="8"/>
  <c r="N67" i="8" s="1"/>
  <c r="O67" i="8" s="1"/>
  <c r="P67" i="8" s="1"/>
  <c r="M73" i="7"/>
  <c r="N73" i="7" s="1"/>
  <c r="O73" i="7" s="1"/>
  <c r="P73" i="7" s="1"/>
  <c r="R72" i="7" s="1"/>
  <c r="M91" i="7"/>
  <c r="N91" i="7" s="1"/>
  <c r="O91" i="7" s="1"/>
  <c r="P91" i="7" s="1"/>
  <c r="M30" i="7"/>
  <c r="N30" i="7" s="1"/>
  <c r="O30" i="7" s="1"/>
  <c r="P30" i="7" s="1"/>
  <c r="M96" i="7"/>
  <c r="N96" i="7" s="1"/>
  <c r="O96" i="7" s="1"/>
  <c r="P96" i="7" s="1"/>
  <c r="R66" i="7"/>
  <c r="Q66" i="7"/>
  <c r="U40" i="7" s="1"/>
  <c r="M37" i="7"/>
  <c r="N37" i="7" s="1"/>
  <c r="O37" i="7" s="1"/>
  <c r="P37" i="7" s="1"/>
  <c r="R36" i="7" s="1"/>
  <c r="M90" i="7"/>
  <c r="N90" i="7" s="1"/>
  <c r="O90" i="7" s="1"/>
  <c r="P90" i="7" s="1"/>
  <c r="M62" i="7"/>
  <c r="N62" i="7" s="1"/>
  <c r="O62" i="7" s="1"/>
  <c r="P62" i="7" s="1"/>
  <c r="M53" i="7"/>
  <c r="N53" i="7" s="1"/>
  <c r="O53" i="7" s="1"/>
  <c r="P53" i="7" s="1"/>
  <c r="R87" i="7"/>
  <c r="M65" i="7"/>
  <c r="N65" i="7" s="1"/>
  <c r="O65" i="7" s="1"/>
  <c r="P65" i="7" s="1"/>
  <c r="M77" i="7"/>
  <c r="N77" i="7" s="1"/>
  <c r="O77" i="7" s="1"/>
  <c r="P77" i="7" s="1"/>
  <c r="M89" i="7"/>
  <c r="N89" i="7" s="1"/>
  <c r="O89" i="7" s="1"/>
  <c r="P89" i="7" s="1"/>
  <c r="Q87" i="7" s="1"/>
  <c r="U47" i="7" s="1"/>
  <c r="M97" i="7"/>
  <c r="N97" i="7" s="1"/>
  <c r="O97" i="7" s="1"/>
  <c r="P97" i="7" s="1"/>
  <c r="M40" i="7"/>
  <c r="N40" i="7" s="1"/>
  <c r="O40" i="7" s="1"/>
  <c r="P40" i="7" s="1"/>
  <c r="M31" i="7"/>
  <c r="N31" i="7" s="1"/>
  <c r="O31" i="7" s="1"/>
  <c r="P31" i="7" s="1"/>
  <c r="M61" i="7"/>
  <c r="N61" i="7" s="1"/>
  <c r="O61" i="7" s="1"/>
  <c r="P61" i="7" s="1"/>
  <c r="Q60" i="7" s="1"/>
  <c r="U38" i="7" s="1"/>
  <c r="R57" i="7"/>
  <c r="Q57" i="7"/>
  <c r="U37" i="7" s="1"/>
  <c r="M34" i="7"/>
  <c r="N34" i="7" s="1"/>
  <c r="O34" i="7" s="1"/>
  <c r="P34" i="7" s="1"/>
  <c r="M64" i="7"/>
  <c r="N64" i="7" s="1"/>
  <c r="O64" i="7" s="1"/>
  <c r="P64" i="7" s="1"/>
  <c r="M81" i="7"/>
  <c r="N81" i="7" s="1"/>
  <c r="O81" i="7" s="1"/>
  <c r="P81" i="7" s="1"/>
  <c r="Q75" i="7"/>
  <c r="U43" i="7" s="1"/>
  <c r="R75" i="7"/>
  <c r="S75" i="7" s="1"/>
  <c r="Q42" i="7"/>
  <c r="U32" i="7" s="1"/>
  <c r="R42" i="7"/>
  <c r="S42" i="7" s="1"/>
  <c r="M27" i="7"/>
  <c r="N27" i="7" s="1"/>
  <c r="O27" i="7" s="1"/>
  <c r="P27" i="7" s="1"/>
  <c r="M52" i="7"/>
  <c r="N52" i="7" s="1"/>
  <c r="O52" i="7" s="1"/>
  <c r="P52" i="7" s="1"/>
  <c r="R93" i="7"/>
  <c r="Q93" i="7"/>
  <c r="U49" i="7" s="1"/>
  <c r="M48" i="7"/>
  <c r="N48" i="7" s="1"/>
  <c r="O48" i="7" s="1"/>
  <c r="P48" i="7" s="1"/>
  <c r="M69" i="7"/>
  <c r="N69" i="7" s="1"/>
  <c r="O69" i="7" s="1"/>
  <c r="P69" i="7" s="1"/>
  <c r="M98" i="7"/>
  <c r="N98" i="7" s="1"/>
  <c r="O98" i="7" s="1"/>
  <c r="P98" i="7" s="1"/>
  <c r="M29" i="7"/>
  <c r="N29" i="7" s="1"/>
  <c r="O29" i="7" s="1"/>
  <c r="P29" i="7" s="1"/>
  <c r="M39" i="7"/>
  <c r="N39" i="7" s="1"/>
  <c r="O39" i="7" s="1"/>
  <c r="P39" i="7" s="1"/>
  <c r="M74" i="7"/>
  <c r="N74" i="7" s="1"/>
  <c r="O74" i="7" s="1"/>
  <c r="P74" i="7" s="1"/>
  <c r="M76" i="7"/>
  <c r="N76" i="7" s="1"/>
  <c r="O76" i="7" s="1"/>
  <c r="P76" i="7" s="1"/>
  <c r="M86" i="7"/>
  <c r="N86" i="7" s="1"/>
  <c r="O86" i="7" s="1"/>
  <c r="P86" i="7" s="1"/>
  <c r="R84" i="7" s="1"/>
  <c r="M70" i="7"/>
  <c r="N70" i="7" s="1"/>
  <c r="O70" i="7" s="1"/>
  <c r="P70" i="7" s="1"/>
  <c r="M33" i="7"/>
  <c r="N33" i="7" s="1"/>
  <c r="O33" i="7" s="1"/>
  <c r="P33" i="7" s="1"/>
  <c r="M49" i="7"/>
  <c r="N49" i="7" s="1"/>
  <c r="O49" i="7" s="1"/>
  <c r="P49" i="7" s="1"/>
  <c r="M92" i="7"/>
  <c r="N92" i="7" s="1"/>
  <c r="O92" i="7" s="1"/>
  <c r="P92" i="7" s="1"/>
  <c r="M35" i="7"/>
  <c r="N35" i="7" s="1"/>
  <c r="O35" i="7" s="1"/>
  <c r="P35" i="7" s="1"/>
  <c r="Q45" i="7"/>
  <c r="U33" i="7" s="1"/>
  <c r="M78" i="7"/>
  <c r="N78" i="7" s="1"/>
  <c r="O78" i="7" s="1"/>
  <c r="P78" i="7" s="1"/>
  <c r="M55" i="7"/>
  <c r="N55" i="7" s="1"/>
  <c r="O55" i="7" s="1"/>
  <c r="P55" i="7" s="1"/>
  <c r="R54" i="7" s="1"/>
  <c r="Q69" i="6"/>
  <c r="U41" i="6" s="1"/>
  <c r="R90" i="6"/>
  <c r="Q90" i="6"/>
  <c r="U48" i="6" s="1"/>
  <c r="M75" i="6"/>
  <c r="N75" i="6" s="1"/>
  <c r="O75" i="6" s="1"/>
  <c r="P75" i="6" s="1"/>
  <c r="M38" i="6"/>
  <c r="N38" i="6" s="1"/>
  <c r="O38" i="6" s="1"/>
  <c r="P38" i="6" s="1"/>
  <c r="Q36" i="6" s="1"/>
  <c r="U30" i="6" s="1"/>
  <c r="M83" i="6"/>
  <c r="N83" i="6" s="1"/>
  <c r="O83" i="6" s="1"/>
  <c r="P83" i="6" s="1"/>
  <c r="R81" i="6" s="1"/>
  <c r="M44" i="6"/>
  <c r="N44" i="6" s="1"/>
  <c r="O44" i="6" s="1"/>
  <c r="P44" i="6" s="1"/>
  <c r="R93" i="6"/>
  <c r="Q93" i="6"/>
  <c r="U49" i="6" s="1"/>
  <c r="R96" i="6"/>
  <c r="Q96" i="6"/>
  <c r="U50" i="6" s="1"/>
  <c r="M27" i="6"/>
  <c r="N27" i="6" s="1"/>
  <c r="O27" i="6" s="1"/>
  <c r="P27" i="6" s="1"/>
  <c r="R78" i="6"/>
  <c r="M62" i="6"/>
  <c r="N62" i="6" s="1"/>
  <c r="O62" i="6" s="1"/>
  <c r="P62" i="6" s="1"/>
  <c r="M61" i="6"/>
  <c r="N61" i="6" s="1"/>
  <c r="O61" i="6" s="1"/>
  <c r="P61" i="6" s="1"/>
  <c r="M98" i="6"/>
  <c r="N98" i="6" s="1"/>
  <c r="O98" i="6" s="1"/>
  <c r="P98" i="6" s="1"/>
  <c r="M54" i="6"/>
  <c r="N54" i="6" s="1"/>
  <c r="O54" i="6" s="1"/>
  <c r="P54" i="6" s="1"/>
  <c r="M33" i="6"/>
  <c r="N33" i="6" s="1"/>
  <c r="O33" i="6" s="1"/>
  <c r="P33" i="6" s="1"/>
  <c r="M48" i="6"/>
  <c r="N48" i="6" s="1"/>
  <c r="O48" i="6" s="1"/>
  <c r="P48" i="6" s="1"/>
  <c r="M80" i="6"/>
  <c r="N80" i="6" s="1"/>
  <c r="O80" i="6" s="1"/>
  <c r="P80" i="6" s="1"/>
  <c r="M35" i="6"/>
  <c r="N35" i="6" s="1"/>
  <c r="O35" i="6" s="1"/>
  <c r="P35" i="6" s="1"/>
  <c r="M40" i="6"/>
  <c r="N40" i="6" s="1"/>
  <c r="O40" i="6" s="1"/>
  <c r="P40" i="6" s="1"/>
  <c r="Q39" i="6" s="1"/>
  <c r="U31" i="6" s="1"/>
  <c r="M55" i="6"/>
  <c r="N55" i="6" s="1"/>
  <c r="O55" i="6" s="1"/>
  <c r="P55" i="6" s="1"/>
  <c r="M76" i="6"/>
  <c r="N76" i="6" s="1"/>
  <c r="O76" i="6" s="1"/>
  <c r="P76" i="6" s="1"/>
  <c r="M87" i="6"/>
  <c r="N87" i="6" s="1"/>
  <c r="O87" i="6" s="1"/>
  <c r="P87" i="6" s="1"/>
  <c r="M67" i="6"/>
  <c r="N67" i="6" s="1"/>
  <c r="O67" i="6" s="1"/>
  <c r="P67" i="6" s="1"/>
  <c r="R66" i="6" s="1"/>
  <c r="M68" i="6"/>
  <c r="N68" i="6" s="1"/>
  <c r="O68" i="6" s="1"/>
  <c r="P68" i="6" s="1"/>
  <c r="M63" i="6"/>
  <c r="N63" i="6" s="1"/>
  <c r="O63" i="6" s="1"/>
  <c r="P63" i="6" s="1"/>
  <c r="M71" i="6"/>
  <c r="N71" i="6" s="1"/>
  <c r="O71" i="6" s="1"/>
  <c r="P71" i="6" s="1"/>
  <c r="R69" i="6" s="1"/>
  <c r="S69" i="6" s="1"/>
  <c r="M79" i="6"/>
  <c r="N79" i="6" s="1"/>
  <c r="O79" i="6" s="1"/>
  <c r="P79" i="6" s="1"/>
  <c r="Q78" i="6" s="1"/>
  <c r="U44" i="6" s="1"/>
  <c r="M46" i="6"/>
  <c r="N46" i="6" s="1"/>
  <c r="O46" i="6" s="1"/>
  <c r="P46" i="6" s="1"/>
  <c r="M28" i="6"/>
  <c r="N28" i="6" s="1"/>
  <c r="O28" i="6" s="1"/>
  <c r="P28" i="6" s="1"/>
  <c r="P56" i="6"/>
  <c r="M45" i="6"/>
  <c r="N45" i="6" s="1"/>
  <c r="O45" i="6" s="1"/>
  <c r="P45" i="6" s="1"/>
  <c r="M51" i="6"/>
  <c r="N51" i="6" s="1"/>
  <c r="O51" i="6" s="1"/>
  <c r="P51" i="6" s="1"/>
  <c r="M77" i="6"/>
  <c r="N77" i="6" s="1"/>
  <c r="O77" i="6" s="1"/>
  <c r="P77" i="6" s="1"/>
  <c r="M32" i="6"/>
  <c r="N32" i="6" s="1"/>
  <c r="O32" i="6" s="1"/>
  <c r="P32" i="6" s="1"/>
  <c r="M89" i="6"/>
  <c r="N89" i="6" s="1"/>
  <c r="O89" i="6" s="1"/>
  <c r="P89" i="6" s="1"/>
  <c r="M34" i="6"/>
  <c r="N34" i="6" s="1"/>
  <c r="O34" i="6" s="1"/>
  <c r="P34" i="6" s="1"/>
  <c r="M31" i="6"/>
  <c r="N31" i="6" s="1"/>
  <c r="O31" i="6" s="1"/>
  <c r="P31" i="6" s="1"/>
  <c r="R30" i="6" s="1"/>
  <c r="M97" i="6"/>
  <c r="N97" i="6" s="1"/>
  <c r="O97" i="6" s="1"/>
  <c r="P97" i="6" s="1"/>
  <c r="P58" i="6"/>
  <c r="R57" i="6" s="1"/>
  <c r="M60" i="6"/>
  <c r="N60" i="6" s="1"/>
  <c r="O60" i="6" s="1"/>
  <c r="P60" i="6" s="1"/>
  <c r="M47" i="6"/>
  <c r="N47" i="6" s="1"/>
  <c r="O47" i="6" s="1"/>
  <c r="P47" i="6" s="1"/>
  <c r="M72" i="6"/>
  <c r="N72" i="6" s="1"/>
  <c r="O72" i="6" s="1"/>
  <c r="P72" i="6" s="1"/>
  <c r="M88" i="6"/>
  <c r="N88" i="6" s="1"/>
  <c r="O88" i="6" s="1"/>
  <c r="P88" i="6" s="1"/>
  <c r="M42" i="6"/>
  <c r="N42" i="6" s="1"/>
  <c r="O42" i="6" s="1"/>
  <c r="P42" i="6" s="1"/>
  <c r="M84" i="6"/>
  <c r="N84" i="6" s="1"/>
  <c r="O84" i="6" s="1"/>
  <c r="P84" i="6" s="1"/>
  <c r="M49" i="5"/>
  <c r="N49" i="5" s="1"/>
  <c r="O49" i="5" s="1"/>
  <c r="P49" i="5" s="1"/>
  <c r="R27" i="5"/>
  <c r="Q27" i="5"/>
  <c r="U27" i="5" s="1"/>
  <c r="M37" i="5"/>
  <c r="N37" i="5" s="1"/>
  <c r="O37" i="5" s="1"/>
  <c r="P37" i="5" s="1"/>
  <c r="R36" i="5" s="1"/>
  <c r="Q87" i="5"/>
  <c r="U47" i="5" s="1"/>
  <c r="R87" i="5"/>
  <c r="S87" i="5" s="1"/>
  <c r="R54" i="5"/>
  <c r="Q54" i="5"/>
  <c r="U36" i="5" s="1"/>
  <c r="M41" i="5"/>
  <c r="N41" i="5" s="1"/>
  <c r="O41" i="5" s="1"/>
  <c r="P41" i="5" s="1"/>
  <c r="R39" i="5" s="1"/>
  <c r="M70" i="5"/>
  <c r="N70" i="5" s="1"/>
  <c r="O70" i="5" s="1"/>
  <c r="P70" i="5" s="1"/>
  <c r="M62" i="5"/>
  <c r="N62" i="5" s="1"/>
  <c r="O62" i="5" s="1"/>
  <c r="P62" i="5" s="1"/>
  <c r="M57" i="5"/>
  <c r="N57" i="5" s="1"/>
  <c r="O57" i="5" s="1"/>
  <c r="P57" i="5" s="1"/>
  <c r="R66" i="5"/>
  <c r="Q66" i="5"/>
  <c r="U40" i="5" s="1"/>
  <c r="M75" i="5"/>
  <c r="N75" i="5" s="1"/>
  <c r="O75" i="5" s="1"/>
  <c r="P75" i="5" s="1"/>
  <c r="R81" i="5"/>
  <c r="Q81" i="5"/>
  <c r="U45" i="5" s="1"/>
  <c r="M77" i="5"/>
  <c r="N77" i="5" s="1"/>
  <c r="O77" i="5" s="1"/>
  <c r="P77" i="5" s="1"/>
  <c r="M89" i="5"/>
  <c r="N89" i="5" s="1"/>
  <c r="O89" i="5" s="1"/>
  <c r="P89" i="5" s="1"/>
  <c r="M92" i="5"/>
  <c r="N92" i="5" s="1"/>
  <c r="O92" i="5" s="1"/>
  <c r="P92" i="5" s="1"/>
  <c r="M47" i="5"/>
  <c r="N47" i="5" s="1"/>
  <c r="O47" i="5" s="1"/>
  <c r="P47" i="5" s="1"/>
  <c r="Q45" i="5" s="1"/>
  <c r="U33" i="5" s="1"/>
  <c r="R90" i="5"/>
  <c r="Q90" i="5"/>
  <c r="U48" i="5" s="1"/>
  <c r="M69" i="5"/>
  <c r="N69" i="5" s="1"/>
  <c r="O69" i="5" s="1"/>
  <c r="P69" i="5" s="1"/>
  <c r="P97" i="5"/>
  <c r="R96" i="5" s="1"/>
  <c r="M86" i="5"/>
  <c r="N86" i="5" s="1"/>
  <c r="O86" i="5" s="1"/>
  <c r="P86" i="5" s="1"/>
  <c r="M48" i="5"/>
  <c r="N48" i="5" s="1"/>
  <c r="O48" i="5" s="1"/>
  <c r="P48" i="5" s="1"/>
  <c r="M38" i="5"/>
  <c r="N38" i="5" s="1"/>
  <c r="O38" i="5" s="1"/>
  <c r="P38" i="5" s="1"/>
  <c r="M74" i="5"/>
  <c r="N74" i="5" s="1"/>
  <c r="O74" i="5" s="1"/>
  <c r="P74" i="5" s="1"/>
  <c r="R33" i="5"/>
  <c r="Q33" i="5"/>
  <c r="U29" i="5" s="1"/>
  <c r="M44" i="5"/>
  <c r="N44" i="5" s="1"/>
  <c r="O44" i="5" s="1"/>
  <c r="P44" i="5" s="1"/>
  <c r="R42" i="5" s="1"/>
  <c r="S42" i="5" s="1"/>
  <c r="M29" i="5"/>
  <c r="N29" i="5" s="1"/>
  <c r="O29" i="5" s="1"/>
  <c r="P29" i="5" s="1"/>
  <c r="R60" i="5"/>
  <c r="Q60" i="5"/>
  <c r="U38" i="5" s="1"/>
  <c r="M52" i="5"/>
  <c r="N52" i="5" s="1"/>
  <c r="O52" i="5" s="1"/>
  <c r="P52" i="5" s="1"/>
  <c r="P64" i="5"/>
  <c r="M58" i="5"/>
  <c r="N58" i="5" s="1"/>
  <c r="O58" i="5" s="1"/>
  <c r="P58" i="5" s="1"/>
  <c r="M71" i="5"/>
  <c r="N71" i="5" s="1"/>
  <c r="O71" i="5" s="1"/>
  <c r="P71" i="5" s="1"/>
  <c r="M72" i="5"/>
  <c r="N72" i="5" s="1"/>
  <c r="O72" i="5" s="1"/>
  <c r="P72" i="5" s="1"/>
  <c r="Q42" i="5"/>
  <c r="U32" i="5" s="1"/>
  <c r="M63" i="5"/>
  <c r="N63" i="5" s="1"/>
  <c r="O63" i="5" s="1"/>
  <c r="P63" i="5" s="1"/>
  <c r="M98" i="5"/>
  <c r="N98" i="5" s="1"/>
  <c r="O98" i="5" s="1"/>
  <c r="P98" i="5" s="1"/>
  <c r="M79" i="5"/>
  <c r="N79" i="5" s="1"/>
  <c r="O79" i="5" s="1"/>
  <c r="P79" i="5" s="1"/>
  <c r="Q78" i="5" s="1"/>
  <c r="U44" i="5" s="1"/>
  <c r="M93" i="5"/>
  <c r="N93" i="5" s="1"/>
  <c r="O93" i="5" s="1"/>
  <c r="P93" i="5" s="1"/>
  <c r="M51" i="5"/>
  <c r="N51" i="5" s="1"/>
  <c r="O51" i="5" s="1"/>
  <c r="P51" i="5" s="1"/>
  <c r="M84" i="5"/>
  <c r="N84" i="5" s="1"/>
  <c r="O84" i="5" s="1"/>
  <c r="P84" i="5" s="1"/>
  <c r="Q30" i="5"/>
  <c r="U28" i="5" s="1"/>
  <c r="M32" i="5"/>
  <c r="N32" i="5" s="1"/>
  <c r="O32" i="5" s="1"/>
  <c r="P32" i="5" s="1"/>
  <c r="R30" i="5" s="1"/>
  <c r="S30" i="5" s="1"/>
  <c r="M88" i="5"/>
  <c r="N88" i="5" s="1"/>
  <c r="O88" i="5" s="1"/>
  <c r="P88" i="5" s="1"/>
  <c r="M91" i="5"/>
  <c r="N91" i="5" s="1"/>
  <c r="O91" i="5" s="1"/>
  <c r="P91" i="5" s="1"/>
  <c r="M54" i="3"/>
  <c r="N54" i="3" s="1"/>
  <c r="O54" i="3" s="1"/>
  <c r="P54" i="3" s="1"/>
  <c r="M75" i="3"/>
  <c r="N75" i="3" s="1"/>
  <c r="O75" i="3" s="1"/>
  <c r="P75" i="3" s="1"/>
  <c r="R30" i="3"/>
  <c r="S30" i="3" s="1"/>
  <c r="Q30" i="3"/>
  <c r="U28" i="3" s="1"/>
  <c r="M94" i="3"/>
  <c r="N94" i="3" s="1"/>
  <c r="O94" i="3" s="1"/>
  <c r="P94" i="3" s="1"/>
  <c r="M72" i="3"/>
  <c r="N72" i="3" s="1"/>
  <c r="O72" i="3" s="1"/>
  <c r="P72" i="3" s="1"/>
  <c r="P58" i="3"/>
  <c r="M59" i="3"/>
  <c r="N59" i="3" s="1"/>
  <c r="O59" i="3" s="1"/>
  <c r="P59" i="3" s="1"/>
  <c r="M91" i="3"/>
  <c r="N91" i="3" s="1"/>
  <c r="O91" i="3" s="1"/>
  <c r="P91" i="3" s="1"/>
  <c r="R90" i="3" s="1"/>
  <c r="R78" i="3"/>
  <c r="Q78" i="3"/>
  <c r="U44" i="3" s="1"/>
  <c r="M61" i="3"/>
  <c r="N61" i="3" s="1"/>
  <c r="O61" i="3" s="1"/>
  <c r="P61" i="3" s="1"/>
  <c r="Q60" i="3" s="1"/>
  <c r="U38" i="3" s="1"/>
  <c r="M41" i="3"/>
  <c r="N41" i="3" s="1"/>
  <c r="O41" i="3" s="1"/>
  <c r="P41" i="3" s="1"/>
  <c r="M42" i="3"/>
  <c r="N42" i="3" s="1"/>
  <c r="O42" i="3" s="1"/>
  <c r="P42" i="3" s="1"/>
  <c r="M53" i="3"/>
  <c r="N53" i="3" s="1"/>
  <c r="O53" i="3" s="1"/>
  <c r="P53" i="3" s="1"/>
  <c r="M31" i="3"/>
  <c r="N31" i="3" s="1"/>
  <c r="O31" i="3" s="1"/>
  <c r="P31" i="3" s="1"/>
  <c r="M65" i="3"/>
  <c r="N65" i="3" s="1"/>
  <c r="O65" i="3" s="1"/>
  <c r="P65" i="3" s="1"/>
  <c r="M82" i="3"/>
  <c r="N82" i="3" s="1"/>
  <c r="O82" i="3" s="1"/>
  <c r="P82" i="3" s="1"/>
  <c r="R27" i="3"/>
  <c r="Q27" i="3"/>
  <c r="U27" i="3" s="1"/>
  <c r="M69" i="3"/>
  <c r="N69" i="3" s="1"/>
  <c r="O69" i="3" s="1"/>
  <c r="P69" i="3" s="1"/>
  <c r="M57" i="3"/>
  <c r="N57" i="3" s="1"/>
  <c r="O57" i="3" s="1"/>
  <c r="P57" i="3" s="1"/>
  <c r="M68" i="3"/>
  <c r="N68" i="3" s="1"/>
  <c r="O68" i="3" s="1"/>
  <c r="P68" i="3" s="1"/>
  <c r="M86" i="3"/>
  <c r="N86" i="3" s="1"/>
  <c r="O86" i="3" s="1"/>
  <c r="P86" i="3" s="1"/>
  <c r="M46" i="3"/>
  <c r="N46" i="3" s="1"/>
  <c r="O46" i="3" s="1"/>
  <c r="P46" i="3" s="1"/>
  <c r="M79" i="3"/>
  <c r="N79" i="3" s="1"/>
  <c r="O79" i="3" s="1"/>
  <c r="P79" i="3" s="1"/>
  <c r="M84" i="3"/>
  <c r="N84" i="3" s="1"/>
  <c r="O84" i="3" s="1"/>
  <c r="P84" i="3" s="1"/>
  <c r="M49" i="3"/>
  <c r="N49" i="3" s="1"/>
  <c r="O49" i="3" s="1"/>
  <c r="P49" i="3" s="1"/>
  <c r="M39" i="3"/>
  <c r="N39" i="3" s="1"/>
  <c r="O39" i="3" s="1"/>
  <c r="P39" i="3" s="1"/>
  <c r="M37" i="3"/>
  <c r="N37" i="3" s="1"/>
  <c r="O37" i="3" s="1"/>
  <c r="P37" i="3" s="1"/>
  <c r="R36" i="3" s="1"/>
  <c r="Q66" i="3"/>
  <c r="U40" i="3" s="1"/>
  <c r="R66" i="3"/>
  <c r="S66" i="3" s="1"/>
  <c r="M81" i="3"/>
  <c r="N81" i="3" s="1"/>
  <c r="O81" i="3" s="1"/>
  <c r="P81" i="3" s="1"/>
  <c r="M48" i="3"/>
  <c r="N48" i="3" s="1"/>
  <c r="O48" i="3" s="1"/>
  <c r="P48" i="3" s="1"/>
  <c r="M64" i="3"/>
  <c r="N64" i="3" s="1"/>
  <c r="O64" i="3" s="1"/>
  <c r="P64" i="3" s="1"/>
  <c r="M87" i="3"/>
  <c r="N87" i="3" s="1"/>
  <c r="O87" i="3" s="1"/>
  <c r="P87" i="3" s="1"/>
  <c r="M77" i="3"/>
  <c r="N77" i="3" s="1"/>
  <c r="O77" i="3" s="1"/>
  <c r="P77" i="3" s="1"/>
  <c r="M38" i="3"/>
  <c r="N38" i="3" s="1"/>
  <c r="O38" i="3" s="1"/>
  <c r="P38" i="3" s="1"/>
  <c r="M63" i="3"/>
  <c r="N63" i="3" s="1"/>
  <c r="O63" i="3" s="1"/>
  <c r="P63" i="3" s="1"/>
  <c r="R51" i="3"/>
  <c r="Q51" i="3"/>
  <c r="U35" i="3" s="1"/>
  <c r="M98" i="3"/>
  <c r="N98" i="3" s="1"/>
  <c r="O98" i="3" s="1"/>
  <c r="P98" i="3" s="1"/>
  <c r="R96" i="3" s="1"/>
  <c r="M89" i="3"/>
  <c r="N89" i="3" s="1"/>
  <c r="O89" i="3" s="1"/>
  <c r="P89" i="3" s="1"/>
  <c r="M34" i="3"/>
  <c r="N34" i="3" s="1"/>
  <c r="O34" i="3" s="1"/>
  <c r="P34" i="3" s="1"/>
  <c r="Q33" i="3" s="1"/>
  <c r="U29" i="3" s="1"/>
  <c r="M45" i="3"/>
  <c r="N45" i="3" s="1"/>
  <c r="O45" i="3" s="1"/>
  <c r="P45" i="3" s="1"/>
  <c r="M35" i="3"/>
  <c r="N35" i="3" s="1"/>
  <c r="O35" i="3" s="1"/>
  <c r="P35" i="3" s="1"/>
  <c r="M74" i="3"/>
  <c r="N74" i="3" s="1"/>
  <c r="O74" i="3" s="1"/>
  <c r="P74" i="3" s="1"/>
  <c r="M56" i="3"/>
  <c r="N56" i="3" s="1"/>
  <c r="O56" i="3" s="1"/>
  <c r="P56" i="3" s="1"/>
  <c r="K14" i="1"/>
  <c r="K89" i="1" s="1"/>
  <c r="J14" i="1"/>
  <c r="J81" i="1" s="1"/>
  <c r="K29" i="1"/>
  <c r="K93" i="1"/>
  <c r="F40" i="1"/>
  <c r="F70" i="1"/>
  <c r="F31" i="1"/>
  <c r="F88" i="1"/>
  <c r="F77" i="1"/>
  <c r="F67" i="1"/>
  <c r="F95" i="1"/>
  <c r="F55" i="1"/>
  <c r="F91" i="1"/>
  <c r="F82" i="1"/>
  <c r="F34" i="1"/>
  <c r="F61" i="1"/>
  <c r="F37" i="1"/>
  <c r="F65" i="1"/>
  <c r="F80" i="1"/>
  <c r="F28" i="1"/>
  <c r="F97" i="1"/>
  <c r="N10" i="1"/>
  <c r="F46" i="1"/>
  <c r="F47" i="1"/>
  <c r="K74" i="1"/>
  <c r="F85" i="1"/>
  <c r="F86" i="1"/>
  <c r="N6" i="1"/>
  <c r="K95" i="1"/>
  <c r="K51" i="1"/>
  <c r="K43" i="1"/>
  <c r="F49" i="1"/>
  <c r="F50" i="1"/>
  <c r="F53" i="1"/>
  <c r="K85" i="1"/>
  <c r="K84" i="1"/>
  <c r="K55" i="1"/>
  <c r="K52" i="1"/>
  <c r="K38" i="1"/>
  <c r="K77" i="1"/>
  <c r="K73" i="1"/>
  <c r="K41" i="1"/>
  <c r="K59" i="1"/>
  <c r="K42" i="1"/>
  <c r="K96" i="1"/>
  <c r="K71" i="1"/>
  <c r="K67" i="1"/>
  <c r="K47" i="1"/>
  <c r="K69" i="1"/>
  <c r="K65" i="1"/>
  <c r="F59" i="1"/>
  <c r="K64" i="1"/>
  <c r="F43" i="1"/>
  <c r="N9" i="1"/>
  <c r="K40" i="1"/>
  <c r="F74" i="1"/>
  <c r="K78" i="1"/>
  <c r="K49" i="1" l="1"/>
  <c r="K28" i="1"/>
  <c r="K70" i="1"/>
  <c r="K39" i="1"/>
  <c r="K34" i="1"/>
  <c r="K54" i="1"/>
  <c r="K45" i="1"/>
  <c r="K48" i="1"/>
  <c r="K57" i="1"/>
  <c r="N8" i="1"/>
  <c r="K35" i="1"/>
  <c r="K33" i="1"/>
  <c r="K87" i="1"/>
  <c r="K90" i="1"/>
  <c r="K50" i="1"/>
  <c r="K53" i="1"/>
  <c r="K63" i="1"/>
  <c r="K60" i="1"/>
  <c r="K37" i="1"/>
  <c r="K76" i="1"/>
  <c r="K82" i="1"/>
  <c r="K79" i="1"/>
  <c r="J27" i="1"/>
  <c r="K80" i="1"/>
  <c r="K27" i="1"/>
  <c r="K83" i="1"/>
  <c r="K46" i="1"/>
  <c r="K86" i="1"/>
  <c r="K44" i="1"/>
  <c r="K32" i="1"/>
  <c r="K36" i="1"/>
  <c r="K75" i="1"/>
  <c r="K58" i="1"/>
  <c r="K61" i="1"/>
  <c r="K94" i="1"/>
  <c r="K62" i="1"/>
  <c r="K68" i="1"/>
  <c r="K98" i="1"/>
  <c r="K97" i="1"/>
  <c r="K88" i="1"/>
  <c r="K56" i="1"/>
  <c r="K72" i="1"/>
  <c r="N7" i="1"/>
  <c r="K92" i="1"/>
  <c r="K81" i="1"/>
  <c r="M81" i="1" s="1"/>
  <c r="K66" i="1"/>
  <c r="K30" i="1"/>
  <c r="K31" i="1"/>
  <c r="K91" i="1"/>
  <c r="R69" i="11"/>
  <c r="S69" i="11" s="1"/>
  <c r="Q69" i="11"/>
  <c r="U41" i="11" s="1"/>
  <c r="Q30" i="11"/>
  <c r="U28" i="11" s="1"/>
  <c r="R30" i="11"/>
  <c r="S30" i="11" s="1"/>
  <c r="R54" i="11"/>
  <c r="Q54" i="11"/>
  <c r="U36" i="11" s="1"/>
  <c r="R81" i="11"/>
  <c r="Q81" i="11"/>
  <c r="U45" i="11" s="1"/>
  <c r="R93" i="11"/>
  <c r="Q93" i="11"/>
  <c r="U49" i="11" s="1"/>
  <c r="R42" i="11"/>
  <c r="Q42" i="11"/>
  <c r="U32" i="11" s="1"/>
  <c r="R48" i="11"/>
  <c r="Q48" i="11"/>
  <c r="U34" i="11" s="1"/>
  <c r="R60" i="11"/>
  <c r="Q60" i="11"/>
  <c r="U38" i="11" s="1"/>
  <c r="R57" i="11"/>
  <c r="Q57" i="11"/>
  <c r="U37" i="11" s="1"/>
  <c r="R72" i="11"/>
  <c r="Q72" i="11"/>
  <c r="U42" i="11" s="1"/>
  <c r="R84" i="11"/>
  <c r="S84" i="11" s="1"/>
  <c r="Q84" i="11"/>
  <c r="U46" i="11" s="1"/>
  <c r="R96" i="11"/>
  <c r="Q96" i="11"/>
  <c r="U50" i="11" s="1"/>
  <c r="R75" i="11"/>
  <c r="Q75" i="11"/>
  <c r="U43" i="11" s="1"/>
  <c r="R36" i="11"/>
  <c r="Q36" i="11"/>
  <c r="U30" i="11" s="1"/>
  <c r="R90" i="11"/>
  <c r="Q90" i="11"/>
  <c r="U48" i="11" s="1"/>
  <c r="R45" i="11"/>
  <c r="Q45" i="11"/>
  <c r="U33" i="11" s="1"/>
  <c r="R87" i="11"/>
  <c r="Q87" i="11"/>
  <c r="U47" i="11" s="1"/>
  <c r="R63" i="11"/>
  <c r="Q63" i="11"/>
  <c r="U39" i="11" s="1"/>
  <c r="R27" i="11"/>
  <c r="Q27" i="11"/>
  <c r="U27" i="11" s="1"/>
  <c r="R78" i="11"/>
  <c r="Q78" i="11"/>
  <c r="U44" i="11" s="1"/>
  <c r="R66" i="11"/>
  <c r="S66" i="11" s="1"/>
  <c r="Q66" i="11"/>
  <c r="U40" i="11" s="1"/>
  <c r="R39" i="11"/>
  <c r="Q39" i="11"/>
  <c r="U31" i="11" s="1"/>
  <c r="R51" i="11"/>
  <c r="Q51" i="11"/>
  <c r="U35" i="11" s="1"/>
  <c r="Q33" i="11"/>
  <c r="U29" i="11" s="1"/>
  <c r="R33" i="11"/>
  <c r="S33" i="11" s="1"/>
  <c r="R63" i="10"/>
  <c r="Q63" i="10"/>
  <c r="U39" i="10" s="1"/>
  <c r="R75" i="10"/>
  <c r="Q75" i="10"/>
  <c r="U43" i="10" s="1"/>
  <c r="Q96" i="10"/>
  <c r="U50" i="10" s="1"/>
  <c r="R90" i="10"/>
  <c r="Q90" i="10"/>
  <c r="U48" i="10" s="1"/>
  <c r="R69" i="10"/>
  <c r="Q69" i="10"/>
  <c r="U41" i="10" s="1"/>
  <c r="S54" i="10"/>
  <c r="S81" i="10"/>
  <c r="S84" i="10"/>
  <c r="R57" i="10"/>
  <c r="Q57" i="10"/>
  <c r="U37" i="10" s="1"/>
  <c r="R51" i="10"/>
  <c r="S51" i="10" s="1"/>
  <c r="Q87" i="10"/>
  <c r="U47" i="10" s="1"/>
  <c r="R48" i="10"/>
  <c r="S48" i="10" s="1"/>
  <c r="R42" i="10"/>
  <c r="Q42" i="10"/>
  <c r="U32" i="10" s="1"/>
  <c r="Q27" i="10"/>
  <c r="U27" i="10" s="1"/>
  <c r="R27" i="10"/>
  <c r="S27" i="10" s="1"/>
  <c r="S66" i="10"/>
  <c r="Q36" i="10"/>
  <c r="U30" i="10" s="1"/>
  <c r="R36" i="10"/>
  <c r="S36" i="10" s="1"/>
  <c r="R78" i="10"/>
  <c r="Q78" i="10"/>
  <c r="U44" i="10" s="1"/>
  <c r="R93" i="10"/>
  <c r="Q93" i="10"/>
  <c r="U49" i="10" s="1"/>
  <c r="R30" i="10"/>
  <c r="Q30" i="10"/>
  <c r="U28" i="10" s="1"/>
  <c r="R45" i="10"/>
  <c r="Q45" i="10"/>
  <c r="U33" i="10" s="1"/>
  <c r="Q33" i="10"/>
  <c r="U29" i="10" s="1"/>
  <c r="R39" i="10"/>
  <c r="Q39" i="10"/>
  <c r="U31" i="10" s="1"/>
  <c r="S54" i="9"/>
  <c r="R69" i="9"/>
  <c r="Q69" i="9"/>
  <c r="U41" i="9" s="1"/>
  <c r="R84" i="9"/>
  <c r="Q84" i="9"/>
  <c r="U46" i="9" s="1"/>
  <c r="R51" i="9"/>
  <c r="Q51" i="9"/>
  <c r="U35" i="9" s="1"/>
  <c r="S90" i="9"/>
  <c r="Q66" i="9"/>
  <c r="U40" i="9" s="1"/>
  <c r="R66" i="9"/>
  <c r="S66" i="9" s="1"/>
  <c r="R57" i="9"/>
  <c r="Q57" i="9"/>
  <c r="U37" i="9" s="1"/>
  <c r="R27" i="9"/>
  <c r="S27" i="9" s="1"/>
  <c r="S72" i="9"/>
  <c r="R39" i="9"/>
  <c r="Q39" i="9"/>
  <c r="U31" i="9" s="1"/>
  <c r="S42" i="9"/>
  <c r="R93" i="9"/>
  <c r="Q93" i="9"/>
  <c r="U49" i="9" s="1"/>
  <c r="R96" i="9"/>
  <c r="Q96" i="9"/>
  <c r="U50" i="9" s="1"/>
  <c r="R60" i="9"/>
  <c r="S60" i="9" s="1"/>
  <c r="S48" i="9"/>
  <c r="R81" i="9"/>
  <c r="Q81" i="9"/>
  <c r="U45" i="9" s="1"/>
  <c r="R33" i="9"/>
  <c r="Q33" i="9"/>
  <c r="U29" i="9" s="1"/>
  <c r="Q78" i="9"/>
  <c r="U44" i="9" s="1"/>
  <c r="Q36" i="9"/>
  <c r="U30" i="9" s="1"/>
  <c r="Q75" i="9"/>
  <c r="U43" i="9" s="1"/>
  <c r="R87" i="9"/>
  <c r="Q87" i="9"/>
  <c r="U47" i="9" s="1"/>
  <c r="R45" i="9"/>
  <c r="Q45" i="9"/>
  <c r="U33" i="9" s="1"/>
  <c r="R78" i="8"/>
  <c r="Q78" i="8"/>
  <c r="U44" i="8" s="1"/>
  <c r="S75" i="8"/>
  <c r="S63" i="8"/>
  <c r="R33" i="8"/>
  <c r="Q33" i="8"/>
  <c r="U29" i="8" s="1"/>
  <c r="Q66" i="8"/>
  <c r="U40" i="8" s="1"/>
  <c r="R66" i="8"/>
  <c r="S66" i="8" s="1"/>
  <c r="Q27" i="8"/>
  <c r="U27" i="8" s="1"/>
  <c r="Q72" i="8"/>
  <c r="U42" i="8" s="1"/>
  <c r="Q30" i="8"/>
  <c r="U28" i="8" s="1"/>
  <c r="R30" i="8"/>
  <c r="S30" i="8" s="1"/>
  <c r="R54" i="8"/>
  <c r="Q54" i="8"/>
  <c r="U36" i="8" s="1"/>
  <c r="R57" i="8"/>
  <c r="Q57" i="8"/>
  <c r="U37" i="8" s="1"/>
  <c r="R42" i="8"/>
  <c r="S42" i="8" s="1"/>
  <c r="Q42" i="8"/>
  <c r="U32" i="8" s="1"/>
  <c r="R69" i="8"/>
  <c r="Q69" i="8"/>
  <c r="U41" i="8" s="1"/>
  <c r="R60" i="8"/>
  <c r="Q60" i="8"/>
  <c r="U38" i="8" s="1"/>
  <c r="R90" i="8"/>
  <c r="Q90" i="8"/>
  <c r="U48" i="8" s="1"/>
  <c r="R36" i="8"/>
  <c r="Q36" i="8"/>
  <c r="U30" i="8" s="1"/>
  <c r="R48" i="8"/>
  <c r="Q48" i="8"/>
  <c r="U34" i="8" s="1"/>
  <c r="R45" i="8"/>
  <c r="Q45" i="8"/>
  <c r="U33" i="8" s="1"/>
  <c r="R39" i="8"/>
  <c r="Q39" i="8"/>
  <c r="U31" i="8" s="1"/>
  <c r="Q81" i="8"/>
  <c r="U45" i="8" s="1"/>
  <c r="Q87" i="8"/>
  <c r="U47" i="8" s="1"/>
  <c r="R87" i="8"/>
  <c r="S87" i="8" s="1"/>
  <c r="R96" i="8"/>
  <c r="Q96" i="8"/>
  <c r="U50" i="8" s="1"/>
  <c r="R93" i="8"/>
  <c r="S93" i="8" s="1"/>
  <c r="Q93" i="8"/>
  <c r="U49" i="8" s="1"/>
  <c r="R84" i="8"/>
  <c r="Q84" i="8"/>
  <c r="U46" i="8" s="1"/>
  <c r="R27" i="7"/>
  <c r="Q27" i="7"/>
  <c r="U27" i="7" s="1"/>
  <c r="R90" i="7"/>
  <c r="Q90" i="7"/>
  <c r="U48" i="7" s="1"/>
  <c r="S66" i="7"/>
  <c r="Q96" i="7"/>
  <c r="U50" i="7" s="1"/>
  <c r="R96" i="7"/>
  <c r="S96" i="7" s="1"/>
  <c r="Q30" i="7"/>
  <c r="U28" i="7" s="1"/>
  <c r="R30" i="7"/>
  <c r="S30" i="7" s="1"/>
  <c r="S57" i="7"/>
  <c r="Q39" i="7"/>
  <c r="U31" i="7" s="1"/>
  <c r="R39" i="7"/>
  <c r="S39" i="7" s="1"/>
  <c r="Q84" i="7"/>
  <c r="U46" i="7" s="1"/>
  <c r="R69" i="7"/>
  <c r="Q69" i="7"/>
  <c r="U41" i="7" s="1"/>
  <c r="Q72" i="7"/>
  <c r="U42" i="7" s="1"/>
  <c r="S87" i="7"/>
  <c r="R78" i="7"/>
  <c r="Q78" i="7"/>
  <c r="U44" i="7" s="1"/>
  <c r="R81" i="7"/>
  <c r="Q81" i="7"/>
  <c r="U45" i="7" s="1"/>
  <c r="Q54" i="7"/>
  <c r="U36" i="7" s="1"/>
  <c r="R33" i="7"/>
  <c r="Q33" i="7"/>
  <c r="U29" i="7" s="1"/>
  <c r="R63" i="7"/>
  <c r="Q63" i="7"/>
  <c r="U39" i="7" s="1"/>
  <c r="Q36" i="7"/>
  <c r="U30" i="7" s="1"/>
  <c r="R48" i="7"/>
  <c r="Q48" i="7"/>
  <c r="U34" i="7" s="1"/>
  <c r="R60" i="7"/>
  <c r="S60" i="7" s="1"/>
  <c r="S93" i="7"/>
  <c r="R51" i="7"/>
  <c r="Q51" i="7"/>
  <c r="U35" i="7" s="1"/>
  <c r="S45" i="7"/>
  <c r="R63" i="6"/>
  <c r="Q63" i="6"/>
  <c r="U39" i="6" s="1"/>
  <c r="R72" i="6"/>
  <c r="Q72" i="6"/>
  <c r="U42" i="6" s="1"/>
  <c r="R60" i="6"/>
  <c r="Q60" i="6"/>
  <c r="U38" i="6" s="1"/>
  <c r="S78" i="6"/>
  <c r="S96" i="6"/>
  <c r="R48" i="6"/>
  <c r="Q48" i="6"/>
  <c r="U34" i="6" s="1"/>
  <c r="S90" i="6"/>
  <c r="Q66" i="6"/>
  <c r="U40" i="6" s="1"/>
  <c r="Q57" i="6"/>
  <c r="U37" i="6" s="1"/>
  <c r="R39" i="6"/>
  <c r="S39" i="6" s="1"/>
  <c r="R84" i="6"/>
  <c r="S84" i="6" s="1"/>
  <c r="Q84" i="6"/>
  <c r="U46" i="6" s="1"/>
  <c r="R27" i="6"/>
  <c r="Q27" i="6"/>
  <c r="U27" i="6" s="1"/>
  <c r="R87" i="6"/>
  <c r="Q87" i="6"/>
  <c r="U47" i="6" s="1"/>
  <c r="S93" i="6"/>
  <c r="R75" i="6"/>
  <c r="Q75" i="6"/>
  <c r="U43" i="6" s="1"/>
  <c r="Q33" i="6"/>
  <c r="U29" i="6" s="1"/>
  <c r="R33" i="6"/>
  <c r="S33" i="6" s="1"/>
  <c r="Q51" i="6"/>
  <c r="U35" i="6" s="1"/>
  <c r="R51" i="6"/>
  <c r="S51" i="6" s="1"/>
  <c r="R54" i="6"/>
  <c r="Q54" i="6"/>
  <c r="U36" i="6" s="1"/>
  <c r="R45" i="6"/>
  <c r="Q45" i="6"/>
  <c r="U33" i="6" s="1"/>
  <c r="R36" i="6"/>
  <c r="S36" i="6" s="1"/>
  <c r="Q30" i="6"/>
  <c r="U28" i="6" s="1"/>
  <c r="Q81" i="6"/>
  <c r="U45" i="6" s="1"/>
  <c r="R42" i="6"/>
  <c r="Q42" i="6"/>
  <c r="U32" i="6" s="1"/>
  <c r="R84" i="5"/>
  <c r="Q84" i="5"/>
  <c r="U46" i="5" s="1"/>
  <c r="R93" i="5"/>
  <c r="Q93" i="5"/>
  <c r="U49" i="5" s="1"/>
  <c r="S54" i="5"/>
  <c r="Q63" i="5"/>
  <c r="U39" i="5" s="1"/>
  <c r="R63" i="5"/>
  <c r="S63" i="5" s="1"/>
  <c r="S90" i="5"/>
  <c r="Q36" i="5"/>
  <c r="U30" i="5" s="1"/>
  <c r="R72" i="5"/>
  <c r="Q72" i="5"/>
  <c r="U42" i="5" s="1"/>
  <c r="Q39" i="5"/>
  <c r="U31" i="5" s="1"/>
  <c r="R78" i="5"/>
  <c r="S78" i="5" s="1"/>
  <c r="S60" i="5"/>
  <c r="R45" i="5"/>
  <c r="S45" i="5" s="1"/>
  <c r="Q96" i="5"/>
  <c r="U50" i="5" s="1"/>
  <c r="R48" i="5"/>
  <c r="S48" i="5" s="1"/>
  <c r="Q48" i="5"/>
  <c r="U34" i="5" s="1"/>
  <c r="Q51" i="5"/>
  <c r="U35" i="5" s="1"/>
  <c r="R51" i="5"/>
  <c r="S51" i="5" s="1"/>
  <c r="R69" i="5"/>
  <c r="Q69" i="5"/>
  <c r="U41" i="5" s="1"/>
  <c r="S27" i="5"/>
  <c r="S81" i="5"/>
  <c r="Q75" i="5"/>
  <c r="U43" i="5" s="1"/>
  <c r="R75" i="5"/>
  <c r="S75" i="5" s="1"/>
  <c r="S66" i="5"/>
  <c r="S33" i="5"/>
  <c r="R57" i="5"/>
  <c r="Q57" i="5"/>
  <c r="U37" i="5" s="1"/>
  <c r="S78" i="3"/>
  <c r="Q36" i="3"/>
  <c r="U30" i="3" s="1"/>
  <c r="Q39" i="3"/>
  <c r="U31" i="3" s="1"/>
  <c r="R39" i="3"/>
  <c r="S39" i="3" s="1"/>
  <c r="R84" i="3"/>
  <c r="Q84" i="3"/>
  <c r="U46" i="3" s="1"/>
  <c r="R72" i="3"/>
  <c r="Q72" i="3"/>
  <c r="U42" i="3" s="1"/>
  <c r="R45" i="3"/>
  <c r="Q45" i="3"/>
  <c r="U33" i="3" s="1"/>
  <c r="R93" i="3"/>
  <c r="Q93" i="3"/>
  <c r="U49" i="3" s="1"/>
  <c r="R57" i="3"/>
  <c r="Q57" i="3"/>
  <c r="U37" i="3" s="1"/>
  <c r="R75" i="3"/>
  <c r="Q75" i="3"/>
  <c r="U43" i="3" s="1"/>
  <c r="R69" i="3"/>
  <c r="S69" i="3" s="1"/>
  <c r="Q69" i="3"/>
  <c r="U41" i="3" s="1"/>
  <c r="R60" i="3"/>
  <c r="S60" i="3" s="1"/>
  <c r="S51" i="3"/>
  <c r="R63" i="3"/>
  <c r="Q63" i="3"/>
  <c r="U39" i="3" s="1"/>
  <c r="S27" i="3"/>
  <c r="Q96" i="3"/>
  <c r="U50" i="3" s="1"/>
  <c r="Q90" i="3"/>
  <c r="U48" i="3" s="1"/>
  <c r="Q87" i="3"/>
  <c r="U47" i="3" s="1"/>
  <c r="R87" i="3"/>
  <c r="S87" i="3" s="1"/>
  <c r="R54" i="3"/>
  <c r="S54" i="3" s="1"/>
  <c r="Q54" i="3"/>
  <c r="U36" i="3" s="1"/>
  <c r="R48" i="3"/>
  <c r="Q48" i="3"/>
  <c r="U34" i="3" s="1"/>
  <c r="R42" i="3"/>
  <c r="Q42" i="3"/>
  <c r="U32" i="3" s="1"/>
  <c r="R33" i="3"/>
  <c r="S33" i="3" s="1"/>
  <c r="R81" i="3"/>
  <c r="Q81" i="3"/>
  <c r="U45" i="3" s="1"/>
  <c r="J44" i="1"/>
  <c r="J75" i="1"/>
  <c r="J36" i="1"/>
  <c r="J64" i="1"/>
  <c r="M64" i="1" s="1"/>
  <c r="J69" i="1"/>
  <c r="M69" i="1" s="1"/>
  <c r="J41" i="1"/>
  <c r="M41" i="1" s="1"/>
  <c r="J68" i="1"/>
  <c r="J32" i="1"/>
  <c r="M6" i="1"/>
  <c r="P7" i="1" s="1"/>
  <c r="J97" i="1"/>
  <c r="J78" i="1"/>
  <c r="M78" i="1" s="1"/>
  <c r="J62" i="1"/>
  <c r="J49" i="1"/>
  <c r="M49" i="1" s="1"/>
  <c r="J58" i="1"/>
  <c r="J87" i="1"/>
  <c r="M87" i="1" s="1"/>
  <c r="J29" i="1"/>
  <c r="M29" i="1" s="1"/>
  <c r="N29" i="1" s="1"/>
  <c r="J66" i="1"/>
  <c r="J95" i="1"/>
  <c r="M95" i="1" s="1"/>
  <c r="J42" i="1"/>
  <c r="M42" i="1" s="1"/>
  <c r="J55" i="1"/>
  <c r="M55" i="1" s="1"/>
  <c r="J96" i="1"/>
  <c r="M96" i="1" s="1"/>
  <c r="J59" i="1"/>
  <c r="M59" i="1" s="1"/>
  <c r="J54" i="1"/>
  <c r="M54" i="1" s="1"/>
  <c r="J85" i="1"/>
  <c r="M85" i="1" s="1"/>
  <c r="J51" i="1"/>
  <c r="M51" i="1" s="1"/>
  <c r="J84" i="1"/>
  <c r="M84" i="1" s="1"/>
  <c r="J73" i="1"/>
  <c r="M73" i="1" s="1"/>
  <c r="J89" i="1"/>
  <c r="M89" i="1" s="1"/>
  <c r="J70" i="1"/>
  <c r="M70" i="1" s="1"/>
  <c r="J28" i="1"/>
  <c r="M28" i="1" s="1"/>
  <c r="J77" i="1"/>
  <c r="M77" i="1" s="1"/>
  <c r="N77" i="1" s="1"/>
  <c r="J76" i="1"/>
  <c r="J40" i="1"/>
  <c r="M40" i="1" s="1"/>
  <c r="J82" i="1"/>
  <c r="J39" i="1"/>
  <c r="M39" i="1" s="1"/>
  <c r="J57" i="1"/>
  <c r="M57" i="1" s="1"/>
  <c r="M7" i="1"/>
  <c r="P8" i="1" s="1"/>
  <c r="J61" i="1"/>
  <c r="J65" i="1"/>
  <c r="M65" i="1" s="1"/>
  <c r="J43" i="1"/>
  <c r="M43" i="1" s="1"/>
  <c r="J33" i="1"/>
  <c r="J90" i="1"/>
  <c r="J34" i="1"/>
  <c r="M34" i="1" s="1"/>
  <c r="J48" i="1"/>
  <c r="J50" i="1"/>
  <c r="J52" i="1"/>
  <c r="M52" i="1" s="1"/>
  <c r="M8" i="1"/>
  <c r="P9" i="1" s="1"/>
  <c r="J88" i="1"/>
  <c r="J56" i="1"/>
  <c r="J92" i="1"/>
  <c r="J35" i="1"/>
  <c r="M35" i="1" s="1"/>
  <c r="J93" i="1"/>
  <c r="M93" i="1" s="1"/>
  <c r="J72" i="1"/>
  <c r="J30" i="1"/>
  <c r="J60" i="1"/>
  <c r="M60" i="1" s="1"/>
  <c r="J47" i="1"/>
  <c r="M47" i="1" s="1"/>
  <c r="J79" i="1"/>
  <c r="J67" i="1"/>
  <c r="M67" i="1" s="1"/>
  <c r="J83" i="1"/>
  <c r="J71" i="1"/>
  <c r="M71" i="1" s="1"/>
  <c r="J86" i="1"/>
  <c r="J63" i="1"/>
  <c r="J53" i="1"/>
  <c r="J31" i="1"/>
  <c r="J94" i="1"/>
  <c r="M10" i="1"/>
  <c r="P11" i="1" s="1"/>
  <c r="J98" i="1"/>
  <c r="J38" i="1"/>
  <c r="M38" i="1" s="1"/>
  <c r="M9" i="1"/>
  <c r="P10" i="1" s="1"/>
  <c r="J91" i="1"/>
  <c r="J74" i="1"/>
  <c r="M74" i="1" s="1"/>
  <c r="J46" i="1"/>
  <c r="J45" i="1"/>
  <c r="M45" i="1" s="1"/>
  <c r="J80" i="1"/>
  <c r="J37" i="1"/>
  <c r="M27" i="1" l="1"/>
  <c r="M50" i="1"/>
  <c r="M48" i="1"/>
  <c r="M53" i="1"/>
  <c r="M33" i="1"/>
  <c r="M98" i="1"/>
  <c r="N98" i="1" s="1"/>
  <c r="M68" i="1"/>
  <c r="N68" i="1" s="1"/>
  <c r="M90" i="1"/>
  <c r="N90" i="1" s="1"/>
  <c r="M72" i="1"/>
  <c r="N72" i="1" s="1"/>
  <c r="M88" i="1"/>
  <c r="N88" i="1" s="1"/>
  <c r="M83" i="1"/>
  <c r="N83" i="1" s="1"/>
  <c r="M31" i="1"/>
  <c r="N31" i="1" s="1"/>
  <c r="M86" i="1"/>
  <c r="N86" i="1" s="1"/>
  <c r="M44" i="1"/>
  <c r="N44" i="1" s="1"/>
  <c r="M66" i="1"/>
  <c r="N66" i="1" s="1"/>
  <c r="M37" i="1"/>
  <c r="N37" i="1" s="1"/>
  <c r="M30" i="1"/>
  <c r="N30" i="1" s="1"/>
  <c r="O30" i="1" s="1"/>
  <c r="P30" i="1" s="1"/>
  <c r="M46" i="1"/>
  <c r="N46" i="1" s="1"/>
  <c r="M76" i="1"/>
  <c r="N76" i="1" s="1"/>
  <c r="M62" i="1"/>
  <c r="N62" i="1" s="1"/>
  <c r="M91" i="1"/>
  <c r="N91" i="1" s="1"/>
  <c r="M97" i="1"/>
  <c r="N97" i="1" s="1"/>
  <c r="M56" i="1"/>
  <c r="N56" i="1" s="1"/>
  <c r="M32" i="1"/>
  <c r="N32" i="1" s="1"/>
  <c r="M92" i="1"/>
  <c r="N92" i="1" s="1"/>
  <c r="M94" i="1"/>
  <c r="N94" i="1" s="1"/>
  <c r="O94" i="1" s="1"/>
  <c r="P94" i="1" s="1"/>
  <c r="M36" i="1"/>
  <c r="N36" i="1" s="1"/>
  <c r="M63" i="1"/>
  <c r="N63" i="1" s="1"/>
  <c r="M75" i="1"/>
  <c r="N75" i="1" s="1"/>
  <c r="M61" i="1"/>
  <c r="N61" i="1" s="1"/>
  <c r="M79" i="1"/>
  <c r="N79" i="1" s="1"/>
  <c r="M80" i="1"/>
  <c r="N80" i="1" s="1"/>
  <c r="M82" i="1"/>
  <c r="N82" i="1" s="1"/>
  <c r="M58" i="1"/>
  <c r="N58" i="1" s="1"/>
  <c r="O58" i="1" s="1"/>
  <c r="P58" i="1" s="1"/>
  <c r="S72" i="11"/>
  <c r="S48" i="11"/>
  <c r="S51" i="11"/>
  <c r="S96" i="11"/>
  <c r="S27" i="11"/>
  <c r="S63" i="11"/>
  <c r="S87" i="11"/>
  <c r="S42" i="11"/>
  <c r="S93" i="11"/>
  <c r="S36" i="11"/>
  <c r="S54" i="11"/>
  <c r="S39" i="11"/>
  <c r="S78" i="11"/>
  <c r="S57" i="11"/>
  <c r="S60" i="11"/>
  <c r="S45" i="11"/>
  <c r="S90" i="11"/>
  <c r="S81" i="11"/>
  <c r="S75" i="11"/>
  <c r="S45" i="10"/>
  <c r="S78" i="10"/>
  <c r="S39" i="10"/>
  <c r="S57" i="10"/>
  <c r="S30" i="10"/>
  <c r="S69" i="10"/>
  <c r="S93" i="10"/>
  <c r="S90" i="10"/>
  <c r="S75" i="10"/>
  <c r="S63" i="10"/>
  <c r="S33" i="10"/>
  <c r="S87" i="10"/>
  <c r="S42" i="10"/>
  <c r="S96" i="10"/>
  <c r="S39" i="9"/>
  <c r="S87" i="9"/>
  <c r="S57" i="9"/>
  <c r="S33" i="9"/>
  <c r="S51" i="9"/>
  <c r="S45" i="9"/>
  <c r="S84" i="9"/>
  <c r="S81" i="9"/>
  <c r="S69" i="9"/>
  <c r="S96" i="9"/>
  <c r="S36" i="9"/>
  <c r="S75" i="9"/>
  <c r="S93" i="9"/>
  <c r="S78" i="9"/>
  <c r="S96" i="8"/>
  <c r="S57" i="8"/>
  <c r="S54" i="8"/>
  <c r="S45" i="8"/>
  <c r="S33" i="8"/>
  <c r="S90" i="8"/>
  <c r="S60" i="8"/>
  <c r="S84" i="8"/>
  <c r="S72" i="8"/>
  <c r="S69" i="8"/>
  <c r="S27" i="8"/>
  <c r="S39" i="8"/>
  <c r="S48" i="8"/>
  <c r="S36" i="8"/>
  <c r="S78" i="8"/>
  <c r="S81" i="8"/>
  <c r="S69" i="7"/>
  <c r="S51" i="7"/>
  <c r="S48" i="7"/>
  <c r="S63" i="7"/>
  <c r="S33" i="7"/>
  <c r="S90" i="7"/>
  <c r="S27" i="7"/>
  <c r="S81" i="7"/>
  <c r="S72" i="7"/>
  <c r="S36" i="7"/>
  <c r="S78" i="7"/>
  <c r="S54" i="7"/>
  <c r="S84" i="7"/>
  <c r="S42" i="6"/>
  <c r="S54" i="6"/>
  <c r="S60" i="6"/>
  <c r="S75" i="6"/>
  <c r="S87" i="6"/>
  <c r="S66" i="6"/>
  <c r="S45" i="6"/>
  <c r="S48" i="6"/>
  <c r="S72" i="6"/>
  <c r="S63" i="6"/>
  <c r="S57" i="6"/>
  <c r="S81" i="6"/>
  <c r="S27" i="6"/>
  <c r="S30" i="6"/>
  <c r="S72" i="5"/>
  <c r="S57" i="5"/>
  <c r="S93" i="5"/>
  <c r="S69" i="5"/>
  <c r="S84" i="5"/>
  <c r="S36" i="5"/>
  <c r="S96" i="5"/>
  <c r="S39" i="5"/>
  <c r="S81" i="3"/>
  <c r="S57" i="3"/>
  <c r="S42" i="3"/>
  <c r="S93" i="3"/>
  <c r="S48" i="3"/>
  <c r="S45" i="3"/>
  <c r="S75" i="3"/>
  <c r="S72" i="3"/>
  <c r="S84" i="3"/>
  <c r="S63" i="3"/>
  <c r="S96" i="3"/>
  <c r="S90" i="3"/>
  <c r="S36" i="3"/>
  <c r="O77" i="1"/>
  <c r="P77" i="1" s="1"/>
  <c r="O68" i="1"/>
  <c r="P68" i="1" s="1"/>
  <c r="O29" i="1"/>
  <c r="P29" i="1" s="1"/>
  <c r="N38" i="1"/>
  <c r="N53" i="1"/>
  <c r="N49" i="1"/>
  <c r="N57" i="1"/>
  <c r="N84" i="1"/>
  <c r="N60" i="1"/>
  <c r="N73" i="1"/>
  <c r="N43" i="1"/>
  <c r="N50" i="1"/>
  <c r="N85" i="1"/>
  <c r="N28" i="1"/>
  <c r="N41" i="1"/>
  <c r="N59" i="1"/>
  <c r="N89" i="1"/>
  <c r="N51" i="1"/>
  <c r="N64" i="1"/>
  <c r="N35" i="1"/>
  <c r="N93" i="1"/>
  <c r="N47" i="1"/>
  <c r="N96" i="1"/>
  <c r="N87" i="1"/>
  <c r="N65" i="1"/>
  <c r="N39" i="1"/>
  <c r="N34" i="1"/>
  <c r="N70" i="1"/>
  <c r="N71" i="1"/>
  <c r="N40" i="1"/>
  <c r="N78" i="1"/>
  <c r="N48" i="1"/>
  <c r="N55" i="1"/>
  <c r="N67" i="1"/>
  <c r="N45" i="1"/>
  <c r="N27" i="1"/>
  <c r="N42" i="1"/>
  <c r="N52" i="1"/>
  <c r="N54" i="1"/>
  <c r="N69" i="1"/>
  <c r="O69" i="1" s="1"/>
  <c r="P69" i="1" s="1"/>
  <c r="N95" i="1"/>
  <c r="N33" i="1"/>
  <c r="N81" i="1"/>
  <c r="N74" i="1"/>
  <c r="O74" i="1" s="1"/>
  <c r="P74" i="1" s="1"/>
  <c r="O36" i="1" l="1"/>
  <c r="P36" i="1" s="1"/>
  <c r="O45" i="1"/>
  <c r="P45" i="1" s="1"/>
  <c r="O35" i="1"/>
  <c r="P35" i="1" s="1"/>
  <c r="O53" i="1"/>
  <c r="P53" i="1" s="1"/>
  <c r="O33" i="1"/>
  <c r="P33" i="1" s="1"/>
  <c r="O97" i="1"/>
  <c r="P97" i="1" s="1"/>
  <c r="O64" i="1"/>
  <c r="P64" i="1" s="1"/>
  <c r="O80" i="1"/>
  <c r="P80" i="1" s="1"/>
  <c r="O67" i="1"/>
  <c r="P67" i="1" s="1"/>
  <c r="O51" i="1"/>
  <c r="P51" i="1" s="1"/>
  <c r="O98" i="1"/>
  <c r="P98" i="1" s="1"/>
  <c r="O95" i="1"/>
  <c r="P95" i="1" s="1"/>
  <c r="O55" i="1"/>
  <c r="P55" i="1" s="1"/>
  <c r="O46" i="1"/>
  <c r="P46" i="1" s="1"/>
  <c r="O38" i="1"/>
  <c r="P38" i="1" s="1"/>
  <c r="O48" i="1"/>
  <c r="P48" i="1" s="1"/>
  <c r="O89" i="1"/>
  <c r="P89" i="1" s="1"/>
  <c r="O78" i="1"/>
  <c r="P78" i="1" s="1"/>
  <c r="O59" i="1"/>
  <c r="P59" i="1" s="1"/>
  <c r="O37" i="1"/>
  <c r="P37" i="1" s="1"/>
  <c r="O40" i="1"/>
  <c r="P40" i="1" s="1"/>
  <c r="O41" i="1"/>
  <c r="P41" i="1" s="1"/>
  <c r="O92" i="1"/>
  <c r="P92" i="1" s="1"/>
  <c r="O71" i="1"/>
  <c r="P71" i="1" s="1"/>
  <c r="O28" i="1"/>
  <c r="P28" i="1" s="1"/>
  <c r="O90" i="1"/>
  <c r="P90" i="1" s="1"/>
  <c r="O70" i="1"/>
  <c r="P70" i="1" s="1"/>
  <c r="R69" i="1" s="1"/>
  <c r="O85" i="1"/>
  <c r="P85" i="1" s="1"/>
  <c r="O54" i="1"/>
  <c r="P54" i="1" s="1"/>
  <c r="O34" i="1"/>
  <c r="P34" i="1" s="1"/>
  <c r="O50" i="1"/>
  <c r="P50" i="1" s="1"/>
  <c r="O63" i="1"/>
  <c r="P63" i="1" s="1"/>
  <c r="O32" i="1"/>
  <c r="P32" i="1" s="1"/>
  <c r="O88" i="1"/>
  <c r="P88" i="1" s="1"/>
  <c r="O76" i="1"/>
  <c r="P76" i="1" s="1"/>
  <c r="O72" i="1"/>
  <c r="P72" i="1" s="1"/>
  <c r="O86" i="1"/>
  <c r="P86" i="1" s="1"/>
  <c r="O43" i="1"/>
  <c r="P43" i="1" s="1"/>
  <c r="O52" i="1"/>
  <c r="P52" i="1" s="1"/>
  <c r="O91" i="1"/>
  <c r="P91" i="1" s="1"/>
  <c r="O79" i="1"/>
  <c r="P79" i="1" s="1"/>
  <c r="O75" i="1"/>
  <c r="P75" i="1" s="1"/>
  <c r="O39" i="1"/>
  <c r="P39" i="1" s="1"/>
  <c r="O73" i="1"/>
  <c r="P73" i="1" s="1"/>
  <c r="O42" i="1"/>
  <c r="P42" i="1" s="1"/>
  <c r="O65" i="1"/>
  <c r="P65" i="1" s="1"/>
  <c r="O61" i="1"/>
  <c r="P61" i="1" s="1"/>
  <c r="O62" i="1"/>
  <c r="P62" i="1" s="1"/>
  <c r="O44" i="1"/>
  <c r="P44" i="1" s="1"/>
  <c r="O60" i="1"/>
  <c r="P60" i="1" s="1"/>
  <c r="O56" i="1"/>
  <c r="P56" i="1" s="1"/>
  <c r="O87" i="1"/>
  <c r="P87" i="1" s="1"/>
  <c r="O84" i="1"/>
  <c r="P84" i="1" s="1"/>
  <c r="O82" i="1"/>
  <c r="P82" i="1" s="1"/>
  <c r="O27" i="1"/>
  <c r="P27" i="1" s="1"/>
  <c r="O96" i="1"/>
  <c r="P96" i="1" s="1"/>
  <c r="O31" i="1"/>
  <c r="P31" i="1" s="1"/>
  <c r="Q30" i="1" s="1"/>
  <c r="U28" i="1" s="1"/>
  <c r="O81" i="1"/>
  <c r="P81" i="1" s="1"/>
  <c r="O47" i="1"/>
  <c r="P47" i="1" s="1"/>
  <c r="O57" i="1"/>
  <c r="P57" i="1" s="1"/>
  <c r="O66" i="1"/>
  <c r="P66" i="1" s="1"/>
  <c r="O83" i="1"/>
  <c r="P83" i="1" s="1"/>
  <c r="O93" i="1"/>
  <c r="P93" i="1" s="1"/>
  <c r="O49" i="1"/>
  <c r="P49" i="1" s="1"/>
  <c r="Q78" i="1" l="1"/>
  <c r="U44" i="1" s="1"/>
  <c r="R48" i="1"/>
  <c r="Q69" i="1"/>
  <c r="U41" i="1" s="1"/>
  <c r="Q96" i="1"/>
  <c r="U50" i="1" s="1"/>
  <c r="R30" i="1"/>
  <c r="Q33" i="1"/>
  <c r="U29" i="1" s="1"/>
  <c r="R75" i="1"/>
  <c r="R66" i="1"/>
  <c r="R96" i="1"/>
  <c r="Q57" i="1"/>
  <c r="U37" i="1" s="1"/>
  <c r="R57" i="1"/>
  <c r="S57" i="1" s="1"/>
  <c r="R60" i="1"/>
  <c r="Q60" i="1"/>
  <c r="U38" i="1" s="1"/>
  <c r="Q51" i="1"/>
  <c r="U35" i="1" s="1"/>
  <c r="R51" i="1"/>
  <c r="S51" i="1" s="1"/>
  <c r="Q54" i="1"/>
  <c r="U36" i="1" s="1"/>
  <c r="R54" i="1"/>
  <c r="Q63" i="1"/>
  <c r="U39" i="1" s="1"/>
  <c r="R63" i="1"/>
  <c r="S63" i="1" s="1"/>
  <c r="R42" i="1"/>
  <c r="Q42" i="1"/>
  <c r="U32" i="1" s="1"/>
  <c r="R78" i="1"/>
  <c r="S78" i="1" s="1"/>
  <c r="Q48" i="1"/>
  <c r="U34" i="1" s="1"/>
  <c r="R87" i="1"/>
  <c r="Q87" i="1"/>
  <c r="U47" i="1" s="1"/>
  <c r="Q45" i="1"/>
  <c r="U33" i="1" s="1"/>
  <c r="R45" i="1"/>
  <c r="S45" i="1" s="1"/>
  <c r="R93" i="1"/>
  <c r="Q93" i="1"/>
  <c r="U49" i="1" s="1"/>
  <c r="Q39" i="1"/>
  <c r="U31" i="1" s="1"/>
  <c r="R39" i="1"/>
  <c r="S39" i="1" s="1"/>
  <c r="Q90" i="1"/>
  <c r="U48" i="1" s="1"/>
  <c r="R90" i="1"/>
  <c r="S90" i="1" s="1"/>
  <c r="Q81" i="1"/>
  <c r="U45" i="1" s="1"/>
  <c r="R81" i="1"/>
  <c r="S81" i="1" s="1"/>
  <c r="Q66" i="1"/>
  <c r="U40" i="1" s="1"/>
  <c r="Q27" i="1"/>
  <c r="U27" i="1" s="1"/>
  <c r="R27" i="1"/>
  <c r="S27" i="1" s="1"/>
  <c r="Q84" i="1"/>
  <c r="U46" i="1" s="1"/>
  <c r="R84" i="1"/>
  <c r="Q72" i="1"/>
  <c r="U42" i="1" s="1"/>
  <c r="R72" i="1"/>
  <c r="S72" i="1" s="1"/>
  <c r="R33" i="1"/>
  <c r="Q75" i="1"/>
  <c r="U43" i="1" s="1"/>
  <c r="R36" i="1"/>
  <c r="Q36" i="1"/>
  <c r="U30" i="1" s="1"/>
  <c r="S30" i="1"/>
  <c r="S96" i="1" l="1"/>
  <c r="S69" i="1"/>
  <c r="S54" i="1"/>
  <c r="S33" i="1"/>
  <c r="S84" i="1"/>
  <c r="S93" i="1"/>
  <c r="S36" i="1"/>
  <c r="S87" i="1"/>
  <c r="S60" i="1"/>
  <c r="S75" i="1"/>
  <c r="S42" i="1"/>
  <c r="S66" i="1"/>
  <c r="S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25" authorId="0" shapeId="0" xr:uid="{F6C34CE0-B6EF-408B-951D-920E17100849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25" authorId="0" shapeId="0" xr:uid="{59C89EBD-DD65-499A-A64B-FBA7953CB818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25" authorId="0" shapeId="0" xr:uid="{518CC285-340D-491B-AF2F-0DBEE8A2460D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25" authorId="0" shapeId="0" xr:uid="{D9FEEB17-92B4-4DBF-8BF9-D096B83B53F3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25" authorId="0" shapeId="0" xr:uid="{D2EFCD4A-324E-454A-93CA-0AF35AC2229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25" authorId="0" shapeId="0" xr:uid="{31100603-AFE1-4428-9DDF-0DF206B8ED11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25" authorId="0" shapeId="0" xr:uid="{7A027DCE-3088-411C-BA4C-B2FF91367FDD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25" authorId="0" shapeId="0" xr:uid="{C8AC3F27-EF48-4232-BAFC-895F922E942D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25" authorId="0" shapeId="0" xr:uid="{37B792A6-9E65-4787-BF75-19F058E1099E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sharedStrings.xml><?xml version="1.0" encoding="utf-8"?>
<sst xmlns="http://schemas.openxmlformats.org/spreadsheetml/2006/main" count="1278" uniqueCount="125">
  <si>
    <t>Berechnung Anthocyane</t>
  </si>
  <si>
    <t>Absorption</t>
  </si>
  <si>
    <t>minus Blank</t>
  </si>
  <si>
    <t>Anthocyan Standard</t>
  </si>
  <si>
    <t>Wellpos.</t>
  </si>
  <si>
    <t>530 nm</t>
  </si>
  <si>
    <t>657 nm</t>
  </si>
  <si>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g/ml</t>
    </r>
  </si>
  <si>
    <t>A1</t>
  </si>
  <si>
    <t>A2</t>
  </si>
  <si>
    <t>A3</t>
  </si>
  <si>
    <t>A4</t>
  </si>
  <si>
    <t>A5</t>
  </si>
  <si>
    <t>A6</t>
  </si>
  <si>
    <t>Blank</t>
  </si>
  <si>
    <t>A7</t>
  </si>
  <si>
    <t>A8</t>
  </si>
  <si>
    <t>A9</t>
  </si>
  <si>
    <t>Blank aver</t>
  </si>
  <si>
    <t>A10</t>
  </si>
  <si>
    <t>2ml Extraktionsmittel</t>
  </si>
  <si>
    <t>A11</t>
  </si>
  <si>
    <t>keine Verdünnung</t>
  </si>
  <si>
    <t>A12</t>
  </si>
  <si>
    <t>110 µl gemessen</t>
  </si>
  <si>
    <t>B1</t>
  </si>
  <si>
    <t>Berechnung</t>
  </si>
  <si>
    <t>B2</t>
  </si>
  <si>
    <r>
      <rPr>
        <sz val="11"/>
        <color rgb="FF000000"/>
        <rFont val="Calibri"/>
        <family val="2"/>
        <scheme val="minor"/>
      </rPr>
      <t>Anth = A</t>
    </r>
    <r>
      <rPr>
        <vertAlign val="subscript"/>
        <sz val="11"/>
        <color rgb="FF000000"/>
        <rFont val="Calibri"/>
        <family val="2"/>
        <scheme val="minor"/>
      </rPr>
      <t>530</t>
    </r>
    <r>
      <rPr>
        <sz val="11"/>
        <color rgb="FF000000"/>
        <rFont val="Calibri"/>
        <family val="2"/>
        <scheme val="minor"/>
      </rPr>
      <t xml:space="preserve"> – 0,25 A</t>
    </r>
    <r>
      <rPr>
        <vertAlign val="subscript"/>
        <sz val="11"/>
        <color rgb="FF000000"/>
        <rFont val="Calibri"/>
        <family val="2"/>
        <scheme val="minor"/>
      </rPr>
      <t>657</t>
    </r>
  </si>
  <si>
    <t>B3</t>
  </si>
  <si>
    <t>B4</t>
  </si>
  <si>
    <t>B5</t>
  </si>
  <si>
    <t>B6</t>
  </si>
  <si>
    <t>aus Einwaage-Tabelle</t>
  </si>
  <si>
    <t>*Anstieg Eichgerade</t>
  </si>
  <si>
    <t>/DW</t>
  </si>
  <si>
    <t>Mittel-wert</t>
  </si>
  <si>
    <t>STABW</t>
  </si>
  <si>
    <t>Proben-nummer</t>
  </si>
  <si>
    <t>Proben-Nr.</t>
  </si>
  <si>
    <t>Einwaage</t>
  </si>
  <si>
    <t>Wellposi-tion</t>
  </si>
  <si>
    <t>DW [mg]</t>
  </si>
  <si>
    <t>530 nm - Blank</t>
  </si>
  <si>
    <t>657 nm - Blank</t>
  </si>
  <si>
    <t>A(Antho)</t>
  </si>
  <si>
    <t>μg/ 2 ml</t>
  </si>
  <si>
    <t>μg/ml</t>
  </si>
  <si>
    <t>μg/mg DW</t>
  </si>
  <si>
    <t>µg/mg DW</t>
  </si>
  <si>
    <t>%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</si>
  <si>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</si>
  <si>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</si>
  <si>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</si>
  <si>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</si>
  <si>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</si>
  <si>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</si>
  <si>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</si>
  <si>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</si>
  <si>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</si>
  <si>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</si>
  <si>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</si>
  <si>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</si>
  <si>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</si>
  <si>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</si>
  <si>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</si>
  <si>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</si>
  <si>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</si>
  <si>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</si>
  <si>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</si>
  <si>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</si>
  <si>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</si>
  <si>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</si>
  <si>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</si>
  <si>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</si>
  <si>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</si>
  <si>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</si>
  <si>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</si>
  <si>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</si>
  <si>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</si>
  <si>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</si>
  <si>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</si>
  <si>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</si>
  <si>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</si>
  <si>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</si>
  <si>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</si>
  <si>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</si>
  <si>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</si>
  <si>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</si>
  <si>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</si>
  <si>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</si>
  <si>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</si>
  <si>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</si>
  <si>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</si>
  <si>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</si>
  <si>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</si>
  <si>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</si>
  <si>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</si>
  <si>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</si>
  <si>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</si>
  <si>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</si>
  <si>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</si>
  <si>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</si>
  <si>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</si>
  <si>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</si>
  <si>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</si>
  <si>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</si>
  <si>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</si>
  <si>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</si>
  <si>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</si>
  <si>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</si>
  <si>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</si>
  <si>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</si>
  <si>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</si>
  <si>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</si>
  <si>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</si>
  <si>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</si>
  <si>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</si>
  <si>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</si>
  <si>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</si>
  <si>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</si>
  <si>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</si>
  <si>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</si>
  <si>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Overflow</t>
  </si>
  <si>
    <t>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</si>
</sst>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49" fontId="0" fillId="0" borderId="6" xfId="0" applyNumberFormat="1" applyBorder="1"/>
    <xf numFmtId="0" fontId="0" fillId="0" borderId="6" xfId="0" applyBorder="1"/>
    <xf numFmtId="0" fontId="0" fillId="0" borderId="4" xfId="0" applyBorder="1"/>
    <xf numFmtId="164" fontId="0" fillId="0" borderId="4" xfId="0" applyNumberFormat="1" applyBorder="1"/>
    <xf numFmtId="164" fontId="0" fillId="0" borderId="5" xfId="0" applyNumberFormat="1" applyBorder="1"/>
    <xf numFmtId="49" fontId="0" fillId="0" borderId="7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164" fontId="0" fillId="0" borderId="9" xfId="0" applyNumberFormat="1" applyBorder="1"/>
    <xf numFmtId="49" fontId="0" fillId="0" borderId="10" xfId="0" applyNumberFormat="1" applyBorder="1"/>
    <xf numFmtId="0" fontId="0" fillId="0" borderId="10" xfId="0" applyBorder="1"/>
    <xf numFmtId="0" fontId="0" fillId="0" borderId="11" xfId="0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12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1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0" fillId="0" borderId="11" xfId="0" applyNumberFormat="1" applyBorder="1" applyAlignment="1">
      <alignment horizontal="right" vertical="center"/>
    </xf>
    <xf numFmtId="164" fontId="0" fillId="0" borderId="12" xfId="0" applyNumberFormat="1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2" fontId="0" fillId="0" borderId="0" xfId="0" applyNumberFormat="1"/>
    <xf numFmtId="0" fontId="6" fillId="0" borderId="11" xfId="0" applyFont="1" applyBorder="1" applyAlignment="1">
      <alignment horizontal="left" vertical="center" indent="5"/>
    </xf>
    <xf numFmtId="49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0" fontId="2" fillId="0" borderId="1" xfId="0" quotePrefix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1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65" fontId="0" fillId="0" borderId="4" xfId="0" applyNumberFormat="1" applyBorder="1"/>
    <xf numFmtId="165" fontId="0" fillId="0" borderId="5" xfId="0" applyNumberFormat="1" applyBorder="1"/>
    <xf numFmtId="165" fontId="0" fillId="0" borderId="0" xfId="0" applyNumberFormat="1"/>
    <xf numFmtId="165" fontId="0" fillId="0" borderId="8" xfId="0" applyNumberFormat="1" applyBorder="1"/>
    <xf numFmtId="165" fontId="0" fillId="0" borderId="9" xfId="0" applyNumberFormat="1" applyBorder="1"/>
    <xf numFmtId="165" fontId="0" fillId="0" borderId="6" xfId="0" applyNumberFormat="1" applyBorder="1"/>
    <xf numFmtId="1" fontId="0" fillId="0" borderId="6" xfId="0" applyNumberFormat="1" applyBorder="1"/>
    <xf numFmtId="2" fontId="0" fillId="0" borderId="6" xfId="0" applyNumberFormat="1" applyBorder="1"/>
    <xf numFmtId="165" fontId="0" fillId="0" borderId="7" xfId="0" applyNumberFormat="1" applyBorder="1"/>
    <xf numFmtId="1" fontId="0" fillId="0" borderId="7" xfId="0" applyNumberFormat="1" applyBorder="1"/>
    <xf numFmtId="2" fontId="0" fillId="0" borderId="7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1" fontId="0" fillId="0" borderId="10" xfId="0" applyNumberFormat="1" applyBorder="1"/>
    <xf numFmtId="2" fontId="0" fillId="0" borderId="10" xfId="0" applyNumberFormat="1" applyBorder="1"/>
    <xf numFmtId="165" fontId="0" fillId="0" borderId="10" xfId="0" applyNumberFormat="1" applyBorder="1"/>
    <xf numFmtId="165" fontId="0" fillId="0" borderId="14" xfId="0" applyNumberFormat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'1-24'!$Q$4:$Q$6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'1-24'!$P$7:$P$11</c:f>
              <c:numCache>
                <c:formatCode>General</c:formatCode>
                <c:ptCount val="5"/>
                <c:pt idx="0">
                  <c:v>0.22566666666666665</c:v>
                </c:pt>
                <c:pt idx="1">
                  <c:v>0.52686666666666671</c:v>
                </c:pt>
                <c:pt idx="2">
                  <c:v>1.0883333333333334</c:v>
                </c:pt>
                <c:pt idx="3">
                  <c:v>1.7449999999999999</c:v>
                </c:pt>
                <c:pt idx="4">
                  <c:v>3.7677999999999998</c:v>
                </c:pt>
              </c:numCache>
            </c:numRef>
          </c:xVal>
          <c:yVal>
            <c:numRef>
              <c:f>'1-24'!$Q$7:$Q$11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7-4B19-B6E4-DD76F703D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'25-48'!$Q$4:$Q$6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'25-48'!$P$7:$P$11</c:f>
              <c:numCache>
                <c:formatCode>General</c:formatCode>
                <c:ptCount val="5"/>
                <c:pt idx="0">
                  <c:v>0.22566666666666665</c:v>
                </c:pt>
                <c:pt idx="1">
                  <c:v>0.52686666666666671</c:v>
                </c:pt>
                <c:pt idx="2">
                  <c:v>1.0883333333333334</c:v>
                </c:pt>
                <c:pt idx="3">
                  <c:v>1.7449999999999999</c:v>
                </c:pt>
                <c:pt idx="4">
                  <c:v>3.7677999999999998</c:v>
                </c:pt>
              </c:numCache>
            </c:numRef>
          </c:xVal>
          <c:yVal>
            <c:numRef>
              <c:f>'25-48'!$Q$7:$Q$11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C2-4FFD-864A-FF594FB72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'49-72'!$Q$4:$Q$6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'49-72'!$P$7:$P$11</c:f>
              <c:numCache>
                <c:formatCode>General</c:formatCode>
                <c:ptCount val="5"/>
                <c:pt idx="0">
                  <c:v>0.22566666666666665</c:v>
                </c:pt>
                <c:pt idx="1">
                  <c:v>0.52686666666666671</c:v>
                </c:pt>
                <c:pt idx="2">
                  <c:v>1.0883333333333334</c:v>
                </c:pt>
                <c:pt idx="3">
                  <c:v>1.7449999999999999</c:v>
                </c:pt>
                <c:pt idx="4">
                  <c:v>3.7677999999999998</c:v>
                </c:pt>
              </c:numCache>
            </c:numRef>
          </c:xVal>
          <c:yVal>
            <c:numRef>
              <c:f>'49-72'!$Q$7:$Q$11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A5-438E-A1F7-F7E5EFC2B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'73-96'!$Q$4:$Q$6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'73-96'!$P$7:$P$11</c:f>
              <c:numCache>
                <c:formatCode>General</c:formatCode>
                <c:ptCount val="5"/>
                <c:pt idx="0">
                  <c:v>0.22566666666666665</c:v>
                </c:pt>
                <c:pt idx="1">
                  <c:v>0.52686666666666671</c:v>
                </c:pt>
                <c:pt idx="2">
                  <c:v>1.0883333333333334</c:v>
                </c:pt>
                <c:pt idx="3">
                  <c:v>1.7449999999999999</c:v>
                </c:pt>
                <c:pt idx="4">
                  <c:v>3.7677999999999998</c:v>
                </c:pt>
              </c:numCache>
            </c:numRef>
          </c:xVal>
          <c:yVal>
            <c:numRef>
              <c:f>'73-96'!$Q$7:$Q$11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6C-43E8-852F-1EE4170D5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'97-120'!$Q$4:$Q$6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'97-120'!$P$7:$P$11</c:f>
              <c:numCache>
                <c:formatCode>General</c:formatCode>
                <c:ptCount val="5"/>
                <c:pt idx="0">
                  <c:v>0.22566666666666665</c:v>
                </c:pt>
                <c:pt idx="1">
                  <c:v>0.52686666666666671</c:v>
                </c:pt>
                <c:pt idx="2">
                  <c:v>1.0883333333333334</c:v>
                </c:pt>
                <c:pt idx="3">
                  <c:v>1.7449999999999999</c:v>
                </c:pt>
                <c:pt idx="4">
                  <c:v>3.7677999999999998</c:v>
                </c:pt>
              </c:numCache>
            </c:numRef>
          </c:xVal>
          <c:yVal>
            <c:numRef>
              <c:f>'97-120'!$Q$7:$Q$11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6F-4B1B-8536-5D13904ED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'121-144'!$Q$4:$Q$6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'121-144'!$P$7:$P$11</c:f>
              <c:numCache>
                <c:formatCode>General</c:formatCode>
                <c:ptCount val="5"/>
                <c:pt idx="0">
                  <c:v>0.22566666666666665</c:v>
                </c:pt>
                <c:pt idx="1">
                  <c:v>0.52686666666666671</c:v>
                </c:pt>
                <c:pt idx="2">
                  <c:v>1.0883333333333334</c:v>
                </c:pt>
                <c:pt idx="3">
                  <c:v>1.7449999999999999</c:v>
                </c:pt>
                <c:pt idx="4">
                  <c:v>3.7677999999999998</c:v>
                </c:pt>
              </c:numCache>
            </c:numRef>
          </c:xVal>
          <c:yVal>
            <c:numRef>
              <c:f>'121-144'!$Q$7:$Q$11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0-4413-B073-B2C4C3537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'145-168'!$Q$4:$Q$6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'145-168'!$P$7:$P$11</c:f>
              <c:numCache>
                <c:formatCode>General</c:formatCode>
                <c:ptCount val="5"/>
                <c:pt idx="0">
                  <c:v>0.22566666666666665</c:v>
                </c:pt>
                <c:pt idx="1">
                  <c:v>0.52686666666666671</c:v>
                </c:pt>
                <c:pt idx="2">
                  <c:v>1.0883333333333334</c:v>
                </c:pt>
                <c:pt idx="3">
                  <c:v>1.7449999999999999</c:v>
                </c:pt>
                <c:pt idx="4">
                  <c:v>3.7677999999999998</c:v>
                </c:pt>
              </c:numCache>
            </c:numRef>
          </c:xVal>
          <c:yVal>
            <c:numRef>
              <c:f>'145-168'!$Q$7:$Q$11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C3-43EE-84E8-45CAE4DAA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'169-192'!$Q$4:$Q$6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'169-192'!$P$7:$P$11</c:f>
              <c:numCache>
                <c:formatCode>General</c:formatCode>
                <c:ptCount val="5"/>
                <c:pt idx="0">
                  <c:v>0.22566666666666665</c:v>
                </c:pt>
                <c:pt idx="1">
                  <c:v>0.52686666666666671</c:v>
                </c:pt>
                <c:pt idx="2">
                  <c:v>1.0883333333333334</c:v>
                </c:pt>
                <c:pt idx="3">
                  <c:v>1.7449999999999999</c:v>
                </c:pt>
                <c:pt idx="4">
                  <c:v>3.7677999999999998</c:v>
                </c:pt>
              </c:numCache>
            </c:numRef>
          </c:xVal>
          <c:yVal>
            <c:numRef>
              <c:f>'169-192'!$Q$7:$Q$11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90-4929-BBE2-04F96C4A5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'193-202'!$Q$4:$Q$6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'193-202'!$P$7:$P$11</c:f>
              <c:numCache>
                <c:formatCode>General</c:formatCode>
                <c:ptCount val="5"/>
                <c:pt idx="0">
                  <c:v>0.22566666666666665</c:v>
                </c:pt>
                <c:pt idx="1">
                  <c:v>0.52686666666666671</c:v>
                </c:pt>
                <c:pt idx="2">
                  <c:v>1.0883333333333334</c:v>
                </c:pt>
                <c:pt idx="3">
                  <c:v>1.7449999999999999</c:v>
                </c:pt>
                <c:pt idx="4">
                  <c:v>3.7677999999999998</c:v>
                </c:pt>
              </c:numCache>
            </c:numRef>
          </c:xVal>
          <c:yVal>
            <c:numRef>
              <c:f>'193-202'!$Q$7:$Q$11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01-42E0-8D22-E630FAEFC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E725B40-1602-4F32-B6CC-D75991BD4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676A8FE-7093-4201-B65F-9CE6C9400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F66A334-1338-4F40-A073-2563867AE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F12B4AC-16C5-48E8-88C1-1ED34FE73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46334D6-3D7B-45A4-AF22-94B5CDA46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AF9CF8C-7E09-4747-A21C-DA17BAC77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1DEC33B-E7B2-46D5-87AF-50964D57E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67E66BD-54CC-403C-B5AD-E04182297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6358A33-B6CE-4E42-821F-A66110A6A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55F1-0658-46C4-8794-5E91CEEE6B9B}">
  <dimension ref="A1:X99"/>
  <sheetViews>
    <sheetView tabSelected="1" zoomScale="80" zoomScaleNormal="80" workbookViewId="0">
      <selection activeCell="B13" sqref="B13"/>
    </sheetView>
  </sheetViews>
  <sheetFormatPr defaultColWidth="8.88671875" defaultRowHeight="14.4" x14ac:dyDescent="0.3"/>
  <cols>
    <col min="1" max="1" width="10.5546875" bestFit="1" customWidth="1"/>
    <col min="2" max="2" width="9.109375" bestFit="1" customWidth="1"/>
    <col min="4" max="4" width="9.44140625" customWidth="1"/>
    <col min="5" max="5" width="10" customWidth="1"/>
    <col min="6" max="6" width="11.6640625" customWidth="1"/>
    <col min="7" max="7" width="12.5546875" customWidth="1"/>
    <col min="8" max="8" width="12.6640625" customWidth="1"/>
    <col min="10" max="11" width="9" customWidth="1"/>
    <col min="12" max="12" width="11.6640625" customWidth="1"/>
    <col min="13" max="13" width="9" customWidth="1"/>
    <col min="14" max="14" width="11.6640625" bestFit="1" customWidth="1"/>
    <col min="15" max="15" width="9" customWidth="1"/>
    <col min="16" max="16" width="9" bestFit="1" customWidth="1"/>
    <col min="17" max="17" width="10.88671875" customWidth="1"/>
    <col min="18" max="18" width="10.6640625" customWidth="1"/>
    <col min="19" max="19" width="9" bestFit="1" customWidth="1"/>
    <col min="20" max="20" width="9.5546875" bestFit="1" customWidth="1"/>
    <col min="21" max="21" width="9.5546875" customWidth="1"/>
  </cols>
  <sheetData>
    <row r="1" spans="5:17" x14ac:dyDescent="0.3">
      <c r="E1" s="79" t="s">
        <v>0</v>
      </c>
      <c r="F1" s="79"/>
      <c r="G1" s="79"/>
    </row>
    <row r="2" spans="5:17" x14ac:dyDescent="0.3">
      <c r="E2" s="79"/>
      <c r="F2" s="79"/>
      <c r="G2" s="79"/>
    </row>
    <row r="4" spans="5:17" ht="28.5" customHeight="1" x14ac:dyDescent="0.3">
      <c r="E4" s="1"/>
      <c r="F4" s="80" t="s">
        <v>1</v>
      </c>
      <c r="G4" s="81"/>
      <c r="I4" s="1"/>
      <c r="J4" s="80" t="s">
        <v>1</v>
      </c>
      <c r="K4" s="81"/>
      <c r="L4" s="2"/>
      <c r="M4" s="3" t="s">
        <v>2</v>
      </c>
      <c r="N4" s="4"/>
      <c r="O4" s="2"/>
      <c r="P4" s="82" t="s">
        <v>3</v>
      </c>
      <c r="Q4" s="83"/>
    </row>
    <row r="5" spans="5:17" ht="17.25" customHeight="1" x14ac:dyDescent="0.3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2" t="s">
        <v>1</v>
      </c>
      <c r="Q5" s="83"/>
    </row>
    <row r="6" spans="5:17" x14ac:dyDescent="0.3">
      <c r="E6" s="11" t="s">
        <v>8</v>
      </c>
      <c r="F6">
        <v>4.2000000000000003E-2</v>
      </c>
      <c r="G6">
        <v>3.8100000000000002E-2</v>
      </c>
      <c r="I6" s="13">
        <v>12.5</v>
      </c>
      <c r="J6" s="14">
        <f>AVERAGE(F9:F11)</f>
        <v>0.26476666666666665</v>
      </c>
      <c r="K6" s="15">
        <f>AVERAGE(G9:G11)</f>
        <v>3.6366666666666665E-2</v>
      </c>
      <c r="M6" s="14">
        <f>J6-$J$14</f>
        <v>0.22566666666666665</v>
      </c>
      <c r="N6" s="15">
        <f>K6-$K$14</f>
        <v>-7.666666666666655E-4</v>
      </c>
      <c r="P6" s="1" t="s">
        <v>5</v>
      </c>
      <c r="Q6" s="7" t="s">
        <v>7</v>
      </c>
    </row>
    <row r="7" spans="5:17" x14ac:dyDescent="0.3">
      <c r="E7" s="16" t="s">
        <v>9</v>
      </c>
      <c r="F7">
        <v>3.5799999999999998E-2</v>
      </c>
      <c r="G7">
        <v>3.49E-2</v>
      </c>
      <c r="I7" s="18">
        <v>25</v>
      </c>
      <c r="J7" s="19">
        <f>AVERAGE(F12:F14)</f>
        <v>0.56596666666666673</v>
      </c>
      <c r="K7" s="20">
        <f>AVERAGE(G12:G14)</f>
        <v>3.6399999999999995E-2</v>
      </c>
      <c r="M7" s="19">
        <f>J7-$J$14</f>
        <v>0.52686666666666671</v>
      </c>
      <c r="N7" s="20">
        <f>K7-$K$14</f>
        <v>-7.3333333333333584E-4</v>
      </c>
      <c r="P7" s="17">
        <f>M6</f>
        <v>0.22566666666666665</v>
      </c>
      <c r="Q7" s="12">
        <v>12.5</v>
      </c>
    </row>
    <row r="8" spans="5:17" x14ac:dyDescent="0.3">
      <c r="E8" s="21" t="s">
        <v>10</v>
      </c>
      <c r="F8">
        <v>3.95E-2</v>
      </c>
      <c r="G8">
        <v>3.8399999999999997E-2</v>
      </c>
      <c r="I8" s="18">
        <v>50</v>
      </c>
      <c r="J8" s="19">
        <f>AVERAGE(F15:F17)</f>
        <v>1.1274333333333333</v>
      </c>
      <c r="K8" s="20">
        <f>AVERAGE(G15:G17)</f>
        <v>3.7200000000000004E-2</v>
      </c>
      <c r="M8" s="19">
        <f>J8-$J$14</f>
        <v>1.0883333333333334</v>
      </c>
      <c r="N8" s="20">
        <f>K8-$K$14</f>
        <v>6.6666666666673202E-5</v>
      </c>
      <c r="P8" s="17">
        <f>M7</f>
        <v>0.52686666666666671</v>
      </c>
      <c r="Q8" s="17">
        <v>25</v>
      </c>
    </row>
    <row r="9" spans="5:17" x14ac:dyDescent="0.3">
      <c r="E9" s="11" t="s">
        <v>11</v>
      </c>
      <c r="F9">
        <v>0.31159999999999999</v>
      </c>
      <c r="G9">
        <v>3.56E-2</v>
      </c>
      <c r="I9" s="18">
        <v>100</v>
      </c>
      <c r="J9" s="19">
        <f>AVERAGE(F18:F20)</f>
        <v>1.7840999999999998</v>
      </c>
      <c r="K9" s="20">
        <f>AVERAGE(G18:G20)</f>
        <v>3.833333333333333E-2</v>
      </c>
      <c r="M9" s="19">
        <f>J9-$J$14</f>
        <v>1.7449999999999999</v>
      </c>
      <c r="N9" s="20">
        <f>K9-$K$14</f>
        <v>1.1999999999999997E-3</v>
      </c>
      <c r="P9" s="17">
        <f>M8</f>
        <v>1.0883333333333334</v>
      </c>
      <c r="Q9" s="17">
        <v>50</v>
      </c>
    </row>
    <row r="10" spans="5:17" x14ac:dyDescent="0.3">
      <c r="E10" s="16" t="s">
        <v>12</v>
      </c>
      <c r="F10">
        <v>0.17879999999999999</v>
      </c>
      <c r="G10">
        <v>3.6999999999999998E-2</v>
      </c>
      <c r="I10" s="23">
        <v>250</v>
      </c>
      <c r="J10" s="24">
        <f>AVERAGE(F21:F23)</f>
        <v>3.8068999999999997</v>
      </c>
      <c r="K10" s="25">
        <f>AVERAGE(G21:G23)</f>
        <v>3.5266666666666668E-2</v>
      </c>
      <c r="M10" s="19">
        <f>J10-$J$14</f>
        <v>3.7677999999999998</v>
      </c>
      <c r="N10" s="20">
        <f>K10-$K$14</f>
        <v>-1.8666666666666623E-3</v>
      </c>
      <c r="P10" s="17">
        <f>M9</f>
        <v>1.7449999999999999</v>
      </c>
      <c r="Q10" s="17">
        <v>100</v>
      </c>
    </row>
    <row r="11" spans="5:17" x14ac:dyDescent="0.3">
      <c r="E11" s="21" t="s">
        <v>13</v>
      </c>
      <c r="F11">
        <v>0.3039</v>
      </c>
      <c r="G11">
        <v>3.6499999999999998E-2</v>
      </c>
      <c r="I11" s="26" t="s">
        <v>14</v>
      </c>
      <c r="J11" s="13">
        <f t="shared" ref="J11:K13" si="0">F6</f>
        <v>4.2000000000000003E-2</v>
      </c>
      <c r="K11" s="27">
        <f t="shared" si="0"/>
        <v>3.8100000000000002E-2</v>
      </c>
      <c r="M11" s="23"/>
      <c r="N11" s="28"/>
      <c r="P11" s="22">
        <f>M10</f>
        <v>3.7677999999999998</v>
      </c>
      <c r="Q11" s="22">
        <v>250</v>
      </c>
    </row>
    <row r="12" spans="5:17" x14ac:dyDescent="0.3">
      <c r="E12" s="11" t="s">
        <v>15</v>
      </c>
      <c r="F12">
        <v>0.55330000000000001</v>
      </c>
      <c r="G12">
        <v>3.5499999999999997E-2</v>
      </c>
      <c r="I12" s="29" t="s">
        <v>14</v>
      </c>
      <c r="J12" s="18">
        <f t="shared" si="0"/>
        <v>3.5799999999999998E-2</v>
      </c>
      <c r="K12" s="30">
        <f t="shared" si="0"/>
        <v>3.49E-2</v>
      </c>
    </row>
    <row r="13" spans="5:17" x14ac:dyDescent="0.3">
      <c r="E13" s="16" t="s">
        <v>16</v>
      </c>
      <c r="F13">
        <v>0.54720000000000002</v>
      </c>
      <c r="G13">
        <v>3.7400000000000003E-2</v>
      </c>
      <c r="I13" s="31" t="s">
        <v>14</v>
      </c>
      <c r="J13" s="23">
        <f t="shared" si="0"/>
        <v>3.95E-2</v>
      </c>
      <c r="K13" s="28">
        <f t="shared" si="0"/>
        <v>3.8399999999999997E-2</v>
      </c>
    </row>
    <row r="14" spans="5:17" x14ac:dyDescent="0.3">
      <c r="E14" s="21" t="s">
        <v>17</v>
      </c>
      <c r="F14">
        <v>0.59740000000000004</v>
      </c>
      <c r="G14">
        <v>3.6299999999999999E-2</v>
      </c>
      <c r="I14" s="32" t="s">
        <v>18</v>
      </c>
      <c r="J14" s="33">
        <f>AVERAGE(J11:J13)</f>
        <v>3.9100000000000003E-2</v>
      </c>
      <c r="K14" s="34">
        <f>AVERAGE(K11:K13)</f>
        <v>3.7133333333333331E-2</v>
      </c>
    </row>
    <row r="15" spans="5:17" x14ac:dyDescent="0.3">
      <c r="E15" s="11" t="s">
        <v>19</v>
      </c>
      <c r="F15">
        <v>1.2909999999999999</v>
      </c>
      <c r="G15">
        <v>3.8300000000000001E-2</v>
      </c>
      <c r="M15" s="13" t="s">
        <v>20</v>
      </c>
      <c r="N15" s="35"/>
      <c r="O15" s="27"/>
    </row>
    <row r="16" spans="5:17" x14ac:dyDescent="0.3">
      <c r="E16" s="16" t="s">
        <v>21</v>
      </c>
      <c r="F16">
        <v>1.0270999999999999</v>
      </c>
      <c r="G16">
        <v>3.6799999999999999E-2</v>
      </c>
      <c r="M16" s="18" t="s">
        <v>22</v>
      </c>
      <c r="O16" s="30"/>
    </row>
    <row r="17" spans="1:24" x14ac:dyDescent="0.3">
      <c r="E17" s="21" t="s">
        <v>23</v>
      </c>
      <c r="F17">
        <v>1.0642</v>
      </c>
      <c r="G17">
        <v>3.6499999999999998E-2</v>
      </c>
      <c r="M17" s="23" t="s">
        <v>24</v>
      </c>
      <c r="N17" s="36"/>
      <c r="O17" s="28"/>
    </row>
    <row r="18" spans="1:24" x14ac:dyDescent="0.3">
      <c r="E18" s="11" t="s">
        <v>25</v>
      </c>
      <c r="F18">
        <v>2.1677</v>
      </c>
      <c r="G18">
        <v>4.1599999999999998E-2</v>
      </c>
      <c r="I18" s="82" t="s">
        <v>26</v>
      </c>
      <c r="J18" s="84"/>
      <c r="K18" s="83"/>
      <c r="W18" s="37"/>
      <c r="X18" s="37"/>
    </row>
    <row r="19" spans="1:24" ht="15.6" x14ac:dyDescent="0.3">
      <c r="E19" s="16" t="s">
        <v>27</v>
      </c>
      <c r="F19">
        <v>1.1813</v>
      </c>
      <c r="G19">
        <v>3.78E-2</v>
      </c>
      <c r="I19" s="38" t="s">
        <v>28</v>
      </c>
      <c r="J19" s="36"/>
      <c r="K19" s="28"/>
    </row>
    <row r="20" spans="1:24" x14ac:dyDescent="0.3">
      <c r="E20" s="21" t="s">
        <v>29</v>
      </c>
      <c r="F20">
        <v>2.0032999999999999</v>
      </c>
      <c r="G20">
        <v>3.56E-2</v>
      </c>
      <c r="U20" s="37"/>
      <c r="V20" s="37"/>
    </row>
    <row r="21" spans="1:24" x14ac:dyDescent="0.3">
      <c r="E21" s="11" t="s">
        <v>30</v>
      </c>
      <c r="F21">
        <v>3.8005</v>
      </c>
      <c r="G21">
        <v>3.4299999999999997E-2</v>
      </c>
      <c r="U21" s="37"/>
      <c r="V21" s="37"/>
    </row>
    <row r="22" spans="1:24" x14ac:dyDescent="0.3">
      <c r="E22" s="16" t="s">
        <v>31</v>
      </c>
      <c r="F22" s="39" t="s">
        <v>123</v>
      </c>
      <c r="G22">
        <v>3.4799999999999998E-2</v>
      </c>
      <c r="U22" s="37"/>
      <c r="V22" s="37"/>
    </row>
    <row r="23" spans="1:24" x14ac:dyDescent="0.3">
      <c r="E23" s="21" t="s">
        <v>32</v>
      </c>
      <c r="F23">
        <v>3.8132999999999999</v>
      </c>
      <c r="G23">
        <v>3.6700000000000003E-2</v>
      </c>
      <c r="U23" s="37"/>
      <c r="V23" s="37"/>
    </row>
    <row r="24" spans="1:24" x14ac:dyDescent="0.3">
      <c r="E24" s="39"/>
      <c r="V24" s="37"/>
      <c r="W24" s="37"/>
    </row>
    <row r="25" spans="1:24" ht="31.5" customHeight="1" x14ac:dyDescent="0.3">
      <c r="A25" s="85" t="s">
        <v>33</v>
      </c>
      <c r="B25" s="86"/>
      <c r="J25" s="36"/>
      <c r="K25" s="36"/>
      <c r="M25" s="40"/>
      <c r="N25" s="41" t="s">
        <v>34</v>
      </c>
      <c r="O25" s="42" t="s">
        <v>124</v>
      </c>
      <c r="P25" s="43" t="s">
        <v>35</v>
      </c>
      <c r="Q25" s="3" t="s">
        <v>36</v>
      </c>
      <c r="R25" s="43" t="s">
        <v>37</v>
      </c>
      <c r="S25" s="44" t="s">
        <v>37</v>
      </c>
      <c r="T25" s="4" t="s">
        <v>38</v>
      </c>
      <c r="U25" s="6" t="s">
        <v>36</v>
      </c>
      <c r="V25" s="37"/>
    </row>
    <row r="26" spans="1:24" ht="30.75" customHeight="1" x14ac:dyDescent="0.3">
      <c r="A26" s="45" t="s">
        <v>39</v>
      </c>
      <c r="B26" s="1" t="s">
        <v>40</v>
      </c>
      <c r="D26" s="46" t="s">
        <v>38</v>
      </c>
      <c r="E26" s="46" t="s">
        <v>41</v>
      </c>
      <c r="F26" s="47" t="s">
        <v>42</v>
      </c>
      <c r="G26" s="47" t="s">
        <v>5</v>
      </c>
      <c r="H26" s="47" t="s">
        <v>6</v>
      </c>
      <c r="I26" s="48"/>
      <c r="J26" s="49" t="s">
        <v>43</v>
      </c>
      <c r="K26" s="50" t="s">
        <v>44</v>
      </c>
      <c r="M26" s="47" t="s">
        <v>45</v>
      </c>
      <c r="N26" s="51" t="s">
        <v>46</v>
      </c>
      <c r="O26" s="52" t="s">
        <v>47</v>
      </c>
      <c r="P26" s="53" t="s">
        <v>48</v>
      </c>
      <c r="Q26" s="3" t="s">
        <v>49</v>
      </c>
      <c r="R26" s="41" t="s">
        <v>49</v>
      </c>
      <c r="S26" s="44" t="s">
        <v>50</v>
      </c>
      <c r="T26" s="44"/>
      <c r="U26" s="6" t="s">
        <v>49</v>
      </c>
      <c r="V26" s="37"/>
    </row>
    <row r="27" spans="1:24" ht="15" customHeight="1" x14ac:dyDescent="0.3">
      <c r="A27" s="18">
        <v>1</v>
      </c>
      <c r="B27" s="30">
        <v>10</v>
      </c>
      <c r="D27" s="76">
        <f>A27</f>
        <v>1</v>
      </c>
      <c r="E27" s="12" t="s">
        <v>51</v>
      </c>
      <c r="F27" s="12">
        <f>B27</f>
        <v>10</v>
      </c>
      <c r="G27" s="54">
        <v>0.22420000000000001</v>
      </c>
      <c r="H27" s="55">
        <v>0.68049999999999999</v>
      </c>
      <c r="I27" s="56"/>
      <c r="J27" s="57">
        <f>G27-$J$14</f>
        <v>0.18510000000000001</v>
      </c>
      <c r="K27" s="58">
        <f>H27-$K$14</f>
        <v>0.64336666666666664</v>
      </c>
      <c r="L27" s="56"/>
      <c r="M27" s="59">
        <f>J27-(0.25*K27)</f>
        <v>2.4258333333333354E-2</v>
      </c>
      <c r="N27" s="56">
        <f>M27*70.966</f>
        <v>1.7215168833333347</v>
      </c>
      <c r="O27" s="58">
        <f>N27*2</f>
        <v>3.4430337666666695</v>
      </c>
      <c r="P27" s="56">
        <f>O27/F27</f>
        <v>0.34430337666666694</v>
      </c>
      <c r="Q27" s="57">
        <f>AVERAGE(P27:P29)</f>
        <v>1.3021078233333332</v>
      </c>
      <c r="R27" s="56">
        <f>STDEV(P27:P29)</f>
        <v>0.84693129346375728</v>
      </c>
      <c r="S27" s="58">
        <f>R27/Q27*100</f>
        <v>65.043099986578227</v>
      </c>
      <c r="T27" s="60">
        <f>D27</f>
        <v>1</v>
      </c>
      <c r="U27" s="61">
        <f>Q27</f>
        <v>1.3021078233333332</v>
      </c>
      <c r="V27" s="37"/>
    </row>
    <row r="28" spans="1:24" ht="14.4" customHeight="1" x14ac:dyDescent="0.3">
      <c r="A28" s="18">
        <v>2</v>
      </c>
      <c r="B28" s="30">
        <v>10</v>
      </c>
      <c r="D28" s="77"/>
      <c r="E28" s="17" t="s">
        <v>52</v>
      </c>
      <c r="F28" s="17">
        <f>F27</f>
        <v>10</v>
      </c>
      <c r="G28" s="57">
        <v>0.32040000000000002</v>
      </c>
      <c r="H28" s="58">
        <v>0.61219999999999997</v>
      </c>
      <c r="I28" s="56"/>
      <c r="J28" s="57">
        <f>G28-$J$14</f>
        <v>0.28129999999999999</v>
      </c>
      <c r="K28" s="58">
        <f>H28-$K$14</f>
        <v>0.57506666666666661</v>
      </c>
      <c r="L28" s="56"/>
      <c r="M28" s="62">
        <f t="shared" ref="M28:M91" si="1">J28-(0.25*K28)</f>
        <v>0.13753333333333334</v>
      </c>
      <c r="N28" s="56">
        <f t="shared" ref="N28:N91" si="2">M28*70.966</f>
        <v>9.7601905333333328</v>
      </c>
      <c r="O28" s="58">
        <f t="shared" ref="O28:O91" si="3">N28*2</f>
        <v>19.520381066666666</v>
      </c>
      <c r="P28" s="56">
        <f t="shared" ref="P28:P91" si="4">O28/F28</f>
        <v>1.9520381066666666</v>
      </c>
      <c r="Q28" s="57"/>
      <c r="R28" s="56"/>
      <c r="S28" s="58"/>
      <c r="T28" s="63">
        <f>D30</f>
        <v>2</v>
      </c>
      <c r="U28" s="64">
        <f>Q30</f>
        <v>2.2033760233333326</v>
      </c>
    </row>
    <row r="29" spans="1:24" ht="14.4" customHeight="1" x14ac:dyDescent="0.3">
      <c r="A29" s="18">
        <v>3</v>
      </c>
      <c r="B29" s="30">
        <v>10</v>
      </c>
      <c r="D29" s="78"/>
      <c r="E29" s="22" t="s">
        <v>53</v>
      </c>
      <c r="F29" s="22">
        <f>F27</f>
        <v>10</v>
      </c>
      <c r="G29" s="65">
        <v>0.3019</v>
      </c>
      <c r="H29" s="66">
        <v>0.63460000000000005</v>
      </c>
      <c r="I29" s="56"/>
      <c r="J29" s="57">
        <f>G29-$J$14</f>
        <v>0.26279999999999998</v>
      </c>
      <c r="K29" s="58">
        <f>H29-$K$14</f>
        <v>0.5974666666666667</v>
      </c>
      <c r="L29" s="56"/>
      <c r="M29" s="62">
        <f t="shared" si="1"/>
        <v>0.1134333333333333</v>
      </c>
      <c r="N29" s="56">
        <f t="shared" si="2"/>
        <v>8.0499099333333302</v>
      </c>
      <c r="O29" s="58">
        <f t="shared" si="3"/>
        <v>16.09981986666666</v>
      </c>
      <c r="P29" s="56">
        <f t="shared" si="4"/>
        <v>1.609981986666666</v>
      </c>
      <c r="Q29" s="57"/>
      <c r="R29" s="56"/>
      <c r="S29" s="58"/>
      <c r="T29" s="63">
        <f>D33</f>
        <v>3</v>
      </c>
      <c r="U29" s="64">
        <f>Q33</f>
        <v>2.3020187633333333</v>
      </c>
    </row>
    <row r="30" spans="1:24" ht="14.4" customHeight="1" x14ac:dyDescent="0.3">
      <c r="A30" s="18">
        <v>4</v>
      </c>
      <c r="B30" s="30">
        <v>10</v>
      </c>
      <c r="D30" s="76">
        <f>A28</f>
        <v>2</v>
      </c>
      <c r="E30" s="12" t="s">
        <v>54</v>
      </c>
      <c r="F30" s="12">
        <f>B28</f>
        <v>10</v>
      </c>
      <c r="G30" s="54">
        <v>0.34560000000000002</v>
      </c>
      <c r="H30" s="55">
        <v>0.64859999999999995</v>
      </c>
      <c r="I30" s="56"/>
      <c r="J30" s="57">
        <f>G30-$J$14</f>
        <v>0.30649999999999999</v>
      </c>
      <c r="K30" s="58">
        <f>H30-$K$14</f>
        <v>0.6114666666666666</v>
      </c>
      <c r="L30" s="56"/>
      <c r="M30" s="62">
        <f t="shared" si="1"/>
        <v>0.15363333333333334</v>
      </c>
      <c r="N30" s="56">
        <f t="shared" si="2"/>
        <v>10.902743133333333</v>
      </c>
      <c r="O30" s="58">
        <f t="shared" si="3"/>
        <v>21.805486266666666</v>
      </c>
      <c r="P30" s="56">
        <f t="shared" si="4"/>
        <v>2.1805486266666665</v>
      </c>
      <c r="Q30" s="57">
        <f>AVERAGE(P30:P32)</f>
        <v>2.2033760233333326</v>
      </c>
      <c r="R30" s="56">
        <f>STDEV(P30:P32)</f>
        <v>0.27658772794727965</v>
      </c>
      <c r="S30" s="58">
        <f>R30/Q30*100</f>
        <v>12.55290631368719</v>
      </c>
      <c r="T30" s="63">
        <f>D36</f>
        <v>4</v>
      </c>
      <c r="U30" s="64">
        <f>Q36</f>
        <v>1.6137668399999996</v>
      </c>
    </row>
    <row r="31" spans="1:24" ht="14.4" customHeight="1" x14ac:dyDescent="0.3">
      <c r="A31" s="18">
        <v>5</v>
      </c>
      <c r="B31" s="30">
        <v>10</v>
      </c>
      <c r="D31" s="77"/>
      <c r="E31" s="17" t="s">
        <v>55</v>
      </c>
      <c r="F31" s="17">
        <f t="shared" ref="F31" si="5">F30</f>
        <v>10</v>
      </c>
      <c r="G31" s="57">
        <v>0.32819999999999999</v>
      </c>
      <c r="H31" s="58">
        <v>0.64710000000000001</v>
      </c>
      <c r="I31" s="56"/>
      <c r="J31" s="57">
        <f>G31-$J$14</f>
        <v>0.28909999999999997</v>
      </c>
      <c r="K31" s="58">
        <f>H31-$K$14</f>
        <v>0.60996666666666666</v>
      </c>
      <c r="L31" s="56"/>
      <c r="M31" s="62">
        <f t="shared" si="1"/>
        <v>0.1366083333333333</v>
      </c>
      <c r="N31" s="56">
        <f t="shared" si="2"/>
        <v>9.6945469833333302</v>
      </c>
      <c r="O31" s="58">
        <f t="shared" si="3"/>
        <v>19.38909396666666</v>
      </c>
      <c r="P31" s="56">
        <f t="shared" si="4"/>
        <v>1.938909396666666</v>
      </c>
      <c r="Q31" s="57"/>
      <c r="R31" s="56"/>
      <c r="S31" s="58"/>
      <c r="T31" s="63">
        <f>D39</f>
        <v>5</v>
      </c>
      <c r="U31" s="64">
        <f>Q39</f>
        <v>1.0577482299999996</v>
      </c>
    </row>
    <row r="32" spans="1:24" ht="14.4" customHeight="1" x14ac:dyDescent="0.3">
      <c r="A32" s="18">
        <v>6</v>
      </c>
      <c r="B32" s="30">
        <v>10</v>
      </c>
      <c r="D32" s="78"/>
      <c r="E32" s="22" t="s">
        <v>56</v>
      </c>
      <c r="F32" s="22">
        <f t="shared" ref="F32" si="6">F30</f>
        <v>10</v>
      </c>
      <c r="G32" s="65">
        <v>0.36899999999999999</v>
      </c>
      <c r="H32" s="66">
        <v>0.65480000000000005</v>
      </c>
      <c r="I32" s="56"/>
      <c r="J32" s="57">
        <f>G32-$J$14</f>
        <v>0.32989999999999997</v>
      </c>
      <c r="K32" s="58">
        <f>H32-$K$14</f>
        <v>0.6176666666666667</v>
      </c>
      <c r="L32" s="56"/>
      <c r="M32" s="62">
        <f t="shared" si="1"/>
        <v>0.1754833333333333</v>
      </c>
      <c r="N32" s="56">
        <f t="shared" si="2"/>
        <v>12.45335023333333</v>
      </c>
      <c r="O32" s="58">
        <f t="shared" si="3"/>
        <v>24.90670046666666</v>
      </c>
      <c r="P32" s="56">
        <f t="shared" si="4"/>
        <v>2.4906700466666658</v>
      </c>
      <c r="Q32" s="57"/>
      <c r="R32" s="56"/>
      <c r="S32" s="58"/>
      <c r="T32" s="63">
        <f>D42</f>
        <v>6</v>
      </c>
      <c r="U32" s="64">
        <f>Q42</f>
        <v>1.6788190066666662</v>
      </c>
    </row>
    <row r="33" spans="1:21" ht="14.4" customHeight="1" x14ac:dyDescent="0.3">
      <c r="A33" s="18">
        <v>7</v>
      </c>
      <c r="B33" s="30">
        <v>10</v>
      </c>
      <c r="D33" s="76">
        <f>A29</f>
        <v>3</v>
      </c>
      <c r="E33" s="12" t="s">
        <v>57</v>
      </c>
      <c r="F33" s="12">
        <f>B29</f>
        <v>10</v>
      </c>
      <c r="G33" s="54">
        <v>0.35880000000000001</v>
      </c>
      <c r="H33" s="55">
        <v>0.66449999999999998</v>
      </c>
      <c r="I33" s="56"/>
      <c r="J33" s="57">
        <f>G33-$J$14</f>
        <v>0.31969999999999998</v>
      </c>
      <c r="K33" s="58">
        <f>H33-$K$14</f>
        <v>0.62736666666666663</v>
      </c>
      <c r="L33" s="56"/>
      <c r="M33" s="62">
        <f t="shared" si="1"/>
        <v>0.16285833333333333</v>
      </c>
      <c r="N33" s="56">
        <f t="shared" si="2"/>
        <v>11.557404483333332</v>
      </c>
      <c r="O33" s="58">
        <f t="shared" si="3"/>
        <v>23.114808966666665</v>
      </c>
      <c r="P33" s="56">
        <f t="shared" si="4"/>
        <v>2.3114808966666667</v>
      </c>
      <c r="Q33" s="57">
        <f>AVERAGE(P33:P35)</f>
        <v>2.3020187633333333</v>
      </c>
      <c r="R33" s="56">
        <f>STDEV(P33:P35)</f>
        <v>7.1790039471379699E-2</v>
      </c>
      <c r="S33" s="58">
        <f>R33/Q33*100</f>
        <v>3.1185688238017399</v>
      </c>
      <c r="T33" s="63">
        <f>D45</f>
        <v>7</v>
      </c>
      <c r="U33" s="64">
        <f>Q45</f>
        <v>2.2822665600000001</v>
      </c>
    </row>
    <row r="34" spans="1:21" ht="14.4" customHeight="1" x14ac:dyDescent="0.3">
      <c r="A34" s="18">
        <v>8</v>
      </c>
      <c r="B34" s="30">
        <v>10</v>
      </c>
      <c r="D34" s="77"/>
      <c r="E34" s="17" t="s">
        <v>58</v>
      </c>
      <c r="F34" s="17">
        <f t="shared" ref="F34" si="7">F33</f>
        <v>10</v>
      </c>
      <c r="G34" s="57">
        <v>0.36130000000000001</v>
      </c>
      <c r="H34" s="58">
        <v>0.65839999999999999</v>
      </c>
      <c r="I34" s="56"/>
      <c r="J34" s="57">
        <f>G34-$J$14</f>
        <v>0.32219999999999999</v>
      </c>
      <c r="K34" s="58">
        <f>H34-$K$14</f>
        <v>0.62126666666666663</v>
      </c>
      <c r="L34" s="56"/>
      <c r="M34" s="62">
        <f t="shared" si="1"/>
        <v>0.16688333333333333</v>
      </c>
      <c r="N34" s="56">
        <f t="shared" si="2"/>
        <v>11.843042633333331</v>
      </c>
      <c r="O34" s="58">
        <f t="shared" si="3"/>
        <v>23.686085266666662</v>
      </c>
      <c r="P34" s="56">
        <f t="shared" si="4"/>
        <v>2.3686085266666663</v>
      </c>
      <c r="Q34" s="57"/>
      <c r="R34" s="56"/>
      <c r="S34" s="58"/>
      <c r="T34" s="63">
        <f>D48</f>
        <v>8</v>
      </c>
      <c r="U34" s="64">
        <f>Q48</f>
        <v>2.1300444899999995</v>
      </c>
    </row>
    <row r="35" spans="1:21" ht="14.4" customHeight="1" x14ac:dyDescent="0.3">
      <c r="A35" s="18">
        <v>9</v>
      </c>
      <c r="B35" s="30">
        <v>10</v>
      </c>
      <c r="D35" s="78"/>
      <c r="E35" s="22" t="s">
        <v>59</v>
      </c>
      <c r="F35" s="22">
        <f t="shared" ref="F35" si="8">F33</f>
        <v>10</v>
      </c>
      <c r="G35" s="65">
        <v>0.35639999999999999</v>
      </c>
      <c r="H35" s="66">
        <v>0.67900000000000005</v>
      </c>
      <c r="I35" s="56"/>
      <c r="J35" s="57">
        <f>G35-$J$14</f>
        <v>0.31729999999999997</v>
      </c>
      <c r="K35" s="58">
        <f>H35-$K$14</f>
        <v>0.6418666666666667</v>
      </c>
      <c r="L35" s="56"/>
      <c r="M35" s="62">
        <f t="shared" si="1"/>
        <v>0.1568333333333333</v>
      </c>
      <c r="N35" s="56">
        <f t="shared" si="2"/>
        <v>11.12983433333333</v>
      </c>
      <c r="O35" s="58">
        <f t="shared" si="3"/>
        <v>22.259668666666659</v>
      </c>
      <c r="P35" s="56">
        <f t="shared" si="4"/>
        <v>2.2259668666666661</v>
      </c>
      <c r="Q35" s="57"/>
      <c r="R35" s="56"/>
      <c r="S35" s="58"/>
      <c r="T35" s="63">
        <f>D51</f>
        <v>9</v>
      </c>
      <c r="U35" s="64">
        <f>Q51</f>
        <v>1.9344148833333328</v>
      </c>
    </row>
    <row r="36" spans="1:21" ht="14.4" customHeight="1" x14ac:dyDescent="0.3">
      <c r="A36" s="18">
        <v>10</v>
      </c>
      <c r="B36" s="30">
        <v>10</v>
      </c>
      <c r="D36" s="76">
        <f>A30</f>
        <v>4</v>
      </c>
      <c r="E36" s="12" t="s">
        <v>60</v>
      </c>
      <c r="F36" s="12">
        <f>B30</f>
        <v>10</v>
      </c>
      <c r="G36" s="54">
        <v>0.28100000000000003</v>
      </c>
      <c r="H36" s="55">
        <v>0.62529999999999997</v>
      </c>
      <c r="I36" s="56"/>
      <c r="J36" s="57">
        <f>G36-$J$14</f>
        <v>0.24190000000000003</v>
      </c>
      <c r="K36" s="58">
        <f>H36-$K$14</f>
        <v>0.58816666666666662</v>
      </c>
      <c r="L36" s="56"/>
      <c r="M36" s="62">
        <f t="shared" si="1"/>
        <v>9.4858333333333378E-2</v>
      </c>
      <c r="N36" s="56">
        <f t="shared" si="2"/>
        <v>6.7317164833333356</v>
      </c>
      <c r="O36" s="58">
        <f t="shared" si="3"/>
        <v>13.463432966666671</v>
      </c>
      <c r="P36" s="56">
        <f t="shared" si="4"/>
        <v>1.3463432966666671</v>
      </c>
      <c r="Q36" s="57">
        <f>AVERAGE(P36:P38)</f>
        <v>1.6137668399999996</v>
      </c>
      <c r="R36" s="56">
        <f>STDEV(P36:P38)</f>
        <v>0.27724017868083684</v>
      </c>
      <c r="S36" s="58">
        <f>R36/Q36*100</f>
        <v>17.179692369985549</v>
      </c>
      <c r="T36" s="63">
        <f>D54</f>
        <v>10</v>
      </c>
      <c r="U36" s="64">
        <f>Q54</f>
        <v>1.6266589966666665</v>
      </c>
    </row>
    <row r="37" spans="1:21" ht="14.4" customHeight="1" x14ac:dyDescent="0.3">
      <c r="A37" s="18">
        <v>11</v>
      </c>
      <c r="B37" s="30">
        <v>10</v>
      </c>
      <c r="D37" s="77"/>
      <c r="E37" s="17" t="s">
        <v>61</v>
      </c>
      <c r="F37" s="17">
        <f t="shared" ref="F37" si="9">F36</f>
        <v>10</v>
      </c>
      <c r="G37" s="57">
        <v>0.29089999999999999</v>
      </c>
      <c r="H37" s="58">
        <v>0.5948</v>
      </c>
      <c r="I37" s="56"/>
      <c r="J37" s="57">
        <f>G37-$J$14</f>
        <v>0.25179999999999997</v>
      </c>
      <c r="K37" s="58">
        <f>H37-$K$14</f>
        <v>0.55766666666666664</v>
      </c>
      <c r="L37" s="56"/>
      <c r="M37" s="62">
        <f t="shared" si="1"/>
        <v>0.11238333333333331</v>
      </c>
      <c r="N37" s="56">
        <f t="shared" si="2"/>
        <v>7.9753956333333305</v>
      </c>
      <c r="O37" s="58">
        <f t="shared" si="3"/>
        <v>15.950791266666661</v>
      </c>
      <c r="P37" s="56">
        <f t="shared" si="4"/>
        <v>1.5950791266666662</v>
      </c>
      <c r="Q37" s="57"/>
      <c r="R37" s="56"/>
      <c r="S37" s="58"/>
      <c r="T37" s="63">
        <f>D57</f>
        <v>11</v>
      </c>
      <c r="U37" s="64">
        <f>Q57</f>
        <v>0.13483539999999991</v>
      </c>
    </row>
    <row r="38" spans="1:21" ht="14.4" customHeight="1" x14ac:dyDescent="0.3">
      <c r="A38" s="18">
        <v>12</v>
      </c>
      <c r="B38" s="30">
        <v>10</v>
      </c>
      <c r="D38" s="78"/>
      <c r="E38" s="22" t="s">
        <v>62</v>
      </c>
      <c r="F38" s="22">
        <f t="shared" ref="F38" si="10">F36</f>
        <v>10</v>
      </c>
      <c r="G38" s="65">
        <v>0.31359999999999999</v>
      </c>
      <c r="H38" s="66">
        <v>0.59970000000000001</v>
      </c>
      <c r="I38" s="56"/>
      <c r="J38" s="57">
        <f>G38-$J$14</f>
        <v>0.27449999999999997</v>
      </c>
      <c r="K38" s="58">
        <f>H38-$K$14</f>
        <v>0.56256666666666666</v>
      </c>
      <c r="L38" s="56"/>
      <c r="M38" s="62">
        <f t="shared" si="1"/>
        <v>0.1338583333333333</v>
      </c>
      <c r="N38" s="56">
        <f t="shared" si="2"/>
        <v>9.4993904833333307</v>
      </c>
      <c r="O38" s="58">
        <f t="shared" si="3"/>
        <v>18.998780966666661</v>
      </c>
      <c r="P38" s="56">
        <f t="shared" si="4"/>
        <v>1.8998780966666662</v>
      </c>
      <c r="Q38" s="57"/>
      <c r="R38" s="56"/>
      <c r="S38" s="58"/>
      <c r="T38" s="63">
        <f>D60</f>
        <v>12</v>
      </c>
      <c r="U38" s="64">
        <f>Q60</f>
        <v>0.13010433333333329</v>
      </c>
    </row>
    <row r="39" spans="1:21" ht="14.4" customHeight="1" x14ac:dyDescent="0.3">
      <c r="A39" s="18">
        <v>13</v>
      </c>
      <c r="B39" s="30">
        <v>10</v>
      </c>
      <c r="D39" s="76">
        <f>A31</f>
        <v>5</v>
      </c>
      <c r="E39" s="12" t="s">
        <v>63</v>
      </c>
      <c r="F39" s="12">
        <f>B31</f>
        <v>10</v>
      </c>
      <c r="G39" s="54">
        <v>0.29799999999999999</v>
      </c>
      <c r="H39" s="55">
        <v>0.61119999999999997</v>
      </c>
      <c r="I39" s="56"/>
      <c r="J39" s="57">
        <f>G39-$J$14</f>
        <v>0.25889999999999996</v>
      </c>
      <c r="K39" s="58">
        <f>H39-$K$14</f>
        <v>0.57406666666666661</v>
      </c>
      <c r="L39" s="56"/>
      <c r="M39" s="62">
        <f t="shared" si="1"/>
        <v>0.11538333333333331</v>
      </c>
      <c r="N39" s="56">
        <f t="shared" si="2"/>
        <v>8.1882936333333305</v>
      </c>
      <c r="O39" s="58">
        <f t="shared" si="3"/>
        <v>16.376587266666661</v>
      </c>
      <c r="P39" s="56">
        <f t="shared" si="4"/>
        <v>1.637658726666666</v>
      </c>
      <c r="Q39" s="57">
        <f>AVERAGE(P39:P41)</f>
        <v>1.0577482299999996</v>
      </c>
      <c r="R39" s="56">
        <f>STDEV(P39:P41)</f>
        <v>0.90050138045091344</v>
      </c>
      <c r="S39" s="58">
        <f>R39/Q39*100</f>
        <v>85.133811138678411</v>
      </c>
      <c r="T39" s="63">
        <f>D63</f>
        <v>13</v>
      </c>
      <c r="U39" s="64">
        <f>Q63</f>
        <v>1.5554564433333331</v>
      </c>
    </row>
    <row r="40" spans="1:21" ht="14.4" customHeight="1" x14ac:dyDescent="0.3">
      <c r="A40" s="18">
        <v>14</v>
      </c>
      <c r="B40" s="30">
        <v>10</v>
      </c>
      <c r="D40" s="77"/>
      <c r="E40" s="17" t="s">
        <v>64</v>
      </c>
      <c r="F40" s="17">
        <f t="shared" ref="F40" si="11">F39</f>
        <v>10</v>
      </c>
      <c r="G40" s="57">
        <v>0.20399999999999999</v>
      </c>
      <c r="H40" s="58">
        <v>0.69099999999999995</v>
      </c>
      <c r="I40" s="56"/>
      <c r="J40" s="57">
        <f>G40-$J$14</f>
        <v>0.16489999999999999</v>
      </c>
      <c r="K40" s="58">
        <f>H40-$K$14</f>
        <v>0.6538666666666666</v>
      </c>
      <c r="L40" s="56"/>
      <c r="M40" s="62">
        <f t="shared" si="1"/>
        <v>1.433333333333342E-3</v>
      </c>
      <c r="N40" s="56">
        <f t="shared" si="2"/>
        <v>0.10171793333333394</v>
      </c>
      <c r="O40" s="58">
        <f t="shared" si="3"/>
        <v>0.20343586666666788</v>
      </c>
      <c r="P40" s="56">
        <f t="shared" si="4"/>
        <v>2.0343586666666788E-2</v>
      </c>
      <c r="Q40" s="57"/>
      <c r="R40" s="56"/>
      <c r="S40" s="58"/>
      <c r="T40" s="63">
        <f>D66</f>
        <v>14</v>
      </c>
      <c r="U40" s="64">
        <f>Q66</f>
        <v>2.29894357</v>
      </c>
    </row>
    <row r="41" spans="1:21" ht="14.4" customHeight="1" x14ac:dyDescent="0.3">
      <c r="A41" s="18">
        <v>15</v>
      </c>
      <c r="B41" s="30">
        <v>10</v>
      </c>
      <c r="D41" s="78"/>
      <c r="E41" s="22" t="s">
        <v>65</v>
      </c>
      <c r="F41" s="22">
        <f t="shared" ref="F41" si="12">F39</f>
        <v>10</v>
      </c>
      <c r="G41" s="65">
        <v>0.28799999999999998</v>
      </c>
      <c r="H41" s="66">
        <v>0.60570000000000002</v>
      </c>
      <c r="I41" s="56"/>
      <c r="J41" s="57">
        <f>G41-$J$14</f>
        <v>0.24889999999999998</v>
      </c>
      <c r="K41" s="58">
        <f>H41-$K$14</f>
        <v>0.56856666666666666</v>
      </c>
      <c r="L41" s="56"/>
      <c r="M41" s="62">
        <f t="shared" si="1"/>
        <v>0.10675833333333332</v>
      </c>
      <c r="N41" s="56">
        <f t="shared" si="2"/>
        <v>7.5762118833333316</v>
      </c>
      <c r="O41" s="58">
        <f t="shared" si="3"/>
        <v>15.152423766666663</v>
      </c>
      <c r="P41" s="56">
        <f t="shared" si="4"/>
        <v>1.5152423766666663</v>
      </c>
      <c r="Q41" s="57"/>
      <c r="R41" s="56"/>
      <c r="S41" s="58"/>
      <c r="T41" s="63">
        <f>D69</f>
        <v>15</v>
      </c>
      <c r="U41" s="64">
        <f>Q69</f>
        <v>2.3113626199999993</v>
      </c>
    </row>
    <row r="42" spans="1:21" ht="14.4" customHeight="1" x14ac:dyDescent="0.3">
      <c r="A42" s="18">
        <v>16</v>
      </c>
      <c r="B42" s="30">
        <v>10</v>
      </c>
      <c r="D42" s="76">
        <f>A32</f>
        <v>6</v>
      </c>
      <c r="E42" s="12" t="s">
        <v>66</v>
      </c>
      <c r="F42" s="12">
        <f>B32</f>
        <v>10</v>
      </c>
      <c r="G42" s="54">
        <v>0.33489999999999998</v>
      </c>
      <c r="H42" s="55">
        <v>0.79159999999999997</v>
      </c>
      <c r="I42" s="56"/>
      <c r="J42" s="57">
        <f>G42-$J$14</f>
        <v>0.29579999999999995</v>
      </c>
      <c r="K42" s="58">
        <f>H42-$K$14</f>
        <v>0.75446666666666662</v>
      </c>
      <c r="L42" s="56"/>
      <c r="M42" s="62">
        <f t="shared" si="1"/>
        <v>0.1071833333333333</v>
      </c>
      <c r="N42" s="56">
        <f t="shared" si="2"/>
        <v>7.6063724333333305</v>
      </c>
      <c r="O42" s="58">
        <f t="shared" si="3"/>
        <v>15.212744866666661</v>
      </c>
      <c r="P42" s="56">
        <f t="shared" si="4"/>
        <v>1.5212744866666661</v>
      </c>
      <c r="Q42" s="57">
        <f>AVERAGE(P42:P44)</f>
        <v>1.6788190066666662</v>
      </c>
      <c r="R42" s="56">
        <f>STDEV(P42:P44)</f>
        <v>0.6426981241977695</v>
      </c>
      <c r="S42" s="58">
        <f>R42/Q42*100</f>
        <v>38.28275243761157</v>
      </c>
      <c r="T42" s="63">
        <f>D72</f>
        <v>16</v>
      </c>
      <c r="U42" s="64">
        <f>Q72</f>
        <v>1.9332321166666666</v>
      </c>
    </row>
    <row r="43" spans="1:21" ht="14.4" customHeight="1" x14ac:dyDescent="0.3">
      <c r="A43" s="18">
        <v>17</v>
      </c>
      <c r="B43" s="30">
        <v>10</v>
      </c>
      <c r="D43" s="77"/>
      <c r="E43" s="17" t="s">
        <v>67</v>
      </c>
      <c r="F43" s="17">
        <f t="shared" ref="F43" si="13">F42</f>
        <v>10</v>
      </c>
      <c r="G43" s="57">
        <v>0.38379999999999997</v>
      </c>
      <c r="H43" s="58">
        <v>0.74360000000000004</v>
      </c>
      <c r="I43" s="56"/>
      <c r="J43" s="57">
        <f>G43-$J$14</f>
        <v>0.34469999999999995</v>
      </c>
      <c r="K43" s="58">
        <f>H43-$K$14</f>
        <v>0.70646666666666669</v>
      </c>
      <c r="L43" s="56"/>
      <c r="M43" s="62">
        <f t="shared" si="1"/>
        <v>0.16808333333333328</v>
      </c>
      <c r="N43" s="56">
        <f t="shared" si="2"/>
        <v>11.928201833333329</v>
      </c>
      <c r="O43" s="58">
        <f t="shared" si="3"/>
        <v>23.856403666666658</v>
      </c>
      <c r="P43" s="56">
        <f t="shared" si="4"/>
        <v>2.3856403666666659</v>
      </c>
      <c r="Q43" s="57"/>
      <c r="R43" s="56"/>
      <c r="S43" s="58"/>
      <c r="T43" s="63">
        <f>D75</f>
        <v>17</v>
      </c>
      <c r="U43" s="64">
        <f>Q75</f>
        <v>1.6459380933333332</v>
      </c>
    </row>
    <row r="44" spans="1:21" ht="14.4" customHeight="1" x14ac:dyDescent="0.3">
      <c r="A44" s="18">
        <v>18</v>
      </c>
      <c r="B44" s="30">
        <v>10</v>
      </c>
      <c r="D44" s="78"/>
      <c r="E44" s="22" t="s">
        <v>68</v>
      </c>
      <c r="F44" s="22">
        <f t="shared" ref="F44" si="14">F42</f>
        <v>10</v>
      </c>
      <c r="G44" s="65">
        <v>0.30120000000000002</v>
      </c>
      <c r="H44" s="66">
        <v>0.76719999999999999</v>
      </c>
      <c r="I44" s="56"/>
      <c r="J44" s="57">
        <f>G44-$J$14</f>
        <v>0.2621</v>
      </c>
      <c r="K44" s="58">
        <f>H44-$K$14</f>
        <v>0.73006666666666664</v>
      </c>
      <c r="L44" s="56"/>
      <c r="M44" s="62">
        <f t="shared" si="1"/>
        <v>7.9583333333333339E-2</v>
      </c>
      <c r="N44" s="56">
        <f t="shared" si="2"/>
        <v>5.647710833333333</v>
      </c>
      <c r="O44" s="58">
        <f t="shared" si="3"/>
        <v>11.295421666666666</v>
      </c>
      <c r="P44" s="56">
        <f t="shared" si="4"/>
        <v>1.1295421666666665</v>
      </c>
      <c r="Q44" s="57"/>
      <c r="R44" s="56"/>
      <c r="S44" s="58"/>
      <c r="T44" s="63">
        <f>D78</f>
        <v>18</v>
      </c>
      <c r="U44" s="64">
        <f>Q78</f>
        <v>2.3638774599999999</v>
      </c>
    </row>
    <row r="45" spans="1:21" ht="14.4" customHeight="1" x14ac:dyDescent="0.3">
      <c r="A45" s="18">
        <v>19</v>
      </c>
      <c r="B45" s="30">
        <v>10</v>
      </c>
      <c r="D45" s="76">
        <f>A33</f>
        <v>7</v>
      </c>
      <c r="E45" s="12" t="s">
        <v>69</v>
      </c>
      <c r="F45" s="12">
        <f>B33</f>
        <v>10</v>
      </c>
      <c r="G45" s="54">
        <v>0.38040000000000002</v>
      </c>
      <c r="H45" s="55">
        <v>0.68089999999999995</v>
      </c>
      <c r="I45" s="56"/>
      <c r="J45" s="57">
        <f>G45-$J$14</f>
        <v>0.34129999999999999</v>
      </c>
      <c r="K45" s="58">
        <f>H45-$K$14</f>
        <v>0.6437666666666666</v>
      </c>
      <c r="L45" s="56"/>
      <c r="M45" s="62">
        <f t="shared" si="1"/>
        <v>0.18035833333333334</v>
      </c>
      <c r="N45" s="56">
        <f t="shared" si="2"/>
        <v>12.799309483333333</v>
      </c>
      <c r="O45" s="58">
        <f t="shared" si="3"/>
        <v>25.598618966666667</v>
      </c>
      <c r="P45" s="56">
        <f t="shared" si="4"/>
        <v>2.5598618966666669</v>
      </c>
      <c r="Q45" s="57">
        <f>AVERAGE(P45:P47)</f>
        <v>2.2822665600000001</v>
      </c>
      <c r="R45" s="56">
        <f>STDEV(P45:P47)</f>
        <v>0.28145654490293848</v>
      </c>
      <c r="S45" s="58">
        <f>R45/Q45*100</f>
        <v>12.33232567290205</v>
      </c>
      <c r="T45" s="63">
        <f>D81</f>
        <v>19</v>
      </c>
      <c r="U45" s="64">
        <f>Q81</f>
        <v>2.3990056299999996</v>
      </c>
    </row>
    <row r="46" spans="1:21" ht="14.4" customHeight="1" x14ac:dyDescent="0.3">
      <c r="A46" s="18">
        <v>20</v>
      </c>
      <c r="B46" s="30">
        <v>10</v>
      </c>
      <c r="D46" s="77"/>
      <c r="E46" s="17" t="s">
        <v>70</v>
      </c>
      <c r="F46" s="17">
        <f t="shared" ref="F46" si="15">F45</f>
        <v>10</v>
      </c>
      <c r="G46" s="57">
        <v>0.3468</v>
      </c>
      <c r="H46" s="58">
        <v>0.70509999999999995</v>
      </c>
      <c r="I46" s="56"/>
      <c r="J46" s="57">
        <f>G46-$J$14</f>
        <v>0.30769999999999997</v>
      </c>
      <c r="K46" s="58">
        <f>H46-$K$14</f>
        <v>0.6679666666666666</v>
      </c>
      <c r="L46" s="56"/>
      <c r="M46" s="62">
        <f t="shared" si="1"/>
        <v>0.14070833333333332</v>
      </c>
      <c r="N46" s="56">
        <f t="shared" si="2"/>
        <v>9.985507583333332</v>
      </c>
      <c r="O46" s="58">
        <f t="shared" si="3"/>
        <v>19.971015166666664</v>
      </c>
      <c r="P46" s="56">
        <f t="shared" si="4"/>
        <v>1.9971015166666664</v>
      </c>
      <c r="Q46" s="57"/>
      <c r="R46" s="56"/>
      <c r="S46" s="58"/>
      <c r="T46" s="63">
        <f>D84</f>
        <v>20</v>
      </c>
      <c r="U46" s="64">
        <f>Q84</f>
        <v>1.8289120966666665</v>
      </c>
    </row>
    <row r="47" spans="1:21" ht="14.4" customHeight="1" x14ac:dyDescent="0.3">
      <c r="A47" s="18">
        <v>21</v>
      </c>
      <c r="B47" s="30">
        <v>10</v>
      </c>
      <c r="D47" s="78"/>
      <c r="E47" s="22" t="s">
        <v>71</v>
      </c>
      <c r="F47" s="22">
        <f t="shared" ref="F47" si="16">F45</f>
        <v>10</v>
      </c>
      <c r="G47" s="65">
        <v>0.36020000000000002</v>
      </c>
      <c r="H47" s="66">
        <v>0.67620000000000002</v>
      </c>
      <c r="I47" s="56"/>
      <c r="J47" s="57">
        <f>G47-$J$14</f>
        <v>0.3211</v>
      </c>
      <c r="K47" s="58">
        <f>H47-$K$14</f>
        <v>0.63906666666666667</v>
      </c>
      <c r="L47" s="56"/>
      <c r="M47" s="62">
        <f t="shared" si="1"/>
        <v>0.16133333333333333</v>
      </c>
      <c r="N47" s="56">
        <f t="shared" si="2"/>
        <v>11.449181333333332</v>
      </c>
      <c r="O47" s="58">
        <f t="shared" si="3"/>
        <v>22.898362666666664</v>
      </c>
      <c r="P47" s="56">
        <f t="shared" si="4"/>
        <v>2.2898362666666663</v>
      </c>
      <c r="Q47" s="57"/>
      <c r="R47" s="56"/>
      <c r="S47" s="58"/>
      <c r="T47" s="63">
        <f>D87</f>
        <v>21</v>
      </c>
      <c r="U47" s="64">
        <f>Q87</f>
        <v>0.99565297999999969</v>
      </c>
    </row>
    <row r="48" spans="1:21" ht="14.4" customHeight="1" x14ac:dyDescent="0.3">
      <c r="A48" s="18">
        <v>22</v>
      </c>
      <c r="B48" s="30">
        <v>10</v>
      </c>
      <c r="D48" s="76">
        <f>A34</f>
        <v>8</v>
      </c>
      <c r="E48" s="12" t="s">
        <v>72</v>
      </c>
      <c r="F48" s="12">
        <f>B34</f>
        <v>10</v>
      </c>
      <c r="G48" s="54">
        <v>0.38429999999999997</v>
      </c>
      <c r="H48" s="55">
        <v>0.72040000000000004</v>
      </c>
      <c r="I48" s="56"/>
      <c r="J48" s="57">
        <f>G48-$J$14</f>
        <v>0.34519999999999995</v>
      </c>
      <c r="K48" s="58">
        <f>H48-$K$14</f>
        <v>0.68326666666666669</v>
      </c>
      <c r="L48" s="56"/>
      <c r="M48" s="62">
        <f t="shared" si="1"/>
        <v>0.17438333333333328</v>
      </c>
      <c r="N48" s="56">
        <f t="shared" si="2"/>
        <v>12.375287633333329</v>
      </c>
      <c r="O48" s="58">
        <f t="shared" si="3"/>
        <v>24.750575266666658</v>
      </c>
      <c r="P48" s="56">
        <f t="shared" si="4"/>
        <v>2.4750575266666659</v>
      </c>
      <c r="Q48" s="57">
        <f>AVERAGE(P48:P50)</f>
        <v>2.1300444899999995</v>
      </c>
      <c r="R48" s="56">
        <f>STDEV(P48:P50)</f>
        <v>0.34560593792103367</v>
      </c>
      <c r="S48" s="58">
        <f>R48/Q48*100</f>
        <v>16.225291985381666</v>
      </c>
      <c r="T48" s="63">
        <f>D90</f>
        <v>22</v>
      </c>
      <c r="U48" s="64">
        <f>Q90</f>
        <v>2.1272058499999993</v>
      </c>
    </row>
    <row r="49" spans="1:22" ht="14.4" customHeight="1" x14ac:dyDescent="0.3">
      <c r="A49" s="18">
        <v>23</v>
      </c>
      <c r="B49" s="30">
        <v>10</v>
      </c>
      <c r="D49" s="77"/>
      <c r="E49" s="17" t="s">
        <v>73</v>
      </c>
      <c r="F49" s="17">
        <f t="shared" ref="F49" si="17">F48</f>
        <v>10</v>
      </c>
      <c r="G49" s="57">
        <v>0.3412</v>
      </c>
      <c r="H49" s="58">
        <v>0.74280000000000002</v>
      </c>
      <c r="I49" s="56"/>
      <c r="J49" s="57">
        <f>G49-$J$14</f>
        <v>0.30209999999999998</v>
      </c>
      <c r="K49" s="58">
        <f>H49-$K$14</f>
        <v>0.70566666666666666</v>
      </c>
      <c r="L49" s="56"/>
      <c r="M49" s="62">
        <f t="shared" si="1"/>
        <v>0.12568333333333331</v>
      </c>
      <c r="N49" s="56">
        <f t="shared" si="2"/>
        <v>8.9192434333333317</v>
      </c>
      <c r="O49" s="58">
        <f t="shared" si="3"/>
        <v>17.838486866666663</v>
      </c>
      <c r="P49" s="56">
        <f t="shared" si="4"/>
        <v>1.7838486866666663</v>
      </c>
      <c r="Q49" s="57"/>
      <c r="R49" s="56"/>
      <c r="S49" s="58"/>
      <c r="T49" s="63">
        <f>D93</f>
        <v>23</v>
      </c>
      <c r="U49" s="64">
        <f>Q93</f>
        <v>2.2039674066666661</v>
      </c>
    </row>
    <row r="50" spans="1:22" ht="14.4" customHeight="1" x14ac:dyDescent="0.3">
      <c r="A50" s="23">
        <v>24</v>
      </c>
      <c r="B50" s="30">
        <v>10</v>
      </c>
      <c r="D50" s="78"/>
      <c r="E50" s="22" t="s">
        <v>74</v>
      </c>
      <c r="F50" s="22">
        <f t="shared" ref="F50" si="18">F48</f>
        <v>10</v>
      </c>
      <c r="G50" s="65">
        <v>0.35870000000000002</v>
      </c>
      <c r="H50" s="66">
        <v>0.71489999999999998</v>
      </c>
      <c r="I50" s="56"/>
      <c r="J50" s="57">
        <f>G50-$J$14</f>
        <v>0.3196</v>
      </c>
      <c r="K50" s="58">
        <f>H50-$K$14</f>
        <v>0.67776666666666663</v>
      </c>
      <c r="L50" s="56"/>
      <c r="M50" s="62">
        <f t="shared" si="1"/>
        <v>0.15015833333333334</v>
      </c>
      <c r="N50" s="56">
        <f t="shared" si="2"/>
        <v>10.656136283333332</v>
      </c>
      <c r="O50" s="58">
        <f t="shared" si="3"/>
        <v>21.312272566666664</v>
      </c>
      <c r="P50" s="56">
        <f t="shared" si="4"/>
        <v>2.1312272566666666</v>
      </c>
      <c r="Q50" s="57"/>
      <c r="R50" s="56"/>
      <c r="S50" s="58"/>
      <c r="T50" s="67">
        <f>D96</f>
        <v>24</v>
      </c>
      <c r="U50" s="68">
        <f>Q96</f>
        <v>2.1721509833333328</v>
      </c>
    </row>
    <row r="51" spans="1:22" ht="14.4" customHeight="1" x14ac:dyDescent="0.3">
      <c r="D51" s="76">
        <f>A35</f>
        <v>9</v>
      </c>
      <c r="E51" s="12" t="s">
        <v>75</v>
      </c>
      <c r="F51" s="12">
        <f>B35</f>
        <v>10</v>
      </c>
      <c r="G51" s="54">
        <v>0.36849999999999999</v>
      </c>
      <c r="H51" s="55">
        <v>0.69530000000000003</v>
      </c>
      <c r="I51" s="56"/>
      <c r="J51" s="57">
        <f>G51-$J$14</f>
        <v>0.32939999999999997</v>
      </c>
      <c r="K51" s="58">
        <f>H51-$K$14</f>
        <v>0.65816666666666668</v>
      </c>
      <c r="L51" s="56"/>
      <c r="M51" s="62">
        <f t="shared" si="1"/>
        <v>0.1648583333333333</v>
      </c>
      <c r="N51" s="56">
        <f t="shared" si="2"/>
        <v>11.69933648333333</v>
      </c>
      <c r="O51" s="58">
        <f t="shared" si="3"/>
        <v>23.398672966666659</v>
      </c>
      <c r="P51" s="56">
        <f t="shared" si="4"/>
        <v>2.3398672966666658</v>
      </c>
      <c r="Q51" s="57">
        <f>AVERAGE(P51:P53)</f>
        <v>1.9344148833333328</v>
      </c>
      <c r="R51" s="56">
        <f>STDEV(P51:P53)</f>
        <v>0.71582758465350282</v>
      </c>
      <c r="S51" s="58">
        <f>R51/Q51*100</f>
        <v>37.004863373466584</v>
      </c>
      <c r="T51" s="56"/>
      <c r="U51" s="56"/>
      <c r="V51" s="56"/>
    </row>
    <row r="52" spans="1:22" ht="14.4" customHeight="1" x14ac:dyDescent="0.3">
      <c r="D52" s="77"/>
      <c r="E52" s="17" t="s">
        <v>76</v>
      </c>
      <c r="F52" s="17">
        <f t="shared" ref="F52" si="19">F51</f>
        <v>10</v>
      </c>
      <c r="G52" s="57">
        <v>0.36259999999999998</v>
      </c>
      <c r="H52" s="58">
        <v>0.6673</v>
      </c>
      <c r="I52" s="56"/>
      <c r="J52" s="57">
        <f>G52-$J$14</f>
        <v>0.32349999999999995</v>
      </c>
      <c r="K52" s="58">
        <f>H52-$K$14</f>
        <v>0.63016666666666665</v>
      </c>
      <c r="L52" s="56"/>
      <c r="M52" s="62">
        <f t="shared" si="1"/>
        <v>0.16595833333333329</v>
      </c>
      <c r="N52" s="56">
        <f t="shared" si="2"/>
        <v>11.777399083333329</v>
      </c>
      <c r="O52" s="58">
        <f t="shared" si="3"/>
        <v>23.554798166666657</v>
      </c>
      <c r="P52" s="56">
        <f t="shared" si="4"/>
        <v>2.3554798166666657</v>
      </c>
      <c r="Q52" s="57"/>
      <c r="R52" s="56"/>
      <c r="S52" s="58"/>
      <c r="T52" s="56"/>
    </row>
    <row r="53" spans="1:22" ht="14.4" customHeight="1" x14ac:dyDescent="0.3">
      <c r="D53" s="78"/>
      <c r="E53" s="22" t="s">
        <v>77</v>
      </c>
      <c r="F53" s="22">
        <f t="shared" ref="F53" si="20">F51</f>
        <v>10</v>
      </c>
      <c r="G53" s="65">
        <v>0.2828</v>
      </c>
      <c r="H53" s="66">
        <v>0.69969999999999999</v>
      </c>
      <c r="I53" s="56"/>
      <c r="J53" s="57">
        <f>G53-$J$14</f>
        <v>0.2437</v>
      </c>
      <c r="K53" s="58">
        <f>H53-$K$14</f>
        <v>0.66256666666666664</v>
      </c>
      <c r="L53" s="56"/>
      <c r="M53" s="62">
        <f t="shared" si="1"/>
        <v>7.8058333333333341E-2</v>
      </c>
      <c r="N53" s="56">
        <f t="shared" si="2"/>
        <v>5.5394876833333333</v>
      </c>
      <c r="O53" s="58">
        <f t="shared" si="3"/>
        <v>11.078975366666667</v>
      </c>
      <c r="P53" s="56">
        <f t="shared" si="4"/>
        <v>1.1078975366666666</v>
      </c>
      <c r="Q53" s="57"/>
      <c r="R53" s="56"/>
      <c r="S53" s="58"/>
      <c r="T53" s="56"/>
    </row>
    <row r="54" spans="1:22" ht="14.4" customHeight="1" x14ac:dyDescent="0.3">
      <c r="D54" s="76">
        <f>A36</f>
        <v>10</v>
      </c>
      <c r="E54" s="12" t="s">
        <v>78</v>
      </c>
      <c r="F54" s="12">
        <f>B36</f>
        <v>10</v>
      </c>
      <c r="G54" s="54">
        <v>0.31690000000000002</v>
      </c>
      <c r="H54" s="55">
        <v>0.77539999999999998</v>
      </c>
      <c r="I54" s="56"/>
      <c r="J54" s="57">
        <f>G54-$J$14</f>
        <v>0.27779999999999999</v>
      </c>
      <c r="K54" s="58">
        <f>H54-$K$14</f>
        <v>0.73826666666666663</v>
      </c>
      <c r="L54" s="56"/>
      <c r="M54" s="62">
        <f t="shared" si="1"/>
        <v>9.3233333333333335E-2</v>
      </c>
      <c r="N54" s="56">
        <f t="shared" si="2"/>
        <v>6.6163967333333327</v>
      </c>
      <c r="O54" s="58">
        <f t="shared" si="3"/>
        <v>13.232793466666665</v>
      </c>
      <c r="P54" s="56">
        <f t="shared" si="4"/>
        <v>1.3232793466666666</v>
      </c>
      <c r="Q54" s="57">
        <f>AVERAGE(P54:P56)</f>
        <v>1.6266589966666665</v>
      </c>
      <c r="R54" s="56">
        <f>STDEV(P54:P56)</f>
        <v>0.80199657470844432</v>
      </c>
      <c r="S54" s="58">
        <f>R54/Q54*100</f>
        <v>49.303300590467195</v>
      </c>
      <c r="T54" s="56"/>
    </row>
    <row r="55" spans="1:22" ht="14.4" customHeight="1" x14ac:dyDescent="0.3">
      <c r="D55" s="77"/>
      <c r="E55" s="17" t="s">
        <v>79</v>
      </c>
      <c r="F55" s="17">
        <f t="shared" ref="F55" si="21">F54</f>
        <v>10</v>
      </c>
      <c r="G55" s="57">
        <v>0.39300000000000002</v>
      </c>
      <c r="H55" s="58">
        <v>0.73799999999999999</v>
      </c>
      <c r="I55" s="56"/>
      <c r="J55" s="57">
        <f>G55-$J$14</f>
        <v>0.35389999999999999</v>
      </c>
      <c r="K55" s="58">
        <f>H55-$K$14</f>
        <v>0.70086666666666664</v>
      </c>
      <c r="L55" s="56"/>
      <c r="M55" s="62">
        <f t="shared" si="1"/>
        <v>0.17868333333333333</v>
      </c>
      <c r="N55" s="56">
        <f t="shared" si="2"/>
        <v>12.680441433333332</v>
      </c>
      <c r="O55" s="58">
        <f t="shared" si="3"/>
        <v>25.360882866666664</v>
      </c>
      <c r="P55" s="56">
        <f t="shared" si="4"/>
        <v>2.5360882866666663</v>
      </c>
      <c r="Q55" s="57"/>
      <c r="R55" s="56"/>
      <c r="S55" s="58"/>
      <c r="T55" s="56"/>
    </row>
    <row r="56" spans="1:22" ht="14.4" customHeight="1" x14ac:dyDescent="0.3">
      <c r="D56" s="78"/>
      <c r="E56" s="22" t="s">
        <v>80</v>
      </c>
      <c r="F56" s="22">
        <f t="shared" ref="F56" si="22">F54</f>
        <v>10</v>
      </c>
      <c r="G56" s="65">
        <v>0.3075</v>
      </c>
      <c r="H56" s="66">
        <v>0.82310000000000005</v>
      </c>
      <c r="I56" s="56"/>
      <c r="J56" s="57">
        <f>G56-$J$14</f>
        <v>0.26839999999999997</v>
      </c>
      <c r="K56" s="58">
        <f>H56-$K$14</f>
        <v>0.7859666666666667</v>
      </c>
      <c r="L56" s="56"/>
      <c r="M56" s="62">
        <f t="shared" si="1"/>
        <v>7.1908333333333296E-2</v>
      </c>
      <c r="N56" s="56">
        <f t="shared" si="2"/>
        <v>5.1030467833333306</v>
      </c>
      <c r="O56" s="58">
        <f t="shared" si="3"/>
        <v>10.206093566666661</v>
      </c>
      <c r="P56" s="56">
        <f t="shared" si="4"/>
        <v>1.0206093566666661</v>
      </c>
      <c r="Q56" s="57"/>
      <c r="R56" s="56"/>
      <c r="S56" s="58"/>
      <c r="T56" s="56"/>
    </row>
    <row r="57" spans="1:22" ht="14.4" customHeight="1" x14ac:dyDescent="0.3">
      <c r="D57" s="76">
        <f>A37</f>
        <v>11</v>
      </c>
      <c r="E57" s="12" t="s">
        <v>81</v>
      </c>
      <c r="F57" s="12">
        <f>B37</f>
        <v>10</v>
      </c>
      <c r="G57" s="54">
        <v>5.0999999999999997E-2</v>
      </c>
      <c r="H57" s="55">
        <v>4.8300000000000003E-2</v>
      </c>
      <c r="I57" s="56"/>
      <c r="J57" s="57">
        <f>G57-$J$14</f>
        <v>1.1899999999999994E-2</v>
      </c>
      <c r="K57" s="58">
        <f>H57-$K$14</f>
        <v>1.1166666666666672E-2</v>
      </c>
      <c r="L57" s="56"/>
      <c r="M57" s="62">
        <f t="shared" si="1"/>
        <v>9.1083333333333259E-3</v>
      </c>
      <c r="N57" s="56">
        <f t="shared" si="2"/>
        <v>0.64638198333333274</v>
      </c>
      <c r="O57" s="58">
        <f t="shared" si="3"/>
        <v>1.2927639666666655</v>
      </c>
      <c r="P57" s="56">
        <f t="shared" si="4"/>
        <v>0.12927639666666654</v>
      </c>
      <c r="Q57" s="57">
        <f>AVERAGE(P57:P59)</f>
        <v>0.13483539999999991</v>
      </c>
      <c r="R57" s="56">
        <f>STDEV(P57:P59)</f>
        <v>4.8175060588684033E-3</v>
      </c>
      <c r="S57" s="58">
        <f>R57/Q57*100</f>
        <v>3.5728792727046508</v>
      </c>
      <c r="T57" s="56"/>
    </row>
    <row r="58" spans="1:22" ht="14.4" customHeight="1" x14ac:dyDescent="0.3">
      <c r="D58" s="77"/>
      <c r="E58" s="17" t="s">
        <v>82</v>
      </c>
      <c r="F58" s="17">
        <f t="shared" ref="F58" si="23">F57</f>
        <v>10</v>
      </c>
      <c r="G58" s="57">
        <v>5.1799999999999999E-2</v>
      </c>
      <c r="H58" s="58">
        <v>4.9200000000000001E-2</v>
      </c>
      <c r="I58" s="56"/>
      <c r="J58" s="57">
        <f>G58-$J$14</f>
        <v>1.2699999999999996E-2</v>
      </c>
      <c r="K58" s="58">
        <f>H58-$K$14</f>
        <v>1.206666666666667E-2</v>
      </c>
      <c r="L58" s="56"/>
      <c r="M58" s="62">
        <f t="shared" si="1"/>
        <v>9.6833333333333285E-3</v>
      </c>
      <c r="N58" s="56">
        <f t="shared" si="2"/>
        <v>0.68718743333333299</v>
      </c>
      <c r="O58" s="58">
        <f t="shared" si="3"/>
        <v>1.374374866666666</v>
      </c>
      <c r="P58" s="56">
        <f t="shared" si="4"/>
        <v>0.13743748666666661</v>
      </c>
      <c r="Q58" s="57"/>
      <c r="R58" s="56"/>
      <c r="S58" s="58"/>
      <c r="T58" s="56"/>
    </row>
    <row r="59" spans="1:22" ht="14.4" customHeight="1" x14ac:dyDescent="0.3">
      <c r="D59" s="78"/>
      <c r="E59" s="22" t="s">
        <v>83</v>
      </c>
      <c r="F59" s="22">
        <f t="shared" ref="F59" si="24">F57</f>
        <v>10</v>
      </c>
      <c r="G59" s="65">
        <v>5.1900000000000002E-2</v>
      </c>
      <c r="H59" s="66">
        <v>4.9500000000000002E-2</v>
      </c>
      <c r="I59" s="56"/>
      <c r="J59" s="57">
        <f>G59-$J$14</f>
        <v>1.2799999999999999E-2</v>
      </c>
      <c r="K59" s="58">
        <f>H59-$K$14</f>
        <v>1.2366666666666672E-2</v>
      </c>
      <c r="L59" s="56"/>
      <c r="M59" s="62">
        <f t="shared" si="1"/>
        <v>9.708333333333331E-3</v>
      </c>
      <c r="N59" s="56">
        <f t="shared" si="2"/>
        <v>0.68896158333333313</v>
      </c>
      <c r="O59" s="58">
        <f t="shared" si="3"/>
        <v>1.3779231666666663</v>
      </c>
      <c r="P59" s="56">
        <f t="shared" si="4"/>
        <v>0.13779231666666664</v>
      </c>
      <c r="Q59" s="57"/>
      <c r="R59" s="56"/>
      <c r="S59" s="58"/>
      <c r="T59" s="56"/>
    </row>
    <row r="60" spans="1:22" ht="14.4" customHeight="1" x14ac:dyDescent="0.3">
      <c r="D60" s="76">
        <f>A38</f>
        <v>12</v>
      </c>
      <c r="E60" s="12" t="s">
        <v>84</v>
      </c>
      <c r="F60" s="12">
        <f>B38</f>
        <v>10</v>
      </c>
      <c r="G60" s="54">
        <v>0.05</v>
      </c>
      <c r="H60" s="55">
        <v>4.7699999999999999E-2</v>
      </c>
      <c r="I60" s="56"/>
      <c r="J60" s="57">
        <f>G60-$J$14</f>
        <v>1.09E-2</v>
      </c>
      <c r="K60" s="58">
        <f>H60-$K$14</f>
        <v>1.0566666666666669E-2</v>
      </c>
      <c r="L60" s="56"/>
      <c r="M60" s="62">
        <f t="shared" si="1"/>
        <v>8.2583333333333328E-3</v>
      </c>
      <c r="N60" s="56">
        <f t="shared" si="2"/>
        <v>0.58606088333333328</v>
      </c>
      <c r="O60" s="58">
        <f t="shared" si="3"/>
        <v>1.1721217666666666</v>
      </c>
      <c r="P60" s="56">
        <f t="shared" si="4"/>
        <v>0.11721217666666665</v>
      </c>
      <c r="Q60" s="57">
        <f>AVERAGE(P60:P62)</f>
        <v>0.13010433333333329</v>
      </c>
      <c r="R60" s="56">
        <f>STDEV(P60:P62)</f>
        <v>1.1662703088119515E-2</v>
      </c>
      <c r="S60" s="58">
        <f>R60/Q60*100</f>
        <v>8.9641157902397719</v>
      </c>
      <c r="T60" s="56"/>
    </row>
    <row r="61" spans="1:22" ht="14.4" customHeight="1" x14ac:dyDescent="0.3">
      <c r="D61" s="77"/>
      <c r="E61" s="17" t="s">
        <v>85</v>
      </c>
      <c r="F61" s="17">
        <f t="shared" ref="F61" si="25">F60</f>
        <v>10</v>
      </c>
      <c r="G61" s="57">
        <v>5.1999999999999998E-2</v>
      </c>
      <c r="H61" s="58">
        <v>4.9299999999999997E-2</v>
      </c>
      <c r="I61" s="56"/>
      <c r="J61" s="57">
        <f>G61-$J$14</f>
        <v>1.2899999999999995E-2</v>
      </c>
      <c r="K61" s="58">
        <f>H61-$K$14</f>
        <v>1.2166666666666666E-2</v>
      </c>
      <c r="L61" s="56"/>
      <c r="M61" s="62">
        <f t="shared" si="1"/>
        <v>9.8583333333333283E-3</v>
      </c>
      <c r="N61" s="56">
        <f t="shared" si="2"/>
        <v>0.69960648333333297</v>
      </c>
      <c r="O61" s="58">
        <f t="shared" si="3"/>
        <v>1.3992129666666659</v>
      </c>
      <c r="P61" s="56">
        <f t="shared" si="4"/>
        <v>0.13992129666666658</v>
      </c>
      <c r="Q61" s="57"/>
      <c r="R61" s="56"/>
      <c r="S61" s="58"/>
      <c r="T61" s="56"/>
    </row>
    <row r="62" spans="1:22" ht="14.4" customHeight="1" x14ac:dyDescent="0.3">
      <c r="D62" s="78"/>
      <c r="E62" s="22" t="s">
        <v>86</v>
      </c>
      <c r="F62" s="22">
        <f t="shared" ref="F62" si="26">F60</f>
        <v>10</v>
      </c>
      <c r="G62" s="65">
        <v>5.1299999999999998E-2</v>
      </c>
      <c r="H62" s="66">
        <v>4.8399999999999999E-2</v>
      </c>
      <c r="I62" s="56"/>
      <c r="J62" s="57">
        <f>G62-$J$14</f>
        <v>1.2199999999999996E-2</v>
      </c>
      <c r="K62" s="58">
        <f>H62-$K$14</f>
        <v>1.1266666666666668E-2</v>
      </c>
      <c r="L62" s="56"/>
      <c r="M62" s="62">
        <f t="shared" si="1"/>
        <v>9.3833333333333286E-3</v>
      </c>
      <c r="N62" s="56">
        <f t="shared" si="2"/>
        <v>0.66589763333333296</v>
      </c>
      <c r="O62" s="58">
        <f t="shared" si="3"/>
        <v>1.3317952666666659</v>
      </c>
      <c r="P62" s="56">
        <f t="shared" si="4"/>
        <v>0.1331795266666666</v>
      </c>
      <c r="Q62" s="57"/>
      <c r="R62" s="56"/>
      <c r="S62" s="58"/>
      <c r="T62" s="56"/>
    </row>
    <row r="63" spans="1:22" ht="14.4" customHeight="1" x14ac:dyDescent="0.3">
      <c r="D63" s="76">
        <f>A39</f>
        <v>13</v>
      </c>
      <c r="E63" s="12" t="s">
        <v>87</v>
      </c>
      <c r="F63" s="12">
        <f>B39</f>
        <v>10</v>
      </c>
      <c r="G63" s="54">
        <v>0.30330000000000001</v>
      </c>
      <c r="H63" s="55">
        <v>0.67069999999999996</v>
      </c>
      <c r="I63" s="56"/>
      <c r="J63" s="57">
        <f>G63-$J$14</f>
        <v>0.26419999999999999</v>
      </c>
      <c r="K63" s="58">
        <f>H63-$K$14</f>
        <v>0.63356666666666661</v>
      </c>
      <c r="L63" s="56"/>
      <c r="M63" s="62">
        <f t="shared" si="1"/>
        <v>0.10580833333333334</v>
      </c>
      <c r="N63" s="56">
        <f t="shared" si="2"/>
        <v>7.5087941833333334</v>
      </c>
      <c r="O63" s="58">
        <f t="shared" si="3"/>
        <v>15.017588366666667</v>
      </c>
      <c r="P63" s="56">
        <f t="shared" si="4"/>
        <v>1.5017588366666668</v>
      </c>
      <c r="Q63" s="57">
        <f>AVERAGE(P63:P65)</f>
        <v>1.5554564433333331</v>
      </c>
      <c r="R63" s="56">
        <f>STDEV(P63:P65)</f>
        <v>0.21757107766186398</v>
      </c>
      <c r="S63" s="58">
        <f>R63/Q63*100</f>
        <v>13.987603355553343</v>
      </c>
      <c r="T63" s="56"/>
    </row>
    <row r="64" spans="1:22" ht="14.4" customHeight="1" x14ac:dyDescent="0.3">
      <c r="D64" s="77"/>
      <c r="E64" s="17" t="s">
        <v>88</v>
      </c>
      <c r="F64" s="17">
        <f t="shared" ref="F64" si="27">F63</f>
        <v>10</v>
      </c>
      <c r="G64" s="57">
        <v>0.32150000000000001</v>
      </c>
      <c r="H64" s="58">
        <v>0.66090000000000004</v>
      </c>
      <c r="I64" s="56"/>
      <c r="J64" s="57">
        <f>G64-$J$14</f>
        <v>0.28239999999999998</v>
      </c>
      <c r="K64" s="58">
        <f>H64-$K$14</f>
        <v>0.62376666666666669</v>
      </c>
      <c r="L64" s="56"/>
      <c r="M64" s="62">
        <f t="shared" si="1"/>
        <v>0.12645833333333331</v>
      </c>
      <c r="N64" s="56">
        <f t="shared" si="2"/>
        <v>8.9742420833333316</v>
      </c>
      <c r="O64" s="58">
        <f t="shared" si="3"/>
        <v>17.948484166666663</v>
      </c>
      <c r="P64" s="56">
        <f t="shared" si="4"/>
        <v>1.7948484166666663</v>
      </c>
      <c r="Q64" s="57"/>
      <c r="R64" s="56"/>
      <c r="S64" s="58"/>
      <c r="T64" s="56"/>
    </row>
    <row r="65" spans="4:20" ht="14.4" customHeight="1" x14ac:dyDescent="0.3">
      <c r="D65" s="78"/>
      <c r="E65" s="22" t="s">
        <v>89</v>
      </c>
      <c r="F65" s="22">
        <f t="shared" ref="F65" si="28">F63</f>
        <v>10</v>
      </c>
      <c r="G65" s="65">
        <v>0.29220000000000002</v>
      </c>
      <c r="H65" s="66">
        <v>0.66349999999999998</v>
      </c>
      <c r="I65" s="56"/>
      <c r="J65" s="57">
        <f>G65-$J$14</f>
        <v>0.25309999999999999</v>
      </c>
      <c r="K65" s="58">
        <f>H65-$K$14</f>
        <v>0.62636666666666663</v>
      </c>
      <c r="L65" s="56"/>
      <c r="M65" s="62">
        <f t="shared" si="1"/>
        <v>9.6508333333333335E-2</v>
      </c>
      <c r="N65" s="56">
        <f t="shared" si="2"/>
        <v>6.8488103833333325</v>
      </c>
      <c r="O65" s="58">
        <f t="shared" si="3"/>
        <v>13.697620766666665</v>
      </c>
      <c r="P65" s="56">
        <f t="shared" si="4"/>
        <v>1.3697620766666665</v>
      </c>
      <c r="Q65" s="57"/>
      <c r="R65" s="56"/>
      <c r="S65" s="58"/>
      <c r="T65" s="56"/>
    </row>
    <row r="66" spans="4:20" ht="14.4" customHeight="1" x14ac:dyDescent="0.3">
      <c r="D66" s="76">
        <f>A40</f>
        <v>14</v>
      </c>
      <c r="E66" s="12" t="s">
        <v>90</v>
      </c>
      <c r="F66" s="12">
        <f>B40</f>
        <v>10</v>
      </c>
      <c r="G66" s="54">
        <v>0.37469999999999998</v>
      </c>
      <c r="H66" s="55">
        <v>0.63749999999999996</v>
      </c>
      <c r="I66" s="56"/>
      <c r="J66" s="57">
        <f>G66-$J$14</f>
        <v>0.33559999999999995</v>
      </c>
      <c r="K66" s="58">
        <f>H66-$K$14</f>
        <v>0.6003666666666666</v>
      </c>
      <c r="L66" s="56"/>
      <c r="M66" s="62">
        <f t="shared" si="1"/>
        <v>0.1855083333333333</v>
      </c>
      <c r="N66" s="56">
        <f t="shared" si="2"/>
        <v>13.16478438333333</v>
      </c>
      <c r="O66" s="58">
        <f t="shared" si="3"/>
        <v>26.329568766666661</v>
      </c>
      <c r="P66" s="56">
        <f t="shared" si="4"/>
        <v>2.632956876666666</v>
      </c>
      <c r="Q66" s="57">
        <f>AVERAGE(P66:P68)</f>
        <v>2.29894357</v>
      </c>
      <c r="R66" s="56">
        <f>STDEV(P66:P68)</f>
        <v>0.30750013552127076</v>
      </c>
      <c r="S66" s="58">
        <f>R66/Q66*100</f>
        <v>13.375714808052933</v>
      </c>
      <c r="T66" s="56"/>
    </row>
    <row r="67" spans="4:20" ht="14.4" customHeight="1" x14ac:dyDescent="0.3">
      <c r="D67" s="77"/>
      <c r="E67" s="17" t="s">
        <v>91</v>
      </c>
      <c r="F67" s="17">
        <f t="shared" ref="F67" si="29">F66</f>
        <v>10</v>
      </c>
      <c r="G67" s="57">
        <v>0.34010000000000001</v>
      </c>
      <c r="H67" s="58">
        <v>0.6109</v>
      </c>
      <c r="I67" s="56"/>
      <c r="J67" s="57">
        <f>G67-$J$14</f>
        <v>0.30099999999999999</v>
      </c>
      <c r="K67" s="58">
        <f>H67-$K$14</f>
        <v>0.57376666666666665</v>
      </c>
      <c r="L67" s="56"/>
      <c r="M67" s="62">
        <f t="shared" si="1"/>
        <v>0.15755833333333333</v>
      </c>
      <c r="N67" s="56">
        <f t="shared" si="2"/>
        <v>11.181284683333333</v>
      </c>
      <c r="O67" s="58">
        <f t="shared" si="3"/>
        <v>22.362569366666666</v>
      </c>
      <c r="P67" s="56">
        <f t="shared" si="4"/>
        <v>2.2362569366666665</v>
      </c>
      <c r="Q67" s="57"/>
      <c r="R67" s="56"/>
      <c r="S67" s="58"/>
      <c r="T67" s="56"/>
    </row>
    <row r="68" spans="4:20" ht="14.4" customHeight="1" x14ac:dyDescent="0.3">
      <c r="D68" s="78"/>
      <c r="E68" s="22" t="s">
        <v>92</v>
      </c>
      <c r="F68" s="22">
        <f t="shared" ref="F68" si="30">F66</f>
        <v>10</v>
      </c>
      <c r="G68" s="65">
        <v>0.32540000000000002</v>
      </c>
      <c r="H68" s="66">
        <v>0.6109</v>
      </c>
      <c r="I68" s="56"/>
      <c r="J68" s="57">
        <f>G68-$J$14</f>
        <v>0.2863</v>
      </c>
      <c r="K68" s="58">
        <f>H68-$K$14</f>
        <v>0.57376666666666665</v>
      </c>
      <c r="L68" s="56"/>
      <c r="M68" s="62">
        <f t="shared" si="1"/>
        <v>0.14285833333333334</v>
      </c>
      <c r="N68" s="56">
        <f t="shared" si="2"/>
        <v>10.138084483333333</v>
      </c>
      <c r="O68" s="58">
        <f t="shared" si="3"/>
        <v>20.276168966666667</v>
      </c>
      <c r="P68" s="56">
        <f t="shared" si="4"/>
        <v>2.0276168966666668</v>
      </c>
      <c r="Q68" s="57"/>
      <c r="R68" s="56"/>
      <c r="S68" s="58"/>
      <c r="T68" s="56"/>
    </row>
    <row r="69" spans="4:20" ht="14.4" customHeight="1" x14ac:dyDescent="0.3">
      <c r="D69" s="76">
        <f>A41</f>
        <v>15</v>
      </c>
      <c r="E69" s="12" t="s">
        <v>93</v>
      </c>
      <c r="F69" s="12">
        <f>B41</f>
        <v>10</v>
      </c>
      <c r="G69" s="54">
        <v>0.3705</v>
      </c>
      <c r="H69" s="55">
        <v>0.75170000000000003</v>
      </c>
      <c r="I69" s="56"/>
      <c r="J69" s="57">
        <f>G69-$J$14</f>
        <v>0.33139999999999997</v>
      </c>
      <c r="K69" s="58">
        <f>H69-$K$14</f>
        <v>0.71456666666666668</v>
      </c>
      <c r="L69" s="56"/>
      <c r="M69" s="62">
        <f t="shared" si="1"/>
        <v>0.1527583333333333</v>
      </c>
      <c r="N69" s="56">
        <f t="shared" si="2"/>
        <v>10.840647883333331</v>
      </c>
      <c r="O69" s="58">
        <f t="shared" si="3"/>
        <v>21.681295766666661</v>
      </c>
      <c r="P69" s="56">
        <f t="shared" si="4"/>
        <v>2.1681295766666659</v>
      </c>
      <c r="Q69" s="57">
        <f>AVERAGE(P69:P71)</f>
        <v>2.3113626199999993</v>
      </c>
      <c r="R69" s="56">
        <f>STDEV(P69:P71)</f>
        <v>0.38309684525669124</v>
      </c>
      <c r="S69" s="58">
        <f>R69/Q69*100</f>
        <v>16.574502068251469</v>
      </c>
      <c r="T69" s="56"/>
    </row>
    <row r="70" spans="4:20" ht="14.4" customHeight="1" x14ac:dyDescent="0.3">
      <c r="D70" s="77"/>
      <c r="E70" s="17" t="s">
        <v>94</v>
      </c>
      <c r="F70" s="17">
        <f t="shared" ref="F70" si="31">F69</f>
        <v>10</v>
      </c>
      <c r="G70" s="57">
        <v>0.35199999999999998</v>
      </c>
      <c r="H70" s="58">
        <v>0.71930000000000005</v>
      </c>
      <c r="I70" s="56"/>
      <c r="J70" s="57">
        <f>G70-$J$14</f>
        <v>0.31289999999999996</v>
      </c>
      <c r="K70" s="58">
        <f>H70-$K$14</f>
        <v>0.6821666666666667</v>
      </c>
      <c r="L70" s="56"/>
      <c r="M70" s="62">
        <f t="shared" si="1"/>
        <v>0.14235833333333328</v>
      </c>
      <c r="N70" s="56">
        <f t="shared" si="2"/>
        <v>10.102601483333329</v>
      </c>
      <c r="O70" s="58">
        <f t="shared" si="3"/>
        <v>20.205202966666658</v>
      </c>
      <c r="P70" s="56">
        <f t="shared" si="4"/>
        <v>2.0205202966666658</v>
      </c>
      <c r="Q70" s="57"/>
      <c r="R70" s="56"/>
      <c r="S70" s="58"/>
      <c r="T70" s="56"/>
    </row>
    <row r="71" spans="4:20" ht="14.4" customHeight="1" x14ac:dyDescent="0.3">
      <c r="D71" s="78"/>
      <c r="E71" s="22" t="s">
        <v>95</v>
      </c>
      <c r="F71" s="22">
        <f t="shared" ref="F71" si="32">F69</f>
        <v>10</v>
      </c>
      <c r="G71" s="65">
        <v>0.40339999999999998</v>
      </c>
      <c r="H71" s="66">
        <v>0.72060000000000002</v>
      </c>
      <c r="I71" s="56"/>
      <c r="J71" s="57">
        <f>G71-$J$14</f>
        <v>0.36429999999999996</v>
      </c>
      <c r="K71" s="58">
        <f>H71-$K$14</f>
        <v>0.68346666666666667</v>
      </c>
      <c r="L71" s="56"/>
      <c r="M71" s="62">
        <f t="shared" si="1"/>
        <v>0.19343333333333329</v>
      </c>
      <c r="N71" s="56">
        <f t="shared" si="2"/>
        <v>13.72718993333333</v>
      </c>
      <c r="O71" s="58">
        <f t="shared" si="3"/>
        <v>27.45437986666666</v>
      </c>
      <c r="P71" s="56">
        <f t="shared" si="4"/>
        <v>2.7454379866666661</v>
      </c>
      <c r="Q71" s="57"/>
      <c r="R71" s="56"/>
      <c r="S71" s="58"/>
      <c r="T71" s="56"/>
    </row>
    <row r="72" spans="4:20" ht="14.4" customHeight="1" x14ac:dyDescent="0.3">
      <c r="D72" s="76">
        <f>A42</f>
        <v>16</v>
      </c>
      <c r="E72" s="12" t="s">
        <v>96</v>
      </c>
      <c r="F72" s="12">
        <f>B42</f>
        <v>10</v>
      </c>
      <c r="G72" s="54">
        <v>0.38200000000000001</v>
      </c>
      <c r="H72" s="55">
        <v>0.78759999999999997</v>
      </c>
      <c r="I72" s="56"/>
      <c r="J72" s="57">
        <f>G72-$J$14</f>
        <v>0.34289999999999998</v>
      </c>
      <c r="K72" s="58">
        <f>H72-$K$14</f>
        <v>0.75046666666666662</v>
      </c>
      <c r="L72" s="56"/>
      <c r="M72" s="62">
        <f t="shared" si="1"/>
        <v>0.15528333333333333</v>
      </c>
      <c r="N72" s="56">
        <f t="shared" si="2"/>
        <v>11.019837033333332</v>
      </c>
      <c r="O72" s="58">
        <f t="shared" si="3"/>
        <v>22.039674066666663</v>
      </c>
      <c r="P72" s="56">
        <f t="shared" si="4"/>
        <v>2.2039674066666661</v>
      </c>
      <c r="Q72" s="57">
        <f>AVERAGE(P72:P74)</f>
        <v>1.9332321166666666</v>
      </c>
      <c r="R72" s="56">
        <f>STDEV(P72:P74)</f>
        <v>0.38384324647051954</v>
      </c>
      <c r="S72" s="58">
        <f>R72/Q72*100</f>
        <v>19.855000502079019</v>
      </c>
      <c r="T72" s="56"/>
    </row>
    <row r="73" spans="4:20" ht="14.4" customHeight="1" x14ac:dyDescent="0.3">
      <c r="D73" s="77"/>
      <c r="E73" s="17" t="s">
        <v>97</v>
      </c>
      <c r="F73" s="17">
        <f t="shared" ref="F73" si="33">F72</f>
        <v>10</v>
      </c>
      <c r="G73" s="57">
        <v>0.3705</v>
      </c>
      <c r="H73" s="58">
        <v>0.77039999999999997</v>
      </c>
      <c r="I73" s="56"/>
      <c r="J73" s="57">
        <f>G73-$J$14</f>
        <v>0.33139999999999997</v>
      </c>
      <c r="K73" s="58">
        <f>H73-$K$14</f>
        <v>0.73326666666666662</v>
      </c>
      <c r="L73" s="56"/>
      <c r="M73" s="62">
        <f t="shared" si="1"/>
        <v>0.14808333333333332</v>
      </c>
      <c r="N73" s="56">
        <f t="shared" si="2"/>
        <v>10.508881833333332</v>
      </c>
      <c r="O73" s="58">
        <f t="shared" si="3"/>
        <v>21.017763666666664</v>
      </c>
      <c r="P73" s="56">
        <f t="shared" si="4"/>
        <v>2.1017763666666665</v>
      </c>
      <c r="Q73" s="57"/>
      <c r="R73" s="56"/>
      <c r="S73" s="58"/>
      <c r="T73" s="56"/>
    </row>
    <row r="74" spans="4:20" ht="14.4" customHeight="1" x14ac:dyDescent="0.3">
      <c r="D74" s="78"/>
      <c r="E74" s="22" t="s">
        <v>98</v>
      </c>
      <c r="F74" s="22">
        <f t="shared" ref="F74" si="34">F72</f>
        <v>10</v>
      </c>
      <c r="G74" s="65">
        <v>0.33250000000000002</v>
      </c>
      <c r="H74" s="66">
        <v>0.78969999999999996</v>
      </c>
      <c r="I74" s="56"/>
      <c r="J74" s="57">
        <f>G74-$J$14</f>
        <v>0.29339999999999999</v>
      </c>
      <c r="K74" s="58">
        <f>H74-$K$14</f>
        <v>0.75256666666666661</v>
      </c>
      <c r="L74" s="56"/>
      <c r="M74" s="62">
        <f t="shared" si="1"/>
        <v>0.10525833333333334</v>
      </c>
      <c r="N74" s="56">
        <f t="shared" si="2"/>
        <v>7.4697628833333329</v>
      </c>
      <c r="O74" s="58">
        <f t="shared" si="3"/>
        <v>14.939525766666666</v>
      </c>
      <c r="P74" s="56">
        <f t="shared" si="4"/>
        <v>1.4939525766666666</v>
      </c>
      <c r="Q74" s="57"/>
      <c r="R74" s="56"/>
      <c r="S74" s="58"/>
      <c r="T74" s="56"/>
    </row>
    <row r="75" spans="4:20" ht="14.4" customHeight="1" x14ac:dyDescent="0.3">
      <c r="D75" s="76">
        <f>A43</f>
        <v>17</v>
      </c>
      <c r="E75" s="12" t="s">
        <v>99</v>
      </c>
      <c r="F75" s="12">
        <f>B43</f>
        <v>10</v>
      </c>
      <c r="G75" s="54">
        <v>0.375</v>
      </c>
      <c r="H75" s="55">
        <v>0.75209999999999999</v>
      </c>
      <c r="I75" s="56"/>
      <c r="J75" s="57">
        <f>G75-$J$14</f>
        <v>0.33589999999999998</v>
      </c>
      <c r="K75" s="58">
        <f>H75-$K$14</f>
        <v>0.71496666666666664</v>
      </c>
      <c r="L75" s="56"/>
      <c r="M75" s="62">
        <f t="shared" si="1"/>
        <v>0.15715833333333332</v>
      </c>
      <c r="N75" s="56">
        <f t="shared" si="2"/>
        <v>11.152898283333331</v>
      </c>
      <c r="O75" s="58">
        <f t="shared" si="3"/>
        <v>22.305796566666661</v>
      </c>
      <c r="P75" s="56">
        <f t="shared" si="4"/>
        <v>2.230579656666666</v>
      </c>
      <c r="Q75" s="57">
        <f>AVERAGE(P75:P77)</f>
        <v>1.6459380933333332</v>
      </c>
      <c r="R75" s="56">
        <f>STDEV(P75:P77)</f>
        <v>0.51648920401908927</v>
      </c>
      <c r="S75" s="58">
        <f>R75/Q75*100</f>
        <v>31.379625157900186</v>
      </c>
      <c r="T75" s="56"/>
    </row>
    <row r="76" spans="4:20" ht="14.4" customHeight="1" x14ac:dyDescent="0.3">
      <c r="D76" s="77"/>
      <c r="E76" s="17" t="s">
        <v>100</v>
      </c>
      <c r="F76" s="17">
        <f t="shared" ref="F76" si="35">F75</f>
        <v>10</v>
      </c>
      <c r="G76" s="57">
        <v>0.30990000000000001</v>
      </c>
      <c r="H76" s="58">
        <v>0.76759999999999995</v>
      </c>
      <c r="I76" s="56"/>
      <c r="J76" s="57">
        <f>G76-$J$14</f>
        <v>0.27079999999999999</v>
      </c>
      <c r="K76" s="58">
        <f>H76-$K$14</f>
        <v>0.7304666666666666</v>
      </c>
      <c r="L76" s="56"/>
      <c r="M76" s="62">
        <f t="shared" si="1"/>
        <v>8.8183333333333336E-2</v>
      </c>
      <c r="N76" s="56">
        <f t="shared" si="2"/>
        <v>6.2580184333333326</v>
      </c>
      <c r="O76" s="58">
        <f t="shared" si="3"/>
        <v>12.516036866666665</v>
      </c>
      <c r="P76" s="56">
        <f t="shared" si="4"/>
        <v>1.2516036866666664</v>
      </c>
      <c r="Q76" s="57"/>
      <c r="R76" s="56"/>
      <c r="S76" s="58"/>
      <c r="T76" s="56"/>
    </row>
    <row r="77" spans="4:20" ht="14.4" customHeight="1" x14ac:dyDescent="0.3">
      <c r="D77" s="78"/>
      <c r="E77" s="22" t="s">
        <v>101</v>
      </c>
      <c r="F77" s="22">
        <f t="shared" ref="F77" si="36">F75</f>
        <v>10</v>
      </c>
      <c r="G77" s="65">
        <v>0.32150000000000001</v>
      </c>
      <c r="H77" s="66">
        <v>0.75649999999999995</v>
      </c>
      <c r="I77" s="56"/>
      <c r="J77" s="57">
        <f>G77-$J$14</f>
        <v>0.28239999999999998</v>
      </c>
      <c r="K77" s="58">
        <f>H77-$K$14</f>
        <v>0.7193666666666666</v>
      </c>
      <c r="L77" s="56"/>
      <c r="M77" s="62">
        <f t="shared" si="1"/>
        <v>0.10255833333333333</v>
      </c>
      <c r="N77" s="56">
        <f t="shared" si="2"/>
        <v>7.2781546833333328</v>
      </c>
      <c r="O77" s="58">
        <f t="shared" si="3"/>
        <v>14.556309366666666</v>
      </c>
      <c r="P77" s="56">
        <f t="shared" si="4"/>
        <v>1.4556309366666667</v>
      </c>
      <c r="Q77" s="57"/>
      <c r="R77" s="56"/>
      <c r="S77" s="58"/>
      <c r="T77" s="56"/>
    </row>
    <row r="78" spans="4:20" ht="14.4" customHeight="1" x14ac:dyDescent="0.3">
      <c r="D78" s="76">
        <f>A44</f>
        <v>18</v>
      </c>
      <c r="E78" s="12" t="s">
        <v>102</v>
      </c>
      <c r="F78" s="12">
        <f>B44</f>
        <v>10</v>
      </c>
      <c r="G78" s="54">
        <v>0.35759999999999997</v>
      </c>
      <c r="H78" s="55">
        <v>0.75829999999999997</v>
      </c>
      <c r="I78" s="56"/>
      <c r="J78" s="57">
        <f>G78-$J$14</f>
        <v>0.31849999999999995</v>
      </c>
      <c r="K78" s="58">
        <f>H78-$K$14</f>
        <v>0.72116666666666662</v>
      </c>
      <c r="L78" s="56"/>
      <c r="M78" s="62">
        <f t="shared" si="1"/>
        <v>0.13820833333333329</v>
      </c>
      <c r="N78" s="56">
        <f t="shared" si="2"/>
        <v>9.8080925833333303</v>
      </c>
      <c r="O78" s="58">
        <f t="shared" si="3"/>
        <v>19.616185166666661</v>
      </c>
      <c r="P78" s="56">
        <f t="shared" si="4"/>
        <v>1.961618516666666</v>
      </c>
      <c r="Q78" s="57">
        <f>AVERAGE(P78:P80)</f>
        <v>2.3638774599999999</v>
      </c>
      <c r="R78" s="56">
        <f>STDEV(P78:P80)</f>
        <v>0.38508559564401074</v>
      </c>
      <c r="S78" s="58">
        <f>R78/Q78*100</f>
        <v>16.290421232072273</v>
      </c>
      <c r="T78" s="56"/>
    </row>
    <row r="79" spans="4:20" ht="14.4" customHeight="1" x14ac:dyDescent="0.3">
      <c r="D79" s="77"/>
      <c r="E79" s="17" t="s">
        <v>103</v>
      </c>
      <c r="F79" s="17">
        <f t="shared" ref="F79" si="37">F78</f>
        <v>10</v>
      </c>
      <c r="G79" s="57">
        <v>0.40689999999999998</v>
      </c>
      <c r="H79" s="58">
        <v>0.73919999999999997</v>
      </c>
      <c r="I79" s="56"/>
      <c r="J79" s="57">
        <f>G79-$J$14</f>
        <v>0.36779999999999996</v>
      </c>
      <c r="K79" s="58">
        <f>H79-$K$14</f>
        <v>0.70206666666666662</v>
      </c>
      <c r="L79" s="56"/>
      <c r="M79" s="62">
        <f t="shared" si="1"/>
        <v>0.19228333333333331</v>
      </c>
      <c r="N79" s="56">
        <f t="shared" si="2"/>
        <v>13.64557903333333</v>
      </c>
      <c r="O79" s="58">
        <f t="shared" si="3"/>
        <v>27.291158066666661</v>
      </c>
      <c r="P79" s="56">
        <f t="shared" si="4"/>
        <v>2.7291158066666661</v>
      </c>
      <c r="Q79" s="57"/>
      <c r="R79" s="56"/>
      <c r="S79" s="58"/>
      <c r="T79" s="56"/>
    </row>
    <row r="80" spans="4:20" ht="14.4" customHeight="1" x14ac:dyDescent="0.3">
      <c r="D80" s="78"/>
      <c r="E80" s="22" t="s">
        <v>104</v>
      </c>
      <c r="F80" s="22">
        <f t="shared" ref="F80" si="38">F78</f>
        <v>10</v>
      </c>
      <c r="G80" s="65">
        <v>0.38590000000000002</v>
      </c>
      <c r="H80" s="66">
        <v>0.74770000000000003</v>
      </c>
      <c r="I80" s="56"/>
      <c r="J80" s="57">
        <f>G80-$J$14</f>
        <v>0.3468</v>
      </c>
      <c r="K80" s="58">
        <f>H80-$K$14</f>
        <v>0.71056666666666668</v>
      </c>
      <c r="L80" s="56"/>
      <c r="M80" s="62">
        <f t="shared" si="1"/>
        <v>0.16915833333333333</v>
      </c>
      <c r="N80" s="56">
        <f t="shared" si="2"/>
        <v>12.004490283333332</v>
      </c>
      <c r="O80" s="58">
        <f t="shared" si="3"/>
        <v>24.008980566666665</v>
      </c>
      <c r="P80" s="56">
        <f t="shared" si="4"/>
        <v>2.4008980566666667</v>
      </c>
      <c r="Q80" s="57"/>
      <c r="R80" s="56"/>
      <c r="S80" s="58"/>
      <c r="T80" s="56"/>
    </row>
    <row r="81" spans="4:20" ht="14.4" customHeight="1" x14ac:dyDescent="0.3">
      <c r="D81" s="76">
        <f>A45</f>
        <v>19</v>
      </c>
      <c r="E81" s="12" t="s">
        <v>105</v>
      </c>
      <c r="F81" s="12">
        <f>B45</f>
        <v>10</v>
      </c>
      <c r="G81" s="54">
        <v>0.3589</v>
      </c>
      <c r="H81" s="55">
        <v>0.71020000000000005</v>
      </c>
      <c r="I81" s="56"/>
      <c r="J81" s="57">
        <f>G81-$J$14</f>
        <v>0.31979999999999997</v>
      </c>
      <c r="K81" s="58">
        <f>H81-$K$14</f>
        <v>0.6730666666666667</v>
      </c>
      <c r="L81" s="56"/>
      <c r="M81" s="62">
        <f t="shared" si="1"/>
        <v>0.1515333333333333</v>
      </c>
      <c r="N81" s="56">
        <f t="shared" si="2"/>
        <v>10.75371453333333</v>
      </c>
      <c r="O81" s="58">
        <f t="shared" si="3"/>
        <v>21.50742906666666</v>
      </c>
      <c r="P81" s="56">
        <f t="shared" si="4"/>
        <v>2.1507429066666659</v>
      </c>
      <c r="Q81" s="57">
        <f>AVERAGE(P81:P83)</f>
        <v>2.3990056299999996</v>
      </c>
      <c r="R81" s="56">
        <f>STDEV(P81:P83)</f>
        <v>0.21506337724683336</v>
      </c>
      <c r="S81" s="58">
        <f>R81/Q81*100</f>
        <v>8.9646883090821845</v>
      </c>
      <c r="T81" s="56"/>
    </row>
    <row r="82" spans="4:20" ht="14.4" customHeight="1" x14ac:dyDescent="0.3">
      <c r="D82" s="77"/>
      <c r="E82" s="17" t="s">
        <v>106</v>
      </c>
      <c r="F82" s="17">
        <f t="shared" ref="F82" si="39">F81</f>
        <v>10</v>
      </c>
      <c r="G82" s="57">
        <v>0.3851</v>
      </c>
      <c r="H82" s="58">
        <v>0.71150000000000002</v>
      </c>
      <c r="I82" s="56"/>
      <c r="J82" s="57">
        <f>G82-$J$14</f>
        <v>0.34599999999999997</v>
      </c>
      <c r="K82" s="58">
        <f>H82-$K$14</f>
        <v>0.67436666666666667</v>
      </c>
      <c r="L82" s="56"/>
      <c r="M82" s="62">
        <f t="shared" si="1"/>
        <v>0.17740833333333331</v>
      </c>
      <c r="N82" s="56">
        <f t="shared" si="2"/>
        <v>12.589959783333331</v>
      </c>
      <c r="O82" s="58">
        <f t="shared" si="3"/>
        <v>25.179919566666662</v>
      </c>
      <c r="P82" s="56">
        <f t="shared" si="4"/>
        <v>2.5179919566666662</v>
      </c>
      <c r="Q82" s="57"/>
      <c r="R82" s="56"/>
      <c r="S82" s="58"/>
      <c r="T82" s="56"/>
    </row>
    <row r="83" spans="4:20" ht="14.4" customHeight="1" x14ac:dyDescent="0.3">
      <c r="D83" s="78"/>
      <c r="E83" s="22" t="s">
        <v>107</v>
      </c>
      <c r="F83" s="22">
        <f t="shared" ref="F83" si="40">F81</f>
        <v>10</v>
      </c>
      <c r="G83" s="65">
        <v>0.38640000000000002</v>
      </c>
      <c r="H83" s="66">
        <v>0.71379999999999999</v>
      </c>
      <c r="I83" s="56"/>
      <c r="J83" s="57">
        <f>G83-$J$14</f>
        <v>0.3473</v>
      </c>
      <c r="K83" s="58">
        <f>H83-$K$14</f>
        <v>0.67666666666666664</v>
      </c>
      <c r="L83" s="56"/>
      <c r="M83" s="62">
        <f t="shared" si="1"/>
        <v>0.17813333333333334</v>
      </c>
      <c r="N83" s="56">
        <f t="shared" si="2"/>
        <v>12.641410133333332</v>
      </c>
      <c r="O83" s="58">
        <f t="shared" si="3"/>
        <v>25.282820266666665</v>
      </c>
      <c r="P83" s="56">
        <f t="shared" si="4"/>
        <v>2.5282820266666666</v>
      </c>
      <c r="Q83" s="57"/>
      <c r="R83" s="56"/>
      <c r="S83" s="58"/>
      <c r="T83" s="56"/>
    </row>
    <row r="84" spans="4:20" ht="14.4" customHeight="1" x14ac:dyDescent="0.3">
      <c r="D84" s="76">
        <f>A46</f>
        <v>20</v>
      </c>
      <c r="E84" s="12" t="s">
        <v>108</v>
      </c>
      <c r="F84" s="12">
        <f>B46</f>
        <v>10</v>
      </c>
      <c r="G84" s="54">
        <v>0.4</v>
      </c>
      <c r="H84" s="55">
        <v>0.72199999999999998</v>
      </c>
      <c r="I84" s="56"/>
      <c r="J84" s="57">
        <f>G84-$J$14</f>
        <v>0.3609</v>
      </c>
      <c r="K84" s="58">
        <f>H84-$K$14</f>
        <v>0.68486666666666662</v>
      </c>
      <c r="L84" s="56"/>
      <c r="M84" s="62">
        <f t="shared" si="1"/>
        <v>0.18968333333333334</v>
      </c>
      <c r="N84" s="56">
        <f t="shared" si="2"/>
        <v>13.461067433333334</v>
      </c>
      <c r="O84" s="58">
        <f t="shared" si="3"/>
        <v>26.922134866666667</v>
      </c>
      <c r="P84" s="56">
        <f t="shared" si="4"/>
        <v>2.6922134866666667</v>
      </c>
      <c r="Q84" s="57">
        <f>AVERAGE(P84:P86)</f>
        <v>1.8289120966666665</v>
      </c>
      <c r="R84" s="56">
        <f>STDEV(P84:P86)</f>
        <v>0.75053272208177635</v>
      </c>
      <c r="S84" s="58">
        <f>R84/Q84*100</f>
        <v>41.03711290715831</v>
      </c>
      <c r="T84" s="56"/>
    </row>
    <row r="85" spans="4:20" ht="14.4" customHeight="1" x14ac:dyDescent="0.3">
      <c r="D85" s="77"/>
      <c r="E85" s="17" t="s">
        <v>109</v>
      </c>
      <c r="F85" s="17">
        <f t="shared" ref="F85" si="41">F84</f>
        <v>10</v>
      </c>
      <c r="G85" s="57">
        <v>0.31630000000000003</v>
      </c>
      <c r="H85" s="58">
        <v>0.77070000000000005</v>
      </c>
      <c r="I85" s="56"/>
      <c r="J85" s="57">
        <f>G85-$J$14</f>
        <v>0.2772</v>
      </c>
      <c r="K85" s="58">
        <f>H85-$K$14</f>
        <v>0.7335666666666667</v>
      </c>
      <c r="L85" s="56"/>
      <c r="M85" s="62">
        <f t="shared" si="1"/>
        <v>9.3808333333333327E-2</v>
      </c>
      <c r="N85" s="56">
        <f t="shared" si="2"/>
        <v>6.6572021833333324</v>
      </c>
      <c r="O85" s="58">
        <f t="shared" si="3"/>
        <v>13.314404366666665</v>
      </c>
      <c r="P85" s="56">
        <f t="shared" si="4"/>
        <v>1.3314404366666666</v>
      </c>
      <c r="Q85" s="57"/>
      <c r="R85" s="56"/>
      <c r="S85" s="58"/>
      <c r="T85" s="56"/>
    </row>
    <row r="86" spans="4:20" ht="14.4" customHeight="1" x14ac:dyDescent="0.3">
      <c r="D86" s="78"/>
      <c r="E86" s="22" t="s">
        <v>110</v>
      </c>
      <c r="F86" s="22">
        <f t="shared" ref="F86" si="42">F84</f>
        <v>10</v>
      </c>
      <c r="G86" s="65">
        <v>0.32750000000000001</v>
      </c>
      <c r="H86" s="66">
        <v>0.77839999999999998</v>
      </c>
      <c r="I86" s="56"/>
      <c r="J86" s="57">
        <f>G86-$J$14</f>
        <v>0.28839999999999999</v>
      </c>
      <c r="K86" s="58">
        <f>H86-$K$14</f>
        <v>0.74126666666666663</v>
      </c>
      <c r="L86" s="56"/>
      <c r="M86" s="62">
        <f t="shared" si="1"/>
        <v>0.10308333333333333</v>
      </c>
      <c r="N86" s="56">
        <f t="shared" si="2"/>
        <v>7.3154118333333322</v>
      </c>
      <c r="O86" s="58">
        <f t="shared" si="3"/>
        <v>14.630823666666664</v>
      </c>
      <c r="P86" s="56">
        <f t="shared" si="4"/>
        <v>1.4630823666666664</v>
      </c>
      <c r="Q86" s="57"/>
      <c r="R86" s="56"/>
      <c r="S86" s="58"/>
      <c r="T86" s="56"/>
    </row>
    <row r="87" spans="4:20" ht="14.4" customHeight="1" x14ac:dyDescent="0.3">
      <c r="D87" s="76">
        <f>A47</f>
        <v>21</v>
      </c>
      <c r="E87" s="12" t="s">
        <v>111</v>
      </c>
      <c r="F87" s="12">
        <f>B47</f>
        <v>10</v>
      </c>
      <c r="G87" s="54">
        <v>0.33729999999999999</v>
      </c>
      <c r="H87" s="55">
        <v>0.77980000000000005</v>
      </c>
      <c r="I87" s="56"/>
      <c r="J87" s="57">
        <f>G87-$J$14</f>
        <v>0.29819999999999997</v>
      </c>
      <c r="K87" s="58">
        <f>H87-$K$14</f>
        <v>0.7426666666666667</v>
      </c>
      <c r="L87" s="56"/>
      <c r="M87" s="62">
        <f t="shared" si="1"/>
        <v>0.11253333333333329</v>
      </c>
      <c r="N87" s="56">
        <f t="shared" si="2"/>
        <v>7.9860405333333295</v>
      </c>
      <c r="O87" s="58">
        <f t="shared" si="3"/>
        <v>15.972081066666659</v>
      </c>
      <c r="P87" s="56">
        <f t="shared" si="4"/>
        <v>1.5972081066666659</v>
      </c>
      <c r="Q87" s="57">
        <f>AVERAGE(P87:P89)</f>
        <v>0.99565297999999969</v>
      </c>
      <c r="R87" s="56">
        <f>STDEV(P87:P89)</f>
        <v>0.78051795754062125</v>
      </c>
      <c r="S87" s="58">
        <f>R87/Q87*100</f>
        <v>78.392569822933851</v>
      </c>
      <c r="T87" s="56"/>
    </row>
    <row r="88" spans="4:20" ht="14.4" customHeight="1" x14ac:dyDescent="0.3">
      <c r="D88" s="77"/>
      <c r="E88" s="17" t="s">
        <v>112</v>
      </c>
      <c r="F88" s="17">
        <f t="shared" ref="F88:F97" si="43">F87</f>
        <v>10</v>
      </c>
      <c r="G88" s="57">
        <v>0.2397</v>
      </c>
      <c r="H88" s="58">
        <v>0.8075</v>
      </c>
      <c r="I88" s="56"/>
      <c r="J88" s="57">
        <f>G88-$J$14</f>
        <v>0.2006</v>
      </c>
      <c r="K88" s="58">
        <f>H88-$K$14</f>
        <v>0.77036666666666664</v>
      </c>
      <c r="L88" s="56"/>
      <c r="M88" s="62">
        <f t="shared" si="1"/>
        <v>8.0083333333333395E-3</v>
      </c>
      <c r="N88" s="56">
        <f t="shared" si="2"/>
        <v>0.56831938333333376</v>
      </c>
      <c r="O88" s="58">
        <f t="shared" si="3"/>
        <v>1.1366387666666675</v>
      </c>
      <c r="P88" s="56">
        <f t="shared" si="4"/>
        <v>0.11366387666666675</v>
      </c>
      <c r="Q88" s="57"/>
      <c r="R88" s="56"/>
      <c r="S88" s="58"/>
      <c r="T88" s="56"/>
    </row>
    <row r="89" spans="4:20" ht="14.4" customHeight="1" x14ac:dyDescent="0.3">
      <c r="D89" s="78"/>
      <c r="E89" s="22" t="s">
        <v>113</v>
      </c>
      <c r="F89" s="22">
        <f t="shared" ref="F89:F98" si="44">F87</f>
        <v>10</v>
      </c>
      <c r="G89" s="65">
        <v>0.30349999999999999</v>
      </c>
      <c r="H89" s="66">
        <v>0.73509999999999998</v>
      </c>
      <c r="I89" s="56"/>
      <c r="J89" s="57">
        <f>G89-$J$14</f>
        <v>0.26439999999999997</v>
      </c>
      <c r="K89" s="58">
        <f>H89-$K$14</f>
        <v>0.69796666666666662</v>
      </c>
      <c r="L89" s="56"/>
      <c r="M89" s="62">
        <f t="shared" si="1"/>
        <v>8.9908333333333312E-2</v>
      </c>
      <c r="N89" s="56">
        <f t="shared" si="2"/>
        <v>6.3804347833333317</v>
      </c>
      <c r="O89" s="58">
        <f t="shared" si="3"/>
        <v>12.760869566666663</v>
      </c>
      <c r="P89" s="56">
        <f t="shared" si="4"/>
        <v>1.2760869566666664</v>
      </c>
      <c r="Q89" s="57"/>
      <c r="R89" s="56"/>
      <c r="S89" s="58"/>
      <c r="T89" s="56"/>
    </row>
    <row r="90" spans="4:20" ht="14.4" customHeight="1" x14ac:dyDescent="0.3">
      <c r="D90" s="76">
        <f>A48</f>
        <v>22</v>
      </c>
      <c r="E90" s="12" t="s">
        <v>114</v>
      </c>
      <c r="F90" s="12">
        <f>B48</f>
        <v>10</v>
      </c>
      <c r="G90" s="54">
        <v>0.3619</v>
      </c>
      <c r="H90" s="55">
        <v>0.70750000000000002</v>
      </c>
      <c r="I90" s="56"/>
      <c r="J90" s="57">
        <f>G90-$J$14</f>
        <v>0.32279999999999998</v>
      </c>
      <c r="K90" s="58">
        <f>H90-$K$14</f>
        <v>0.67036666666666667</v>
      </c>
      <c r="L90" s="56"/>
      <c r="M90" s="62">
        <f t="shared" si="1"/>
        <v>0.15520833333333331</v>
      </c>
      <c r="N90" s="56">
        <f t="shared" si="2"/>
        <v>11.01451458333333</v>
      </c>
      <c r="O90" s="58">
        <f t="shared" si="3"/>
        <v>22.02902916666666</v>
      </c>
      <c r="P90" s="56">
        <f t="shared" si="4"/>
        <v>2.202902916666666</v>
      </c>
      <c r="Q90" s="57">
        <f>AVERAGE(P90:P92)</f>
        <v>2.1272058499999993</v>
      </c>
      <c r="R90" s="56">
        <f>STDEV(P90:P92)</f>
        <v>0.15859842560507803</v>
      </c>
      <c r="S90" s="58">
        <f>R90/Q90*100</f>
        <v>7.4557159385904317</v>
      </c>
      <c r="T90" s="56"/>
    </row>
    <row r="91" spans="4:20" ht="14.4" customHeight="1" x14ac:dyDescent="0.3">
      <c r="D91" s="77"/>
      <c r="E91" s="17" t="s">
        <v>115</v>
      </c>
      <c r="F91" s="17">
        <f t="shared" si="43"/>
        <v>10</v>
      </c>
      <c r="G91" s="57">
        <v>0.34089999999999998</v>
      </c>
      <c r="H91" s="58">
        <v>0.69620000000000004</v>
      </c>
      <c r="I91" s="56"/>
      <c r="J91" s="57">
        <f>G91-$J$14</f>
        <v>0.30179999999999996</v>
      </c>
      <c r="K91" s="58">
        <f>H91-$K$14</f>
        <v>0.65906666666666669</v>
      </c>
      <c r="L91" s="56"/>
      <c r="M91" s="62">
        <f t="shared" si="1"/>
        <v>0.13703333333333328</v>
      </c>
      <c r="N91" s="56">
        <f t="shared" si="2"/>
        <v>9.7247075333333299</v>
      </c>
      <c r="O91" s="58">
        <f t="shared" si="3"/>
        <v>19.44941506666666</v>
      </c>
      <c r="P91" s="56">
        <f t="shared" si="4"/>
        <v>1.944941506666666</v>
      </c>
      <c r="Q91" s="57"/>
      <c r="R91" s="56"/>
      <c r="S91" s="58"/>
      <c r="T91" s="56"/>
    </row>
    <row r="92" spans="4:20" ht="14.4" customHeight="1" x14ac:dyDescent="0.3">
      <c r="D92" s="78"/>
      <c r="E92" s="22" t="s">
        <v>116</v>
      </c>
      <c r="F92" s="22">
        <f t="shared" si="44"/>
        <v>10</v>
      </c>
      <c r="G92" s="65">
        <v>0.3599</v>
      </c>
      <c r="H92" s="66">
        <v>0.69079999999999997</v>
      </c>
      <c r="I92" s="56"/>
      <c r="J92" s="57">
        <f>G92-$J$14</f>
        <v>0.32079999999999997</v>
      </c>
      <c r="K92" s="58">
        <f>H92-$K$14</f>
        <v>0.65366666666666662</v>
      </c>
      <c r="L92" s="56"/>
      <c r="M92" s="62">
        <f t="shared" ref="M92:M98" si="45">J92-(0.25*K92)</f>
        <v>0.15738333333333332</v>
      </c>
      <c r="N92" s="56">
        <f t="shared" ref="N92:N98" si="46">M92*70.966</f>
        <v>11.168865633333331</v>
      </c>
      <c r="O92" s="58">
        <f t="shared" ref="O92:O98" si="47">N92*2</f>
        <v>22.337731266666662</v>
      </c>
      <c r="P92" s="56">
        <f t="shared" ref="P92:P98" si="48">O92/F92</f>
        <v>2.2337731266666663</v>
      </c>
      <c r="Q92" s="57"/>
      <c r="R92" s="56"/>
      <c r="S92" s="58"/>
      <c r="T92" s="56"/>
    </row>
    <row r="93" spans="4:20" ht="14.4" customHeight="1" x14ac:dyDescent="0.3">
      <c r="D93" s="76">
        <f>A49</f>
        <v>23</v>
      </c>
      <c r="E93" s="12" t="s">
        <v>117</v>
      </c>
      <c r="F93" s="12">
        <f>B49</f>
        <v>10</v>
      </c>
      <c r="G93" s="54">
        <v>0.36370000000000002</v>
      </c>
      <c r="H93" s="55">
        <v>0.75109999999999999</v>
      </c>
      <c r="I93" s="56"/>
      <c r="J93" s="57">
        <f>G93-$J$14</f>
        <v>0.3246</v>
      </c>
      <c r="K93" s="58">
        <f>H93-$K$14</f>
        <v>0.71396666666666664</v>
      </c>
      <c r="L93" s="56"/>
      <c r="M93" s="62">
        <f t="shared" si="45"/>
        <v>0.14610833333333334</v>
      </c>
      <c r="N93" s="56">
        <f t="shared" si="46"/>
        <v>10.368723983333332</v>
      </c>
      <c r="O93" s="58">
        <f t="shared" si="47"/>
        <v>20.737447966666664</v>
      </c>
      <c r="P93" s="56">
        <f t="shared" si="48"/>
        <v>2.0737447966666664</v>
      </c>
      <c r="Q93" s="57">
        <f>AVERAGE(P93:P95)</f>
        <v>2.2039674066666661</v>
      </c>
      <c r="R93" s="56">
        <f>STDEV(P93:P95)</f>
        <v>0.18058825262088499</v>
      </c>
      <c r="S93" s="58">
        <f>R93/Q93*100</f>
        <v>8.1937805466012321</v>
      </c>
      <c r="T93" s="56"/>
    </row>
    <row r="94" spans="4:20" ht="14.4" customHeight="1" x14ac:dyDescent="0.3">
      <c r="D94" s="77"/>
      <c r="E94" s="17" t="s">
        <v>118</v>
      </c>
      <c r="F94" s="17">
        <f t="shared" si="43"/>
        <v>10</v>
      </c>
      <c r="G94" s="57">
        <v>0.37209999999999999</v>
      </c>
      <c r="H94" s="58">
        <v>0.76939999999999997</v>
      </c>
      <c r="I94" s="56"/>
      <c r="J94" s="57">
        <f>G94-$J$14</f>
        <v>0.33299999999999996</v>
      </c>
      <c r="K94" s="58">
        <f>H94-$K$14</f>
        <v>0.73226666666666662</v>
      </c>
      <c r="L94" s="56"/>
      <c r="M94" s="62">
        <f t="shared" si="45"/>
        <v>0.14993333333333331</v>
      </c>
      <c r="N94" s="56">
        <f t="shared" si="46"/>
        <v>10.64016893333333</v>
      </c>
      <c r="O94" s="58">
        <f t="shared" si="47"/>
        <v>21.28033786666666</v>
      </c>
      <c r="P94" s="56">
        <f t="shared" si="48"/>
        <v>2.1280337866666659</v>
      </c>
      <c r="Q94" s="57"/>
      <c r="R94" s="56"/>
      <c r="S94" s="58"/>
      <c r="T94" s="56"/>
    </row>
    <row r="95" spans="4:20" ht="14.4" customHeight="1" x14ac:dyDescent="0.3">
      <c r="D95" s="78"/>
      <c r="E95" s="22" t="s">
        <v>119</v>
      </c>
      <c r="F95" s="22">
        <f t="shared" si="44"/>
        <v>10</v>
      </c>
      <c r="G95" s="65">
        <v>0.38879999999999998</v>
      </c>
      <c r="H95" s="66">
        <v>0.75670000000000004</v>
      </c>
      <c r="I95" s="56"/>
      <c r="J95" s="57">
        <f>G95-$J$14</f>
        <v>0.34969999999999996</v>
      </c>
      <c r="K95" s="58">
        <f>H95-$K$14</f>
        <v>0.71956666666666669</v>
      </c>
      <c r="L95" s="56"/>
      <c r="M95" s="62">
        <f t="shared" si="45"/>
        <v>0.16980833333333328</v>
      </c>
      <c r="N95" s="56">
        <f t="shared" si="46"/>
        <v>12.050618183333329</v>
      </c>
      <c r="O95" s="58">
        <f t="shared" si="47"/>
        <v>24.101236366666658</v>
      </c>
      <c r="P95" s="56">
        <f t="shared" si="48"/>
        <v>2.4101236366666656</v>
      </c>
      <c r="Q95" s="57"/>
      <c r="R95" s="56"/>
      <c r="S95" s="58"/>
      <c r="T95" s="56"/>
    </row>
    <row r="96" spans="4:20" ht="14.4" customHeight="1" x14ac:dyDescent="0.3">
      <c r="D96" s="76">
        <f>A50</f>
        <v>24</v>
      </c>
      <c r="E96" s="12" t="s">
        <v>120</v>
      </c>
      <c r="F96" s="12">
        <f>B50</f>
        <v>10</v>
      </c>
      <c r="G96" s="54">
        <v>0.36720000000000003</v>
      </c>
      <c r="H96" s="55">
        <v>0.70199999999999996</v>
      </c>
      <c r="I96" s="56"/>
      <c r="J96" s="57">
        <f>G96-$J$14</f>
        <v>0.3281</v>
      </c>
      <c r="K96" s="58">
        <f>H96-$K$14</f>
        <v>0.66486666666666661</v>
      </c>
      <c r="L96" s="56"/>
      <c r="M96" s="62">
        <f t="shared" si="45"/>
        <v>0.16188333333333335</v>
      </c>
      <c r="N96" s="56">
        <f t="shared" si="46"/>
        <v>11.488212633333333</v>
      </c>
      <c r="O96" s="58">
        <f t="shared" si="47"/>
        <v>22.976425266666666</v>
      </c>
      <c r="P96" s="56">
        <f t="shared" si="48"/>
        <v>2.2976425266666665</v>
      </c>
      <c r="Q96" s="57">
        <f>AVERAGE(P96:P98)</f>
        <v>2.1721509833333328</v>
      </c>
      <c r="R96" s="56">
        <f>STDEV(P96:P98)</f>
        <v>0.23950692070772506</v>
      </c>
      <c r="S96" s="58">
        <f>R96/Q96*100</f>
        <v>11.026255658351303</v>
      </c>
      <c r="T96" s="56"/>
    </row>
    <row r="97" spans="4:20" ht="14.4" customHeight="1" x14ac:dyDescent="0.3">
      <c r="D97" s="77"/>
      <c r="E97" s="17" t="s">
        <v>121</v>
      </c>
      <c r="F97" s="17">
        <f t="shared" si="43"/>
        <v>10</v>
      </c>
      <c r="G97" s="57">
        <v>0.36580000000000001</v>
      </c>
      <c r="H97" s="58">
        <v>0.68930000000000002</v>
      </c>
      <c r="I97" s="56"/>
      <c r="J97" s="57">
        <f>G97-$J$14</f>
        <v>0.32669999999999999</v>
      </c>
      <c r="K97" s="58">
        <f>H97-$K$14</f>
        <v>0.65216666666666667</v>
      </c>
      <c r="L97" s="56"/>
      <c r="M97" s="62">
        <f t="shared" si="45"/>
        <v>0.16365833333333332</v>
      </c>
      <c r="N97" s="56">
        <f t="shared" si="46"/>
        <v>11.614177283333332</v>
      </c>
      <c r="O97" s="58">
        <f t="shared" si="47"/>
        <v>23.228354566666663</v>
      </c>
      <c r="P97" s="56">
        <f t="shared" si="48"/>
        <v>2.3228354566666662</v>
      </c>
      <c r="Q97" s="57"/>
      <c r="R97" s="56"/>
      <c r="S97" s="58"/>
      <c r="T97" s="56"/>
    </row>
    <row r="98" spans="4:20" ht="14.4" customHeight="1" x14ac:dyDescent="0.3">
      <c r="D98" s="78"/>
      <c r="E98" s="22" t="s">
        <v>122</v>
      </c>
      <c r="F98" s="22">
        <f t="shared" si="44"/>
        <v>10</v>
      </c>
      <c r="G98" s="65">
        <v>0.33329999999999999</v>
      </c>
      <c r="H98" s="66">
        <v>0.67959999999999998</v>
      </c>
      <c r="I98" s="56"/>
      <c r="J98" s="65">
        <f>G98-$J$14</f>
        <v>0.29419999999999996</v>
      </c>
      <c r="K98" s="58">
        <f>H98-$K$14</f>
        <v>0.64246666666666663</v>
      </c>
      <c r="L98" s="56"/>
      <c r="M98" s="69">
        <f t="shared" si="45"/>
        <v>0.1335833333333333</v>
      </c>
      <c r="N98" s="56">
        <f t="shared" si="46"/>
        <v>9.47987483333333</v>
      </c>
      <c r="O98" s="58">
        <f t="shared" si="47"/>
        <v>18.95974966666666</v>
      </c>
      <c r="P98" s="70">
        <f t="shared" si="48"/>
        <v>1.8959749666666661</v>
      </c>
      <c r="Q98" s="65"/>
      <c r="R98" s="70"/>
      <c r="S98" s="66"/>
      <c r="T98" s="56"/>
    </row>
    <row r="99" spans="4:20" x14ac:dyDescent="0.3">
      <c r="N99" s="35"/>
    </row>
  </sheetData>
  <mergeCells count="31">
    <mergeCell ref="D96:D98"/>
    <mergeCell ref="D78:D80"/>
    <mergeCell ref="D81:D83"/>
    <mergeCell ref="D84:D86"/>
    <mergeCell ref="D87:D89"/>
    <mergeCell ref="D90:D92"/>
    <mergeCell ref="D93:D95"/>
    <mergeCell ref="D75:D77"/>
    <mergeCell ref="D42:D44"/>
    <mergeCell ref="D45:D47"/>
    <mergeCell ref="D48:D50"/>
    <mergeCell ref="D51:D53"/>
    <mergeCell ref="D54:D56"/>
    <mergeCell ref="D57:D59"/>
    <mergeCell ref="D60:D62"/>
    <mergeCell ref="D63:D65"/>
    <mergeCell ref="D66:D68"/>
    <mergeCell ref="D69:D71"/>
    <mergeCell ref="D72:D74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E99A-A4CB-4C96-BEB9-CF28793002D2}">
  <dimension ref="A1:X99"/>
  <sheetViews>
    <sheetView zoomScale="80" zoomScaleNormal="80" workbookViewId="0">
      <selection activeCell="H24" sqref="H24"/>
    </sheetView>
  </sheetViews>
  <sheetFormatPr defaultColWidth="8.88671875" defaultRowHeight="14.4" x14ac:dyDescent="0.3"/>
  <cols>
    <col min="1" max="1" width="10.5546875" bestFit="1" customWidth="1"/>
    <col min="2" max="2" width="9.109375" bestFit="1" customWidth="1"/>
    <col min="4" max="4" width="9.44140625" customWidth="1"/>
    <col min="5" max="5" width="10" customWidth="1"/>
    <col min="6" max="6" width="11.6640625" customWidth="1"/>
    <col min="7" max="7" width="12.5546875" customWidth="1"/>
    <col min="8" max="8" width="12.6640625" customWidth="1"/>
    <col min="10" max="11" width="9" customWidth="1"/>
    <col min="12" max="12" width="11.6640625" customWidth="1"/>
    <col min="13" max="13" width="9" customWidth="1"/>
    <col min="14" max="14" width="11.6640625" bestFit="1" customWidth="1"/>
    <col min="15" max="15" width="9" customWidth="1"/>
    <col min="16" max="16" width="9" bestFit="1" customWidth="1"/>
    <col min="17" max="17" width="10.88671875" customWidth="1"/>
    <col min="18" max="18" width="10.6640625" customWidth="1"/>
    <col min="19" max="19" width="9" bestFit="1" customWidth="1"/>
    <col min="20" max="20" width="9.5546875" bestFit="1" customWidth="1"/>
    <col min="21" max="21" width="9.5546875" customWidth="1"/>
  </cols>
  <sheetData>
    <row r="1" spans="5:17" x14ac:dyDescent="0.3">
      <c r="E1" s="79" t="s">
        <v>0</v>
      </c>
      <c r="F1" s="79"/>
      <c r="G1" s="79"/>
    </row>
    <row r="2" spans="5:17" x14ac:dyDescent="0.3">
      <c r="E2" s="79"/>
      <c r="F2" s="79"/>
      <c r="G2" s="79"/>
    </row>
    <row r="4" spans="5:17" ht="28.5" customHeight="1" x14ac:dyDescent="0.3">
      <c r="E4" s="1"/>
      <c r="F4" s="80" t="s">
        <v>1</v>
      </c>
      <c r="G4" s="81"/>
      <c r="I4" s="1"/>
      <c r="J4" s="80" t="s">
        <v>1</v>
      </c>
      <c r="K4" s="81"/>
      <c r="L4" s="2"/>
      <c r="M4" s="71" t="s">
        <v>2</v>
      </c>
      <c r="N4" s="72"/>
      <c r="O4" s="2"/>
      <c r="P4" s="82" t="s">
        <v>3</v>
      </c>
      <c r="Q4" s="83"/>
    </row>
    <row r="5" spans="5:17" ht="17.25" customHeight="1" x14ac:dyDescent="0.3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2" t="s">
        <v>1</v>
      </c>
      <c r="Q5" s="83"/>
    </row>
    <row r="6" spans="5:17" x14ac:dyDescent="0.3">
      <c r="E6" s="11" t="s">
        <v>8</v>
      </c>
      <c r="F6">
        <v>4.2000000000000003E-2</v>
      </c>
      <c r="G6">
        <v>3.8100000000000002E-2</v>
      </c>
      <c r="I6" s="13">
        <v>12.5</v>
      </c>
      <c r="J6" s="14">
        <f>AVERAGE(F9:F11)</f>
        <v>0.26476666666666665</v>
      </c>
      <c r="K6" s="15">
        <f>AVERAGE(G9:G11)</f>
        <v>3.6366666666666665E-2</v>
      </c>
      <c r="M6" s="14">
        <f>J6-$J$14</f>
        <v>0.22566666666666665</v>
      </c>
      <c r="N6" s="15">
        <f>K6-$K$14</f>
        <v>-7.666666666666655E-4</v>
      </c>
      <c r="P6" s="1" t="s">
        <v>5</v>
      </c>
      <c r="Q6" s="7" t="s">
        <v>7</v>
      </c>
    </row>
    <row r="7" spans="5:17" x14ac:dyDescent="0.3">
      <c r="E7" s="16" t="s">
        <v>9</v>
      </c>
      <c r="F7">
        <v>3.5799999999999998E-2</v>
      </c>
      <c r="G7">
        <v>3.49E-2</v>
      </c>
      <c r="I7" s="18">
        <v>25</v>
      </c>
      <c r="J7" s="19">
        <f>AVERAGE(F12:F14)</f>
        <v>0.56596666666666673</v>
      </c>
      <c r="K7" s="20">
        <f>AVERAGE(G12:G14)</f>
        <v>3.6399999999999995E-2</v>
      </c>
      <c r="M7" s="19">
        <f>J7-$J$14</f>
        <v>0.52686666666666671</v>
      </c>
      <c r="N7" s="20">
        <f>K7-$K$14</f>
        <v>-7.3333333333333584E-4</v>
      </c>
      <c r="P7" s="17">
        <f>M6</f>
        <v>0.22566666666666665</v>
      </c>
      <c r="Q7" s="12">
        <v>12.5</v>
      </c>
    </row>
    <row r="8" spans="5:17" x14ac:dyDescent="0.3">
      <c r="E8" s="21" t="s">
        <v>10</v>
      </c>
      <c r="F8">
        <v>3.95E-2</v>
      </c>
      <c r="G8">
        <v>3.8399999999999997E-2</v>
      </c>
      <c r="I8" s="18">
        <v>50</v>
      </c>
      <c r="J8" s="19">
        <f>AVERAGE(F15:F17)</f>
        <v>1.1274333333333333</v>
      </c>
      <c r="K8" s="20">
        <f>AVERAGE(G15:G17)</f>
        <v>3.7200000000000004E-2</v>
      </c>
      <c r="M8" s="19">
        <f>J8-$J$14</f>
        <v>1.0883333333333334</v>
      </c>
      <c r="N8" s="20">
        <f>K8-$K$14</f>
        <v>6.6666666666673202E-5</v>
      </c>
      <c r="P8" s="17">
        <f>M7</f>
        <v>0.52686666666666671</v>
      </c>
      <c r="Q8" s="17">
        <v>25</v>
      </c>
    </row>
    <row r="9" spans="5:17" x14ac:dyDescent="0.3">
      <c r="E9" s="11" t="s">
        <v>11</v>
      </c>
      <c r="F9">
        <v>0.31159999999999999</v>
      </c>
      <c r="G9">
        <v>3.56E-2</v>
      </c>
      <c r="I9" s="18">
        <v>100</v>
      </c>
      <c r="J9" s="19">
        <f>AVERAGE(F18:F20)</f>
        <v>1.7840999999999998</v>
      </c>
      <c r="K9" s="20">
        <f>AVERAGE(G18:G20)</f>
        <v>3.833333333333333E-2</v>
      </c>
      <c r="M9" s="19">
        <f>J9-$J$14</f>
        <v>1.7449999999999999</v>
      </c>
      <c r="N9" s="20">
        <f>K9-$K$14</f>
        <v>1.1999999999999997E-3</v>
      </c>
      <c r="P9" s="17">
        <f>M8</f>
        <v>1.0883333333333334</v>
      </c>
      <c r="Q9" s="17">
        <v>50</v>
      </c>
    </row>
    <row r="10" spans="5:17" x14ac:dyDescent="0.3">
      <c r="E10" s="16" t="s">
        <v>12</v>
      </c>
      <c r="F10">
        <v>0.17879999999999999</v>
      </c>
      <c r="G10">
        <v>3.6999999999999998E-2</v>
      </c>
      <c r="I10" s="23">
        <v>250</v>
      </c>
      <c r="J10" s="24">
        <f>AVERAGE(F21:F23)</f>
        <v>3.8068999999999997</v>
      </c>
      <c r="K10" s="25">
        <f>AVERAGE(G21:G23)</f>
        <v>3.5266666666666668E-2</v>
      </c>
      <c r="M10" s="19">
        <f>J10-$J$14</f>
        <v>3.7677999999999998</v>
      </c>
      <c r="N10" s="20">
        <f>K10-$K$14</f>
        <v>-1.8666666666666623E-3</v>
      </c>
      <c r="P10" s="17">
        <f>M9</f>
        <v>1.7449999999999999</v>
      </c>
      <c r="Q10" s="17">
        <v>100</v>
      </c>
    </row>
    <row r="11" spans="5:17" x14ac:dyDescent="0.3">
      <c r="E11" s="21" t="s">
        <v>13</v>
      </c>
      <c r="F11">
        <v>0.3039</v>
      </c>
      <c r="G11">
        <v>3.6499999999999998E-2</v>
      </c>
      <c r="I11" s="26" t="s">
        <v>14</v>
      </c>
      <c r="J11" s="13">
        <f t="shared" ref="J11:K13" si="0">F6</f>
        <v>4.2000000000000003E-2</v>
      </c>
      <c r="K11" s="27">
        <f t="shared" si="0"/>
        <v>3.8100000000000002E-2</v>
      </c>
      <c r="M11" s="23"/>
      <c r="N11" s="28"/>
      <c r="P11" s="22">
        <f>M10</f>
        <v>3.7677999999999998</v>
      </c>
      <c r="Q11" s="22">
        <v>250</v>
      </c>
    </row>
    <row r="12" spans="5:17" x14ac:dyDescent="0.3">
      <c r="E12" s="11" t="s">
        <v>15</v>
      </c>
      <c r="F12">
        <v>0.55330000000000001</v>
      </c>
      <c r="G12">
        <v>3.5499999999999997E-2</v>
      </c>
      <c r="I12" s="29" t="s">
        <v>14</v>
      </c>
      <c r="J12" s="18">
        <f t="shared" si="0"/>
        <v>3.5799999999999998E-2</v>
      </c>
      <c r="K12" s="30">
        <f t="shared" si="0"/>
        <v>3.49E-2</v>
      </c>
    </row>
    <row r="13" spans="5:17" x14ac:dyDescent="0.3">
      <c r="E13" s="16" t="s">
        <v>16</v>
      </c>
      <c r="F13">
        <v>0.54720000000000002</v>
      </c>
      <c r="G13">
        <v>3.7400000000000003E-2</v>
      </c>
      <c r="I13" s="31" t="s">
        <v>14</v>
      </c>
      <c r="J13" s="23">
        <f t="shared" si="0"/>
        <v>3.95E-2</v>
      </c>
      <c r="K13" s="28">
        <f t="shared" si="0"/>
        <v>3.8399999999999997E-2</v>
      </c>
    </row>
    <row r="14" spans="5:17" x14ac:dyDescent="0.3">
      <c r="E14" s="21" t="s">
        <v>17</v>
      </c>
      <c r="F14">
        <v>0.59740000000000004</v>
      </c>
      <c r="G14">
        <v>3.6299999999999999E-2</v>
      </c>
      <c r="I14" s="32" t="s">
        <v>18</v>
      </c>
      <c r="J14" s="33">
        <f>AVERAGE(J11:J13)</f>
        <v>3.9100000000000003E-2</v>
      </c>
      <c r="K14" s="34">
        <f>AVERAGE(K11:K13)</f>
        <v>3.7133333333333331E-2</v>
      </c>
    </row>
    <row r="15" spans="5:17" x14ac:dyDescent="0.3">
      <c r="E15" s="11" t="s">
        <v>19</v>
      </c>
      <c r="F15">
        <v>1.2909999999999999</v>
      </c>
      <c r="G15">
        <v>3.8300000000000001E-2</v>
      </c>
      <c r="M15" s="13" t="s">
        <v>20</v>
      </c>
      <c r="N15" s="35"/>
      <c r="O15" s="27"/>
    </row>
    <row r="16" spans="5:17" x14ac:dyDescent="0.3">
      <c r="E16" s="16" t="s">
        <v>21</v>
      </c>
      <c r="F16">
        <v>1.0270999999999999</v>
      </c>
      <c r="G16">
        <v>3.6799999999999999E-2</v>
      </c>
      <c r="M16" s="18" t="s">
        <v>22</v>
      </c>
      <c r="O16" s="30"/>
    </row>
    <row r="17" spans="1:24" x14ac:dyDescent="0.3">
      <c r="E17" s="21" t="s">
        <v>23</v>
      </c>
      <c r="F17">
        <v>1.0642</v>
      </c>
      <c r="G17">
        <v>3.6499999999999998E-2</v>
      </c>
      <c r="M17" s="23" t="s">
        <v>24</v>
      </c>
      <c r="N17" s="36"/>
      <c r="O17" s="28"/>
    </row>
    <row r="18" spans="1:24" x14ac:dyDescent="0.3">
      <c r="E18" s="11" t="s">
        <v>25</v>
      </c>
      <c r="F18">
        <v>2.1677</v>
      </c>
      <c r="G18">
        <v>4.1599999999999998E-2</v>
      </c>
      <c r="I18" s="82" t="s">
        <v>26</v>
      </c>
      <c r="J18" s="84"/>
      <c r="K18" s="83"/>
      <c r="W18" s="37"/>
      <c r="X18" s="37"/>
    </row>
    <row r="19" spans="1:24" ht="15.6" x14ac:dyDescent="0.3">
      <c r="E19" s="16" t="s">
        <v>27</v>
      </c>
      <c r="F19">
        <v>1.1813</v>
      </c>
      <c r="G19">
        <v>3.78E-2</v>
      </c>
      <c r="I19" s="38" t="s">
        <v>28</v>
      </c>
      <c r="J19" s="36"/>
      <c r="K19" s="28"/>
    </row>
    <row r="20" spans="1:24" x14ac:dyDescent="0.3">
      <c r="E20" s="21" t="s">
        <v>29</v>
      </c>
      <c r="F20">
        <v>2.0032999999999999</v>
      </c>
      <c r="G20">
        <v>3.56E-2</v>
      </c>
      <c r="U20" s="37"/>
      <c r="V20" s="37"/>
    </row>
    <row r="21" spans="1:24" x14ac:dyDescent="0.3">
      <c r="E21" s="11" t="s">
        <v>30</v>
      </c>
      <c r="F21">
        <v>3.8005</v>
      </c>
      <c r="G21">
        <v>3.4299999999999997E-2</v>
      </c>
      <c r="U21" s="37"/>
      <c r="V21" s="37"/>
    </row>
    <row r="22" spans="1:24" x14ac:dyDescent="0.3">
      <c r="E22" s="16" t="s">
        <v>31</v>
      </c>
      <c r="F22" s="39" t="s">
        <v>123</v>
      </c>
      <c r="G22">
        <v>3.4799999999999998E-2</v>
      </c>
      <c r="U22" s="37"/>
      <c r="V22" s="37"/>
    </row>
    <row r="23" spans="1:24" x14ac:dyDescent="0.3">
      <c r="E23" s="21" t="s">
        <v>32</v>
      </c>
      <c r="F23">
        <v>3.8132999999999999</v>
      </c>
      <c r="G23">
        <v>3.6700000000000003E-2</v>
      </c>
      <c r="U23" s="37"/>
      <c r="V23" s="37"/>
    </row>
    <row r="24" spans="1:24" x14ac:dyDescent="0.3">
      <c r="E24" s="39"/>
      <c r="V24" s="37"/>
      <c r="W24" s="37"/>
    </row>
    <row r="25" spans="1:24" ht="31.5" customHeight="1" x14ac:dyDescent="0.3">
      <c r="A25" s="85" t="s">
        <v>33</v>
      </c>
      <c r="B25" s="86"/>
      <c r="J25" s="36"/>
      <c r="K25" s="36"/>
      <c r="M25" s="73"/>
      <c r="N25" s="41" t="s">
        <v>34</v>
      </c>
      <c r="O25" s="42" t="s">
        <v>124</v>
      </c>
      <c r="P25" s="75" t="s">
        <v>35</v>
      </c>
      <c r="Q25" s="71" t="s">
        <v>36</v>
      </c>
      <c r="R25" s="75" t="s">
        <v>37</v>
      </c>
      <c r="S25" s="74" t="s">
        <v>37</v>
      </c>
      <c r="T25" s="72" t="s">
        <v>38</v>
      </c>
      <c r="U25" s="6" t="s">
        <v>36</v>
      </c>
      <c r="V25" s="37"/>
    </row>
    <row r="26" spans="1:24" ht="30.75" customHeight="1" x14ac:dyDescent="0.3">
      <c r="A26" s="45" t="s">
        <v>39</v>
      </c>
      <c r="B26" s="1" t="s">
        <v>40</v>
      </c>
      <c r="D26" s="46" t="s">
        <v>38</v>
      </c>
      <c r="E26" s="46" t="s">
        <v>41</v>
      </c>
      <c r="F26" s="47" t="s">
        <v>42</v>
      </c>
      <c r="G26" s="47" t="s">
        <v>5</v>
      </c>
      <c r="H26" s="47" t="s">
        <v>6</v>
      </c>
      <c r="I26" s="48"/>
      <c r="J26" s="49" t="s">
        <v>43</v>
      </c>
      <c r="K26" s="50" t="s">
        <v>44</v>
      </c>
      <c r="M26" s="47" t="s">
        <v>45</v>
      </c>
      <c r="N26" s="51" t="s">
        <v>46</v>
      </c>
      <c r="O26" s="52" t="s">
        <v>47</v>
      </c>
      <c r="P26" s="53" t="s">
        <v>48</v>
      </c>
      <c r="Q26" s="71" t="s">
        <v>49</v>
      </c>
      <c r="R26" s="41" t="s">
        <v>49</v>
      </c>
      <c r="S26" s="74" t="s">
        <v>50</v>
      </c>
      <c r="T26" s="74"/>
      <c r="U26" s="6" t="s">
        <v>49</v>
      </c>
      <c r="V26" s="37"/>
    </row>
    <row r="27" spans="1:24" ht="15" customHeight="1" x14ac:dyDescent="0.3">
      <c r="A27" s="18">
        <v>1</v>
      </c>
      <c r="B27" s="30">
        <v>10</v>
      </c>
      <c r="D27" s="76">
        <f>A27</f>
        <v>1</v>
      </c>
      <c r="E27" s="12" t="s">
        <v>51</v>
      </c>
      <c r="F27" s="12">
        <f>B27</f>
        <v>10</v>
      </c>
      <c r="G27" s="54">
        <v>0.22420000000000001</v>
      </c>
      <c r="H27" s="55">
        <v>0.68049999999999999</v>
      </c>
      <c r="I27" s="56"/>
      <c r="J27" s="57">
        <f t="shared" ref="J27:J90" si="1">G27-$J$14</f>
        <v>0.18510000000000001</v>
      </c>
      <c r="K27" s="58">
        <f t="shared" ref="K27:K90" si="2">H27-$K$14</f>
        <v>0.64336666666666664</v>
      </c>
      <c r="L27" s="56"/>
      <c r="M27" s="59">
        <f>J27-(0.25*K27)</f>
        <v>2.4258333333333354E-2</v>
      </c>
      <c r="N27" s="56">
        <f>M27*70.966</f>
        <v>1.7215168833333347</v>
      </c>
      <c r="O27" s="58">
        <f>N27*2</f>
        <v>3.4430337666666695</v>
      </c>
      <c r="P27" s="56">
        <f>O27/F27</f>
        <v>0.34430337666666694</v>
      </c>
      <c r="Q27" s="57">
        <f>AVERAGE(P27:P29)</f>
        <v>1.3021078233333332</v>
      </c>
      <c r="R27" s="56">
        <f>STDEV(P27:P29)</f>
        <v>0.84693129346375728</v>
      </c>
      <c r="S27" s="58">
        <f>R27/Q27*100</f>
        <v>65.043099986578227</v>
      </c>
      <c r="T27" s="60">
        <f>D27</f>
        <v>1</v>
      </c>
      <c r="U27" s="61">
        <f>Q27</f>
        <v>1.3021078233333332</v>
      </c>
      <c r="V27" s="37"/>
    </row>
    <row r="28" spans="1:24" ht="14.4" customHeight="1" x14ac:dyDescent="0.3">
      <c r="A28" s="18">
        <v>2</v>
      </c>
      <c r="B28" s="30">
        <v>10</v>
      </c>
      <c r="D28" s="77"/>
      <c r="E28" s="17" t="s">
        <v>52</v>
      </c>
      <c r="F28" s="17">
        <f>F27</f>
        <v>10</v>
      </c>
      <c r="G28" s="57">
        <v>0.32040000000000002</v>
      </c>
      <c r="H28" s="58">
        <v>0.61219999999999997</v>
      </c>
      <c r="I28" s="56"/>
      <c r="J28" s="57">
        <f t="shared" si="1"/>
        <v>0.28129999999999999</v>
      </c>
      <c r="K28" s="58">
        <f t="shared" si="2"/>
        <v>0.57506666666666661</v>
      </c>
      <c r="L28" s="56"/>
      <c r="M28" s="62">
        <f t="shared" ref="M28:M91" si="3">J28-(0.25*K28)</f>
        <v>0.13753333333333334</v>
      </c>
      <c r="N28" s="56">
        <f t="shared" ref="N28:N91" si="4">M28*70.966</f>
        <v>9.7601905333333328</v>
      </c>
      <c r="O28" s="58">
        <f t="shared" ref="O28:O91" si="5">N28*2</f>
        <v>19.520381066666666</v>
      </c>
      <c r="P28" s="56">
        <f t="shared" ref="P28:P91" si="6">O28/F28</f>
        <v>1.9520381066666666</v>
      </c>
      <c r="Q28" s="57"/>
      <c r="R28" s="56"/>
      <c r="S28" s="58"/>
      <c r="T28" s="63">
        <f>D30</f>
        <v>2</v>
      </c>
      <c r="U28" s="64">
        <f>Q30</f>
        <v>2.2033760233333326</v>
      </c>
    </row>
    <row r="29" spans="1:24" ht="14.4" customHeight="1" x14ac:dyDescent="0.3">
      <c r="A29" s="18">
        <v>3</v>
      </c>
      <c r="B29" s="30">
        <v>10</v>
      </c>
      <c r="D29" s="78"/>
      <c r="E29" s="22" t="s">
        <v>53</v>
      </c>
      <c r="F29" s="22">
        <f>F27</f>
        <v>10</v>
      </c>
      <c r="G29" s="65">
        <v>0.3019</v>
      </c>
      <c r="H29" s="66">
        <v>0.63460000000000005</v>
      </c>
      <c r="I29" s="56"/>
      <c r="J29" s="57">
        <f t="shared" si="1"/>
        <v>0.26279999999999998</v>
      </c>
      <c r="K29" s="58">
        <f t="shared" si="2"/>
        <v>0.5974666666666667</v>
      </c>
      <c r="L29" s="56"/>
      <c r="M29" s="62">
        <f t="shared" si="3"/>
        <v>0.1134333333333333</v>
      </c>
      <c r="N29" s="56">
        <f t="shared" si="4"/>
        <v>8.0499099333333302</v>
      </c>
      <c r="O29" s="58">
        <f t="shared" si="5"/>
        <v>16.09981986666666</v>
      </c>
      <c r="P29" s="56">
        <f t="shared" si="6"/>
        <v>1.609981986666666</v>
      </c>
      <c r="Q29" s="57"/>
      <c r="R29" s="56"/>
      <c r="S29" s="58"/>
      <c r="T29" s="63">
        <f>D33</f>
        <v>3</v>
      </c>
      <c r="U29" s="64">
        <f>Q33</f>
        <v>2.3020187633333333</v>
      </c>
    </row>
    <row r="30" spans="1:24" ht="14.4" customHeight="1" x14ac:dyDescent="0.3">
      <c r="A30" s="18">
        <v>4</v>
      </c>
      <c r="B30" s="30">
        <v>10</v>
      </c>
      <c r="D30" s="76">
        <f>A28</f>
        <v>2</v>
      </c>
      <c r="E30" s="12" t="s">
        <v>54</v>
      </c>
      <c r="F30" s="12">
        <f>B28</f>
        <v>10</v>
      </c>
      <c r="G30" s="54">
        <v>0.34560000000000002</v>
      </c>
      <c r="H30" s="55">
        <v>0.64859999999999995</v>
      </c>
      <c r="I30" s="56"/>
      <c r="J30" s="57">
        <f t="shared" si="1"/>
        <v>0.30649999999999999</v>
      </c>
      <c r="K30" s="58">
        <f t="shared" si="2"/>
        <v>0.6114666666666666</v>
      </c>
      <c r="L30" s="56"/>
      <c r="M30" s="62">
        <f t="shared" si="3"/>
        <v>0.15363333333333334</v>
      </c>
      <c r="N30" s="56">
        <f t="shared" si="4"/>
        <v>10.902743133333333</v>
      </c>
      <c r="O30" s="58">
        <f t="shared" si="5"/>
        <v>21.805486266666666</v>
      </c>
      <c r="P30" s="56">
        <f t="shared" si="6"/>
        <v>2.1805486266666665</v>
      </c>
      <c r="Q30" s="57">
        <f>AVERAGE(P30:P32)</f>
        <v>2.2033760233333326</v>
      </c>
      <c r="R30" s="56">
        <f>STDEV(P30:P32)</f>
        <v>0.27658772794727965</v>
      </c>
      <c r="S30" s="58">
        <f>R30/Q30*100</f>
        <v>12.55290631368719</v>
      </c>
      <c r="T30" s="63">
        <f>D36</f>
        <v>4</v>
      </c>
      <c r="U30" s="64">
        <f>Q36</f>
        <v>1.6137668399999996</v>
      </c>
    </row>
    <row r="31" spans="1:24" ht="14.4" customHeight="1" x14ac:dyDescent="0.3">
      <c r="A31" s="18">
        <v>5</v>
      </c>
      <c r="B31" s="30">
        <v>10</v>
      </c>
      <c r="D31" s="77"/>
      <c r="E31" s="17" t="s">
        <v>55</v>
      </c>
      <c r="F31" s="17">
        <f t="shared" ref="F31" si="7">F30</f>
        <v>10</v>
      </c>
      <c r="G31" s="57">
        <v>0.32819999999999999</v>
      </c>
      <c r="H31" s="58">
        <v>0.64710000000000001</v>
      </c>
      <c r="I31" s="56"/>
      <c r="J31" s="57">
        <f t="shared" si="1"/>
        <v>0.28909999999999997</v>
      </c>
      <c r="K31" s="58">
        <f t="shared" si="2"/>
        <v>0.60996666666666666</v>
      </c>
      <c r="L31" s="56"/>
      <c r="M31" s="62">
        <f t="shared" si="3"/>
        <v>0.1366083333333333</v>
      </c>
      <c r="N31" s="56">
        <f t="shared" si="4"/>
        <v>9.6945469833333302</v>
      </c>
      <c r="O31" s="58">
        <f t="shared" si="5"/>
        <v>19.38909396666666</v>
      </c>
      <c r="P31" s="56">
        <f t="shared" si="6"/>
        <v>1.938909396666666</v>
      </c>
      <c r="Q31" s="57"/>
      <c r="R31" s="56"/>
      <c r="S31" s="58"/>
      <c r="T31" s="63">
        <f>D39</f>
        <v>5</v>
      </c>
      <c r="U31" s="64">
        <f>Q39</f>
        <v>1.0577482299999996</v>
      </c>
    </row>
    <row r="32" spans="1:24" ht="14.4" customHeight="1" x14ac:dyDescent="0.3">
      <c r="A32" s="18">
        <v>6</v>
      </c>
      <c r="B32" s="30">
        <v>10</v>
      </c>
      <c r="D32" s="78"/>
      <c r="E32" s="22" t="s">
        <v>56</v>
      </c>
      <c r="F32" s="22">
        <f t="shared" ref="F32" si="8">F30</f>
        <v>10</v>
      </c>
      <c r="G32" s="65">
        <v>0.36899999999999999</v>
      </c>
      <c r="H32" s="66">
        <v>0.65480000000000005</v>
      </c>
      <c r="I32" s="56"/>
      <c r="J32" s="57">
        <f t="shared" si="1"/>
        <v>0.32989999999999997</v>
      </c>
      <c r="K32" s="58">
        <f t="shared" si="2"/>
        <v>0.6176666666666667</v>
      </c>
      <c r="L32" s="56"/>
      <c r="M32" s="62">
        <f t="shared" si="3"/>
        <v>0.1754833333333333</v>
      </c>
      <c r="N32" s="56">
        <f t="shared" si="4"/>
        <v>12.45335023333333</v>
      </c>
      <c r="O32" s="58">
        <f t="shared" si="5"/>
        <v>24.90670046666666</v>
      </c>
      <c r="P32" s="56">
        <f t="shared" si="6"/>
        <v>2.4906700466666658</v>
      </c>
      <c r="Q32" s="57"/>
      <c r="R32" s="56"/>
      <c r="S32" s="58"/>
      <c r="T32" s="63">
        <f>D42</f>
        <v>6</v>
      </c>
      <c r="U32" s="64">
        <f>Q42</f>
        <v>1.6788190066666662</v>
      </c>
    </row>
    <row r="33" spans="1:21" ht="14.4" customHeight="1" x14ac:dyDescent="0.3">
      <c r="A33" s="18">
        <v>7</v>
      </c>
      <c r="B33" s="30">
        <v>10</v>
      </c>
      <c r="D33" s="76">
        <f>A29</f>
        <v>3</v>
      </c>
      <c r="E33" s="12" t="s">
        <v>57</v>
      </c>
      <c r="F33" s="12">
        <f>B29</f>
        <v>10</v>
      </c>
      <c r="G33" s="54">
        <v>0.35880000000000001</v>
      </c>
      <c r="H33" s="55">
        <v>0.66449999999999998</v>
      </c>
      <c r="I33" s="56"/>
      <c r="J33" s="57">
        <f t="shared" si="1"/>
        <v>0.31969999999999998</v>
      </c>
      <c r="K33" s="58">
        <f t="shared" si="2"/>
        <v>0.62736666666666663</v>
      </c>
      <c r="L33" s="56"/>
      <c r="M33" s="62">
        <f t="shared" si="3"/>
        <v>0.16285833333333333</v>
      </c>
      <c r="N33" s="56">
        <f t="shared" si="4"/>
        <v>11.557404483333332</v>
      </c>
      <c r="O33" s="58">
        <f t="shared" si="5"/>
        <v>23.114808966666665</v>
      </c>
      <c r="P33" s="56">
        <f t="shared" si="6"/>
        <v>2.3114808966666667</v>
      </c>
      <c r="Q33" s="57">
        <f>AVERAGE(P33:P35)</f>
        <v>2.3020187633333333</v>
      </c>
      <c r="R33" s="56">
        <f>STDEV(P33:P35)</f>
        <v>7.1790039471379699E-2</v>
      </c>
      <c r="S33" s="58">
        <f>R33/Q33*100</f>
        <v>3.1185688238017399</v>
      </c>
      <c r="T33" s="63">
        <f>D45</f>
        <v>7</v>
      </c>
      <c r="U33" s="64">
        <f>Q45</f>
        <v>2.2822665600000001</v>
      </c>
    </row>
    <row r="34" spans="1:21" ht="14.4" customHeight="1" x14ac:dyDescent="0.3">
      <c r="A34" s="18">
        <v>8</v>
      </c>
      <c r="B34" s="30">
        <v>10</v>
      </c>
      <c r="D34" s="77"/>
      <c r="E34" s="17" t="s">
        <v>58</v>
      </c>
      <c r="F34" s="17">
        <f t="shared" ref="F34" si="9">F33</f>
        <v>10</v>
      </c>
      <c r="G34" s="57">
        <v>0.36130000000000001</v>
      </c>
      <c r="H34" s="58">
        <v>0.65839999999999999</v>
      </c>
      <c r="I34" s="56"/>
      <c r="J34" s="57">
        <f t="shared" si="1"/>
        <v>0.32219999999999999</v>
      </c>
      <c r="K34" s="58">
        <f t="shared" si="2"/>
        <v>0.62126666666666663</v>
      </c>
      <c r="L34" s="56"/>
      <c r="M34" s="62">
        <f t="shared" si="3"/>
        <v>0.16688333333333333</v>
      </c>
      <c r="N34" s="56">
        <f t="shared" si="4"/>
        <v>11.843042633333331</v>
      </c>
      <c r="O34" s="58">
        <f t="shared" si="5"/>
        <v>23.686085266666662</v>
      </c>
      <c r="P34" s="56">
        <f t="shared" si="6"/>
        <v>2.3686085266666663</v>
      </c>
      <c r="Q34" s="57"/>
      <c r="R34" s="56"/>
      <c r="S34" s="58"/>
      <c r="T34" s="63">
        <f>D48</f>
        <v>8</v>
      </c>
      <c r="U34" s="64">
        <f>Q48</f>
        <v>2.1300444899999995</v>
      </c>
    </row>
    <row r="35" spans="1:21" ht="14.4" customHeight="1" x14ac:dyDescent="0.3">
      <c r="A35" s="18">
        <v>9</v>
      </c>
      <c r="B35" s="30">
        <v>10</v>
      </c>
      <c r="D35" s="78"/>
      <c r="E35" s="22" t="s">
        <v>59</v>
      </c>
      <c r="F35" s="22">
        <f t="shared" ref="F35" si="10">F33</f>
        <v>10</v>
      </c>
      <c r="G35" s="65">
        <v>0.35639999999999999</v>
      </c>
      <c r="H35" s="66">
        <v>0.67900000000000005</v>
      </c>
      <c r="I35" s="56"/>
      <c r="J35" s="57">
        <f t="shared" si="1"/>
        <v>0.31729999999999997</v>
      </c>
      <c r="K35" s="58">
        <f t="shared" si="2"/>
        <v>0.6418666666666667</v>
      </c>
      <c r="L35" s="56"/>
      <c r="M35" s="62">
        <f t="shared" si="3"/>
        <v>0.1568333333333333</v>
      </c>
      <c r="N35" s="56">
        <f t="shared" si="4"/>
        <v>11.12983433333333</v>
      </c>
      <c r="O35" s="58">
        <f t="shared" si="5"/>
        <v>22.259668666666659</v>
      </c>
      <c r="P35" s="56">
        <f t="shared" si="6"/>
        <v>2.2259668666666661</v>
      </c>
      <c r="Q35" s="57"/>
      <c r="R35" s="56"/>
      <c r="S35" s="58"/>
      <c r="T35" s="63">
        <f>D51</f>
        <v>9</v>
      </c>
      <c r="U35" s="64">
        <f>Q51</f>
        <v>1.9344148833333328</v>
      </c>
    </row>
    <row r="36" spans="1:21" ht="14.4" customHeight="1" x14ac:dyDescent="0.3">
      <c r="A36" s="18">
        <v>10</v>
      </c>
      <c r="B36" s="30">
        <v>10</v>
      </c>
      <c r="D36" s="76">
        <f>A30</f>
        <v>4</v>
      </c>
      <c r="E36" s="12" t="s">
        <v>60</v>
      </c>
      <c r="F36" s="12">
        <f>B30</f>
        <v>10</v>
      </c>
      <c r="G36" s="54">
        <v>0.28100000000000003</v>
      </c>
      <c r="H36" s="55">
        <v>0.62529999999999997</v>
      </c>
      <c r="I36" s="56"/>
      <c r="J36" s="57">
        <f t="shared" si="1"/>
        <v>0.24190000000000003</v>
      </c>
      <c r="K36" s="58">
        <f t="shared" si="2"/>
        <v>0.58816666666666662</v>
      </c>
      <c r="L36" s="56"/>
      <c r="M36" s="62">
        <f t="shared" si="3"/>
        <v>9.4858333333333378E-2</v>
      </c>
      <c r="N36" s="56">
        <f t="shared" si="4"/>
        <v>6.7317164833333356</v>
      </c>
      <c r="O36" s="58">
        <f t="shared" si="5"/>
        <v>13.463432966666671</v>
      </c>
      <c r="P36" s="56">
        <f t="shared" si="6"/>
        <v>1.3463432966666671</v>
      </c>
      <c r="Q36" s="57">
        <f>AVERAGE(P36:P38)</f>
        <v>1.6137668399999996</v>
      </c>
      <c r="R36" s="56">
        <f>STDEV(P36:P38)</f>
        <v>0.27724017868083684</v>
      </c>
      <c r="S36" s="58">
        <f>R36/Q36*100</f>
        <v>17.179692369985549</v>
      </c>
      <c r="T36" s="63">
        <f>D54</f>
        <v>10</v>
      </c>
      <c r="U36" s="64">
        <f>Q54</f>
        <v>1.6266589966666665</v>
      </c>
    </row>
    <row r="37" spans="1:21" ht="14.4" customHeight="1" x14ac:dyDescent="0.3">
      <c r="A37" s="18">
        <v>11</v>
      </c>
      <c r="B37" s="30">
        <v>10</v>
      </c>
      <c r="D37" s="77"/>
      <c r="E37" s="17" t="s">
        <v>61</v>
      </c>
      <c r="F37" s="17">
        <f t="shared" ref="F37" si="11">F36</f>
        <v>10</v>
      </c>
      <c r="G37" s="57">
        <v>0.29089999999999999</v>
      </c>
      <c r="H37" s="58">
        <v>0.5948</v>
      </c>
      <c r="I37" s="56"/>
      <c r="J37" s="57">
        <f t="shared" si="1"/>
        <v>0.25179999999999997</v>
      </c>
      <c r="K37" s="58">
        <f t="shared" si="2"/>
        <v>0.55766666666666664</v>
      </c>
      <c r="L37" s="56"/>
      <c r="M37" s="62">
        <f t="shared" si="3"/>
        <v>0.11238333333333331</v>
      </c>
      <c r="N37" s="56">
        <f t="shared" si="4"/>
        <v>7.9753956333333305</v>
      </c>
      <c r="O37" s="58">
        <f t="shared" si="5"/>
        <v>15.950791266666661</v>
      </c>
      <c r="P37" s="56">
        <f t="shared" si="6"/>
        <v>1.5950791266666662</v>
      </c>
      <c r="Q37" s="57"/>
      <c r="R37" s="56"/>
      <c r="S37" s="58"/>
      <c r="T37" s="63">
        <f>D57</f>
        <v>11</v>
      </c>
      <c r="U37" s="64">
        <f>Q57</f>
        <v>0.13483539999999991</v>
      </c>
    </row>
    <row r="38" spans="1:21" ht="14.4" customHeight="1" x14ac:dyDescent="0.3">
      <c r="A38" s="18">
        <v>12</v>
      </c>
      <c r="B38" s="30">
        <v>10</v>
      </c>
      <c r="D38" s="78"/>
      <c r="E38" s="22" t="s">
        <v>62</v>
      </c>
      <c r="F38" s="22">
        <f t="shared" ref="F38" si="12">F36</f>
        <v>10</v>
      </c>
      <c r="G38" s="65">
        <v>0.31359999999999999</v>
      </c>
      <c r="H38" s="66">
        <v>0.59970000000000001</v>
      </c>
      <c r="I38" s="56"/>
      <c r="J38" s="57">
        <f t="shared" si="1"/>
        <v>0.27449999999999997</v>
      </c>
      <c r="K38" s="58">
        <f t="shared" si="2"/>
        <v>0.56256666666666666</v>
      </c>
      <c r="L38" s="56"/>
      <c r="M38" s="62">
        <f t="shared" si="3"/>
        <v>0.1338583333333333</v>
      </c>
      <c r="N38" s="56">
        <f t="shared" si="4"/>
        <v>9.4993904833333307</v>
      </c>
      <c r="O38" s="58">
        <f t="shared" si="5"/>
        <v>18.998780966666661</v>
      </c>
      <c r="P38" s="56">
        <f t="shared" si="6"/>
        <v>1.8998780966666662</v>
      </c>
      <c r="Q38" s="57"/>
      <c r="R38" s="56"/>
      <c r="S38" s="58"/>
      <c r="T38" s="63">
        <f>D60</f>
        <v>12</v>
      </c>
      <c r="U38" s="64">
        <f>Q60</f>
        <v>0.13010433333333329</v>
      </c>
    </row>
    <row r="39" spans="1:21" ht="14.4" customHeight="1" x14ac:dyDescent="0.3">
      <c r="A39" s="18">
        <v>13</v>
      </c>
      <c r="B39" s="30">
        <v>10</v>
      </c>
      <c r="D39" s="76">
        <f>A31</f>
        <v>5</v>
      </c>
      <c r="E39" s="12" t="s">
        <v>63</v>
      </c>
      <c r="F39" s="12">
        <f>B31</f>
        <v>10</v>
      </c>
      <c r="G39" s="54">
        <v>0.29799999999999999</v>
      </c>
      <c r="H39" s="55">
        <v>0.61119999999999997</v>
      </c>
      <c r="I39" s="56"/>
      <c r="J39" s="57">
        <f t="shared" si="1"/>
        <v>0.25889999999999996</v>
      </c>
      <c r="K39" s="58">
        <f t="shared" si="2"/>
        <v>0.57406666666666661</v>
      </c>
      <c r="L39" s="56"/>
      <c r="M39" s="62">
        <f t="shared" si="3"/>
        <v>0.11538333333333331</v>
      </c>
      <c r="N39" s="56">
        <f t="shared" si="4"/>
        <v>8.1882936333333305</v>
      </c>
      <c r="O39" s="58">
        <f t="shared" si="5"/>
        <v>16.376587266666661</v>
      </c>
      <c r="P39" s="56">
        <f t="shared" si="6"/>
        <v>1.637658726666666</v>
      </c>
      <c r="Q39" s="57">
        <f>AVERAGE(P39:P41)</f>
        <v>1.0577482299999996</v>
      </c>
      <c r="R39" s="56">
        <f>STDEV(P39:P41)</f>
        <v>0.90050138045091344</v>
      </c>
      <c r="S39" s="58">
        <f>R39/Q39*100</f>
        <v>85.133811138678411</v>
      </c>
      <c r="T39" s="63">
        <f>D63</f>
        <v>13</v>
      </c>
      <c r="U39" s="64">
        <f>Q63</f>
        <v>1.5554564433333331</v>
      </c>
    </row>
    <row r="40" spans="1:21" ht="14.4" customHeight="1" x14ac:dyDescent="0.3">
      <c r="A40" s="18">
        <v>14</v>
      </c>
      <c r="B40" s="30">
        <v>10</v>
      </c>
      <c r="D40" s="77"/>
      <c r="E40" s="17" t="s">
        <v>64</v>
      </c>
      <c r="F40" s="17">
        <f t="shared" ref="F40" si="13">F39</f>
        <v>10</v>
      </c>
      <c r="G40" s="57">
        <v>0.20399999999999999</v>
      </c>
      <c r="H40" s="58">
        <v>0.69099999999999995</v>
      </c>
      <c r="I40" s="56"/>
      <c r="J40" s="57">
        <f t="shared" si="1"/>
        <v>0.16489999999999999</v>
      </c>
      <c r="K40" s="58">
        <f t="shared" si="2"/>
        <v>0.6538666666666666</v>
      </c>
      <c r="L40" s="56"/>
      <c r="M40" s="62">
        <f t="shared" si="3"/>
        <v>1.433333333333342E-3</v>
      </c>
      <c r="N40" s="56">
        <f t="shared" si="4"/>
        <v>0.10171793333333394</v>
      </c>
      <c r="O40" s="58">
        <f t="shared" si="5"/>
        <v>0.20343586666666788</v>
      </c>
      <c r="P40" s="56">
        <f t="shared" si="6"/>
        <v>2.0343586666666788E-2</v>
      </c>
      <c r="Q40" s="57"/>
      <c r="R40" s="56"/>
      <c r="S40" s="58"/>
      <c r="T40" s="63">
        <f>D66</f>
        <v>14</v>
      </c>
      <c r="U40" s="64">
        <f>Q66</f>
        <v>2.29894357</v>
      </c>
    </row>
    <row r="41" spans="1:21" ht="14.4" customHeight="1" x14ac:dyDescent="0.3">
      <c r="A41" s="18">
        <v>15</v>
      </c>
      <c r="B41" s="30">
        <v>10</v>
      </c>
      <c r="D41" s="78"/>
      <c r="E41" s="22" t="s">
        <v>65</v>
      </c>
      <c r="F41" s="22">
        <f t="shared" ref="F41" si="14">F39</f>
        <v>10</v>
      </c>
      <c r="G41" s="65">
        <v>0.28799999999999998</v>
      </c>
      <c r="H41" s="66">
        <v>0.60570000000000002</v>
      </c>
      <c r="I41" s="56"/>
      <c r="J41" s="57">
        <f t="shared" si="1"/>
        <v>0.24889999999999998</v>
      </c>
      <c r="K41" s="58">
        <f t="shared" si="2"/>
        <v>0.56856666666666666</v>
      </c>
      <c r="L41" s="56"/>
      <c r="M41" s="62">
        <f t="shared" si="3"/>
        <v>0.10675833333333332</v>
      </c>
      <c r="N41" s="56">
        <f t="shared" si="4"/>
        <v>7.5762118833333316</v>
      </c>
      <c r="O41" s="58">
        <f t="shared" si="5"/>
        <v>15.152423766666663</v>
      </c>
      <c r="P41" s="56">
        <f t="shared" si="6"/>
        <v>1.5152423766666663</v>
      </c>
      <c r="Q41" s="57"/>
      <c r="R41" s="56"/>
      <c r="S41" s="58"/>
      <c r="T41" s="63">
        <f>D69</f>
        <v>15</v>
      </c>
      <c r="U41" s="64">
        <f>Q69</f>
        <v>2.3113626199999993</v>
      </c>
    </row>
    <row r="42" spans="1:21" ht="14.4" customHeight="1" x14ac:dyDescent="0.3">
      <c r="A42" s="18">
        <v>16</v>
      </c>
      <c r="B42" s="30">
        <v>10</v>
      </c>
      <c r="D42" s="76">
        <f>A32</f>
        <v>6</v>
      </c>
      <c r="E42" s="12" t="s">
        <v>66</v>
      </c>
      <c r="F42" s="12">
        <f>B32</f>
        <v>10</v>
      </c>
      <c r="G42" s="54">
        <v>0.33489999999999998</v>
      </c>
      <c r="H42" s="55">
        <v>0.79159999999999997</v>
      </c>
      <c r="I42" s="56"/>
      <c r="J42" s="57">
        <f t="shared" si="1"/>
        <v>0.29579999999999995</v>
      </c>
      <c r="K42" s="58">
        <f t="shared" si="2"/>
        <v>0.75446666666666662</v>
      </c>
      <c r="L42" s="56"/>
      <c r="M42" s="62">
        <f t="shared" si="3"/>
        <v>0.1071833333333333</v>
      </c>
      <c r="N42" s="56">
        <f t="shared" si="4"/>
        <v>7.6063724333333305</v>
      </c>
      <c r="O42" s="58">
        <f t="shared" si="5"/>
        <v>15.212744866666661</v>
      </c>
      <c r="P42" s="56">
        <f t="shared" si="6"/>
        <v>1.5212744866666661</v>
      </c>
      <c r="Q42" s="57">
        <f>AVERAGE(P42:P44)</f>
        <v>1.6788190066666662</v>
      </c>
      <c r="R42" s="56">
        <f>STDEV(P42:P44)</f>
        <v>0.6426981241977695</v>
      </c>
      <c r="S42" s="58">
        <f>R42/Q42*100</f>
        <v>38.28275243761157</v>
      </c>
      <c r="T42" s="63">
        <f>D72</f>
        <v>16</v>
      </c>
      <c r="U42" s="64">
        <f>Q72</f>
        <v>1.9332321166666666</v>
      </c>
    </row>
    <row r="43" spans="1:21" ht="14.4" customHeight="1" x14ac:dyDescent="0.3">
      <c r="A43" s="18">
        <v>17</v>
      </c>
      <c r="B43" s="30">
        <v>10</v>
      </c>
      <c r="D43" s="77"/>
      <c r="E43" s="17" t="s">
        <v>67</v>
      </c>
      <c r="F43" s="17">
        <f t="shared" ref="F43" si="15">F42</f>
        <v>10</v>
      </c>
      <c r="G43" s="57">
        <v>0.38379999999999997</v>
      </c>
      <c r="H43" s="58">
        <v>0.74360000000000004</v>
      </c>
      <c r="I43" s="56"/>
      <c r="J43" s="57">
        <f t="shared" si="1"/>
        <v>0.34469999999999995</v>
      </c>
      <c r="K43" s="58">
        <f t="shared" si="2"/>
        <v>0.70646666666666669</v>
      </c>
      <c r="L43" s="56"/>
      <c r="M43" s="62">
        <f t="shared" si="3"/>
        <v>0.16808333333333328</v>
      </c>
      <c r="N43" s="56">
        <f t="shared" si="4"/>
        <v>11.928201833333329</v>
      </c>
      <c r="O43" s="58">
        <f t="shared" si="5"/>
        <v>23.856403666666658</v>
      </c>
      <c r="P43" s="56">
        <f t="shared" si="6"/>
        <v>2.3856403666666659</v>
      </c>
      <c r="Q43" s="57"/>
      <c r="R43" s="56"/>
      <c r="S43" s="58"/>
      <c r="T43" s="63">
        <f>D75</f>
        <v>17</v>
      </c>
      <c r="U43" s="64">
        <f>Q75</f>
        <v>1.6459380933333332</v>
      </c>
    </row>
    <row r="44" spans="1:21" ht="14.4" customHeight="1" x14ac:dyDescent="0.3">
      <c r="A44" s="18">
        <v>18</v>
      </c>
      <c r="B44" s="30">
        <v>10</v>
      </c>
      <c r="D44" s="78"/>
      <c r="E44" s="22" t="s">
        <v>68</v>
      </c>
      <c r="F44" s="22">
        <f t="shared" ref="F44" si="16">F42</f>
        <v>10</v>
      </c>
      <c r="G44" s="65">
        <v>0.30120000000000002</v>
      </c>
      <c r="H44" s="66">
        <v>0.76719999999999999</v>
      </c>
      <c r="I44" s="56"/>
      <c r="J44" s="57">
        <f t="shared" si="1"/>
        <v>0.2621</v>
      </c>
      <c r="K44" s="58">
        <f t="shared" si="2"/>
        <v>0.73006666666666664</v>
      </c>
      <c r="L44" s="56"/>
      <c r="M44" s="62">
        <f t="shared" si="3"/>
        <v>7.9583333333333339E-2</v>
      </c>
      <c r="N44" s="56">
        <f t="shared" si="4"/>
        <v>5.647710833333333</v>
      </c>
      <c r="O44" s="58">
        <f t="shared" si="5"/>
        <v>11.295421666666666</v>
      </c>
      <c r="P44" s="56">
        <f t="shared" si="6"/>
        <v>1.1295421666666665</v>
      </c>
      <c r="Q44" s="57"/>
      <c r="R44" s="56"/>
      <c r="S44" s="58"/>
      <c r="T44" s="63">
        <f>D78</f>
        <v>18</v>
      </c>
      <c r="U44" s="64">
        <f>Q78</f>
        <v>2.3638774599999999</v>
      </c>
    </row>
    <row r="45" spans="1:21" ht="14.4" customHeight="1" x14ac:dyDescent="0.3">
      <c r="A45" s="18">
        <v>19</v>
      </c>
      <c r="B45" s="30">
        <v>10</v>
      </c>
      <c r="D45" s="76">
        <f>A33</f>
        <v>7</v>
      </c>
      <c r="E45" s="12" t="s">
        <v>69</v>
      </c>
      <c r="F45" s="12">
        <f>B33</f>
        <v>10</v>
      </c>
      <c r="G45" s="54">
        <v>0.38040000000000002</v>
      </c>
      <c r="H45" s="55">
        <v>0.68089999999999995</v>
      </c>
      <c r="I45" s="56"/>
      <c r="J45" s="57">
        <f t="shared" si="1"/>
        <v>0.34129999999999999</v>
      </c>
      <c r="K45" s="58">
        <f t="shared" si="2"/>
        <v>0.6437666666666666</v>
      </c>
      <c r="L45" s="56"/>
      <c r="M45" s="62">
        <f t="shared" si="3"/>
        <v>0.18035833333333334</v>
      </c>
      <c r="N45" s="56">
        <f t="shared" si="4"/>
        <v>12.799309483333333</v>
      </c>
      <c r="O45" s="58">
        <f t="shared" si="5"/>
        <v>25.598618966666667</v>
      </c>
      <c r="P45" s="56">
        <f t="shared" si="6"/>
        <v>2.5598618966666669</v>
      </c>
      <c r="Q45" s="57">
        <f>AVERAGE(P45:P47)</f>
        <v>2.2822665600000001</v>
      </c>
      <c r="R45" s="56">
        <f>STDEV(P45:P47)</f>
        <v>0.28145654490293848</v>
      </c>
      <c r="S45" s="58">
        <f>R45/Q45*100</f>
        <v>12.33232567290205</v>
      </c>
      <c r="T45" s="63">
        <f>D81</f>
        <v>19</v>
      </c>
      <c r="U45" s="64">
        <f>Q81</f>
        <v>2.3990056299999996</v>
      </c>
    </row>
    <row r="46" spans="1:21" ht="14.4" customHeight="1" x14ac:dyDescent="0.3">
      <c r="A46" s="18">
        <v>20</v>
      </c>
      <c r="B46" s="30">
        <v>10</v>
      </c>
      <c r="D46" s="77"/>
      <c r="E46" s="17" t="s">
        <v>70</v>
      </c>
      <c r="F46" s="17">
        <f t="shared" ref="F46" si="17">F45</f>
        <v>10</v>
      </c>
      <c r="G46" s="57">
        <v>0.3468</v>
      </c>
      <c r="H46" s="58">
        <v>0.70509999999999995</v>
      </c>
      <c r="I46" s="56"/>
      <c r="J46" s="57">
        <f t="shared" si="1"/>
        <v>0.30769999999999997</v>
      </c>
      <c r="K46" s="58">
        <f t="shared" si="2"/>
        <v>0.6679666666666666</v>
      </c>
      <c r="L46" s="56"/>
      <c r="M46" s="62">
        <f t="shared" si="3"/>
        <v>0.14070833333333332</v>
      </c>
      <c r="N46" s="56">
        <f t="shared" si="4"/>
        <v>9.985507583333332</v>
      </c>
      <c r="O46" s="58">
        <f t="shared" si="5"/>
        <v>19.971015166666664</v>
      </c>
      <c r="P46" s="56">
        <f t="shared" si="6"/>
        <v>1.9971015166666664</v>
      </c>
      <c r="Q46" s="57"/>
      <c r="R46" s="56"/>
      <c r="S46" s="58"/>
      <c r="T46" s="63">
        <f>D84</f>
        <v>20</v>
      </c>
      <c r="U46" s="64">
        <f>Q84</f>
        <v>1.8289120966666665</v>
      </c>
    </row>
    <row r="47" spans="1:21" ht="14.4" customHeight="1" x14ac:dyDescent="0.3">
      <c r="A47" s="18">
        <v>21</v>
      </c>
      <c r="B47" s="30">
        <v>10</v>
      </c>
      <c r="D47" s="78"/>
      <c r="E47" s="22" t="s">
        <v>71</v>
      </c>
      <c r="F47" s="22">
        <f t="shared" ref="F47" si="18">F45</f>
        <v>10</v>
      </c>
      <c r="G47" s="65">
        <v>0.36020000000000002</v>
      </c>
      <c r="H47" s="66">
        <v>0.67620000000000002</v>
      </c>
      <c r="I47" s="56"/>
      <c r="J47" s="57">
        <f t="shared" si="1"/>
        <v>0.3211</v>
      </c>
      <c r="K47" s="58">
        <f t="shared" si="2"/>
        <v>0.63906666666666667</v>
      </c>
      <c r="L47" s="56"/>
      <c r="M47" s="62">
        <f t="shared" si="3"/>
        <v>0.16133333333333333</v>
      </c>
      <c r="N47" s="56">
        <f t="shared" si="4"/>
        <v>11.449181333333332</v>
      </c>
      <c r="O47" s="58">
        <f t="shared" si="5"/>
        <v>22.898362666666664</v>
      </c>
      <c r="P47" s="56">
        <f t="shared" si="6"/>
        <v>2.2898362666666663</v>
      </c>
      <c r="Q47" s="57"/>
      <c r="R47" s="56"/>
      <c r="S47" s="58"/>
      <c r="T47" s="63">
        <f>D87</f>
        <v>21</v>
      </c>
      <c r="U47" s="64">
        <f>Q87</f>
        <v>0.99565297999999969</v>
      </c>
    </row>
    <row r="48" spans="1:21" ht="14.4" customHeight="1" x14ac:dyDescent="0.3">
      <c r="A48" s="18">
        <v>22</v>
      </c>
      <c r="B48" s="30">
        <v>10</v>
      </c>
      <c r="D48" s="76">
        <f>A34</f>
        <v>8</v>
      </c>
      <c r="E48" s="12" t="s">
        <v>72</v>
      </c>
      <c r="F48" s="12">
        <f>B34</f>
        <v>10</v>
      </c>
      <c r="G48" s="54">
        <v>0.38429999999999997</v>
      </c>
      <c r="H48" s="55">
        <v>0.72040000000000004</v>
      </c>
      <c r="I48" s="56"/>
      <c r="J48" s="57">
        <f t="shared" si="1"/>
        <v>0.34519999999999995</v>
      </c>
      <c r="K48" s="58">
        <f t="shared" si="2"/>
        <v>0.68326666666666669</v>
      </c>
      <c r="L48" s="56"/>
      <c r="M48" s="62">
        <f t="shared" si="3"/>
        <v>0.17438333333333328</v>
      </c>
      <c r="N48" s="56">
        <f t="shared" si="4"/>
        <v>12.375287633333329</v>
      </c>
      <c r="O48" s="58">
        <f t="shared" si="5"/>
        <v>24.750575266666658</v>
      </c>
      <c r="P48" s="56">
        <f t="shared" si="6"/>
        <v>2.4750575266666659</v>
      </c>
      <c r="Q48" s="57">
        <f>AVERAGE(P48:P50)</f>
        <v>2.1300444899999995</v>
      </c>
      <c r="R48" s="56">
        <f>STDEV(P48:P50)</f>
        <v>0.34560593792103367</v>
      </c>
      <c r="S48" s="58">
        <f>R48/Q48*100</f>
        <v>16.225291985381666</v>
      </c>
      <c r="T48" s="63">
        <f>D90</f>
        <v>22</v>
      </c>
      <c r="U48" s="64">
        <f>Q90</f>
        <v>2.1272058499999993</v>
      </c>
    </row>
    <row r="49" spans="1:22" ht="14.4" customHeight="1" x14ac:dyDescent="0.3">
      <c r="A49" s="18">
        <v>23</v>
      </c>
      <c r="B49" s="30">
        <v>10</v>
      </c>
      <c r="D49" s="77"/>
      <c r="E49" s="17" t="s">
        <v>73</v>
      </c>
      <c r="F49" s="17">
        <f t="shared" ref="F49" si="19">F48</f>
        <v>10</v>
      </c>
      <c r="G49" s="57">
        <v>0.3412</v>
      </c>
      <c r="H49" s="58">
        <v>0.74280000000000002</v>
      </c>
      <c r="I49" s="56"/>
      <c r="J49" s="57">
        <f t="shared" si="1"/>
        <v>0.30209999999999998</v>
      </c>
      <c r="K49" s="58">
        <f t="shared" si="2"/>
        <v>0.70566666666666666</v>
      </c>
      <c r="L49" s="56"/>
      <c r="M49" s="62">
        <f t="shared" si="3"/>
        <v>0.12568333333333331</v>
      </c>
      <c r="N49" s="56">
        <f t="shared" si="4"/>
        <v>8.9192434333333317</v>
      </c>
      <c r="O49" s="58">
        <f t="shared" si="5"/>
        <v>17.838486866666663</v>
      </c>
      <c r="P49" s="56">
        <f t="shared" si="6"/>
        <v>1.7838486866666663</v>
      </c>
      <c r="Q49" s="57"/>
      <c r="R49" s="56"/>
      <c r="S49" s="58"/>
      <c r="T49" s="63">
        <f>D93</f>
        <v>23</v>
      </c>
      <c r="U49" s="64">
        <f>Q93</f>
        <v>2.2039674066666661</v>
      </c>
    </row>
    <row r="50" spans="1:22" ht="14.4" customHeight="1" x14ac:dyDescent="0.3">
      <c r="A50" s="23">
        <v>24</v>
      </c>
      <c r="B50" s="30">
        <v>10</v>
      </c>
      <c r="D50" s="78"/>
      <c r="E50" s="22" t="s">
        <v>74</v>
      </c>
      <c r="F50" s="22">
        <f t="shared" ref="F50" si="20">F48</f>
        <v>10</v>
      </c>
      <c r="G50" s="65">
        <v>0.35870000000000002</v>
      </c>
      <c r="H50" s="66">
        <v>0.71489999999999998</v>
      </c>
      <c r="I50" s="56"/>
      <c r="J50" s="57">
        <f t="shared" si="1"/>
        <v>0.3196</v>
      </c>
      <c r="K50" s="58">
        <f t="shared" si="2"/>
        <v>0.67776666666666663</v>
      </c>
      <c r="L50" s="56"/>
      <c r="M50" s="62">
        <f t="shared" si="3"/>
        <v>0.15015833333333334</v>
      </c>
      <c r="N50" s="56">
        <f t="shared" si="4"/>
        <v>10.656136283333332</v>
      </c>
      <c r="O50" s="58">
        <f t="shared" si="5"/>
        <v>21.312272566666664</v>
      </c>
      <c r="P50" s="56">
        <f t="shared" si="6"/>
        <v>2.1312272566666666</v>
      </c>
      <c r="Q50" s="57"/>
      <c r="R50" s="56"/>
      <c r="S50" s="58"/>
      <c r="T50" s="67">
        <f>D96</f>
        <v>24</v>
      </c>
      <c r="U50" s="68">
        <f>Q96</f>
        <v>2.1721509833333328</v>
      </c>
    </row>
    <row r="51" spans="1:22" ht="14.4" customHeight="1" x14ac:dyDescent="0.3">
      <c r="D51" s="76">
        <f>A35</f>
        <v>9</v>
      </c>
      <c r="E51" s="12" t="s">
        <v>75</v>
      </c>
      <c r="F51" s="12">
        <f>B35</f>
        <v>10</v>
      </c>
      <c r="G51" s="54">
        <v>0.36849999999999999</v>
      </c>
      <c r="H51" s="55">
        <v>0.69530000000000003</v>
      </c>
      <c r="I51" s="56"/>
      <c r="J51" s="57">
        <f t="shared" si="1"/>
        <v>0.32939999999999997</v>
      </c>
      <c r="K51" s="58">
        <f t="shared" si="2"/>
        <v>0.65816666666666668</v>
      </c>
      <c r="L51" s="56"/>
      <c r="M51" s="62">
        <f t="shared" si="3"/>
        <v>0.1648583333333333</v>
      </c>
      <c r="N51" s="56">
        <f t="shared" si="4"/>
        <v>11.69933648333333</v>
      </c>
      <c r="O51" s="58">
        <f t="shared" si="5"/>
        <v>23.398672966666659</v>
      </c>
      <c r="P51" s="56">
        <f t="shared" si="6"/>
        <v>2.3398672966666658</v>
      </c>
      <c r="Q51" s="57">
        <f>AVERAGE(P51:P53)</f>
        <v>1.9344148833333328</v>
      </c>
      <c r="R51" s="56">
        <f>STDEV(P51:P53)</f>
        <v>0.71582758465350282</v>
      </c>
      <c r="S51" s="58">
        <f>R51/Q51*100</f>
        <v>37.004863373466584</v>
      </c>
      <c r="T51" s="56"/>
      <c r="U51" s="56"/>
      <c r="V51" s="56"/>
    </row>
    <row r="52" spans="1:22" ht="14.4" customHeight="1" x14ac:dyDescent="0.3">
      <c r="D52" s="77"/>
      <c r="E52" s="17" t="s">
        <v>76</v>
      </c>
      <c r="F52" s="17">
        <f t="shared" ref="F52" si="21">F51</f>
        <v>10</v>
      </c>
      <c r="G52" s="57">
        <v>0.36259999999999998</v>
      </c>
      <c r="H52" s="58">
        <v>0.6673</v>
      </c>
      <c r="I52" s="56"/>
      <c r="J52" s="57">
        <f t="shared" si="1"/>
        <v>0.32349999999999995</v>
      </c>
      <c r="K52" s="58">
        <f t="shared" si="2"/>
        <v>0.63016666666666665</v>
      </c>
      <c r="L52" s="56"/>
      <c r="M52" s="62">
        <f t="shared" si="3"/>
        <v>0.16595833333333329</v>
      </c>
      <c r="N52" s="56">
        <f t="shared" si="4"/>
        <v>11.777399083333329</v>
      </c>
      <c r="O52" s="58">
        <f t="shared" si="5"/>
        <v>23.554798166666657</v>
      </c>
      <c r="P52" s="56">
        <f t="shared" si="6"/>
        <v>2.3554798166666657</v>
      </c>
      <c r="Q52" s="57"/>
      <c r="R52" s="56"/>
      <c r="S52" s="58"/>
      <c r="T52" s="56"/>
    </row>
    <row r="53" spans="1:22" ht="14.4" customHeight="1" x14ac:dyDescent="0.3">
      <c r="D53" s="78"/>
      <c r="E53" s="22" t="s">
        <v>77</v>
      </c>
      <c r="F53" s="22">
        <f t="shared" ref="F53" si="22">F51</f>
        <v>10</v>
      </c>
      <c r="G53" s="65">
        <v>0.2828</v>
      </c>
      <c r="H53" s="66">
        <v>0.69969999999999999</v>
      </c>
      <c r="I53" s="56"/>
      <c r="J53" s="57">
        <f t="shared" si="1"/>
        <v>0.2437</v>
      </c>
      <c r="K53" s="58">
        <f t="shared" si="2"/>
        <v>0.66256666666666664</v>
      </c>
      <c r="L53" s="56"/>
      <c r="M53" s="62">
        <f t="shared" si="3"/>
        <v>7.8058333333333341E-2</v>
      </c>
      <c r="N53" s="56">
        <f t="shared" si="4"/>
        <v>5.5394876833333333</v>
      </c>
      <c r="O53" s="58">
        <f t="shared" si="5"/>
        <v>11.078975366666667</v>
      </c>
      <c r="P53" s="56">
        <f t="shared" si="6"/>
        <v>1.1078975366666666</v>
      </c>
      <c r="Q53" s="57"/>
      <c r="R53" s="56"/>
      <c r="S53" s="58"/>
      <c r="T53" s="56"/>
    </row>
    <row r="54" spans="1:22" ht="14.4" customHeight="1" x14ac:dyDescent="0.3">
      <c r="D54" s="76">
        <f>A36</f>
        <v>10</v>
      </c>
      <c r="E54" s="12" t="s">
        <v>78</v>
      </c>
      <c r="F54" s="12">
        <f>B36</f>
        <v>10</v>
      </c>
      <c r="G54" s="54">
        <v>0.31690000000000002</v>
      </c>
      <c r="H54" s="55">
        <v>0.77539999999999998</v>
      </c>
      <c r="I54" s="56"/>
      <c r="J54" s="57">
        <f t="shared" si="1"/>
        <v>0.27779999999999999</v>
      </c>
      <c r="K54" s="58">
        <f t="shared" si="2"/>
        <v>0.73826666666666663</v>
      </c>
      <c r="L54" s="56"/>
      <c r="M54" s="62">
        <f t="shared" si="3"/>
        <v>9.3233333333333335E-2</v>
      </c>
      <c r="N54" s="56">
        <f t="shared" si="4"/>
        <v>6.6163967333333327</v>
      </c>
      <c r="O54" s="58">
        <f t="shared" si="5"/>
        <v>13.232793466666665</v>
      </c>
      <c r="P54" s="56">
        <f t="shared" si="6"/>
        <v>1.3232793466666666</v>
      </c>
      <c r="Q54" s="57">
        <f>AVERAGE(P54:P56)</f>
        <v>1.6266589966666665</v>
      </c>
      <c r="R54" s="56">
        <f>STDEV(P54:P56)</f>
        <v>0.80199657470844432</v>
      </c>
      <c r="S54" s="58">
        <f>R54/Q54*100</f>
        <v>49.303300590467195</v>
      </c>
      <c r="T54" s="56"/>
    </row>
    <row r="55" spans="1:22" ht="14.4" customHeight="1" x14ac:dyDescent="0.3">
      <c r="D55" s="77"/>
      <c r="E55" s="17" t="s">
        <v>79</v>
      </c>
      <c r="F55" s="17">
        <f t="shared" ref="F55" si="23">F54</f>
        <v>10</v>
      </c>
      <c r="G55" s="57">
        <v>0.39300000000000002</v>
      </c>
      <c r="H55" s="58">
        <v>0.73799999999999999</v>
      </c>
      <c r="I55" s="56"/>
      <c r="J55" s="57">
        <f t="shared" si="1"/>
        <v>0.35389999999999999</v>
      </c>
      <c r="K55" s="58">
        <f t="shared" si="2"/>
        <v>0.70086666666666664</v>
      </c>
      <c r="L55" s="56"/>
      <c r="M55" s="62">
        <f t="shared" si="3"/>
        <v>0.17868333333333333</v>
      </c>
      <c r="N55" s="56">
        <f t="shared" si="4"/>
        <v>12.680441433333332</v>
      </c>
      <c r="O55" s="58">
        <f t="shared" si="5"/>
        <v>25.360882866666664</v>
      </c>
      <c r="P55" s="56">
        <f t="shared" si="6"/>
        <v>2.5360882866666663</v>
      </c>
      <c r="Q55" s="57"/>
      <c r="R55" s="56"/>
      <c r="S55" s="58"/>
      <c r="T55" s="56"/>
    </row>
    <row r="56" spans="1:22" ht="14.4" customHeight="1" x14ac:dyDescent="0.3">
      <c r="D56" s="78"/>
      <c r="E56" s="22" t="s">
        <v>80</v>
      </c>
      <c r="F56" s="22">
        <f t="shared" ref="F56" si="24">F54</f>
        <v>10</v>
      </c>
      <c r="G56" s="65">
        <v>0.3075</v>
      </c>
      <c r="H56" s="66">
        <v>0.82310000000000005</v>
      </c>
      <c r="I56" s="56"/>
      <c r="J56" s="57">
        <f t="shared" si="1"/>
        <v>0.26839999999999997</v>
      </c>
      <c r="K56" s="58">
        <f t="shared" si="2"/>
        <v>0.7859666666666667</v>
      </c>
      <c r="L56" s="56"/>
      <c r="M56" s="62">
        <f t="shared" si="3"/>
        <v>7.1908333333333296E-2</v>
      </c>
      <c r="N56" s="56">
        <f t="shared" si="4"/>
        <v>5.1030467833333306</v>
      </c>
      <c r="O56" s="58">
        <f t="shared" si="5"/>
        <v>10.206093566666661</v>
      </c>
      <c r="P56" s="56">
        <f t="shared" si="6"/>
        <v>1.0206093566666661</v>
      </c>
      <c r="Q56" s="57"/>
      <c r="R56" s="56"/>
      <c r="S56" s="58"/>
      <c r="T56" s="56"/>
    </row>
    <row r="57" spans="1:22" ht="14.4" customHeight="1" x14ac:dyDescent="0.3">
      <c r="D57" s="76">
        <f>A37</f>
        <v>11</v>
      </c>
      <c r="E57" s="12" t="s">
        <v>81</v>
      </c>
      <c r="F57" s="12">
        <f>B37</f>
        <v>10</v>
      </c>
      <c r="G57" s="54">
        <v>5.0999999999999997E-2</v>
      </c>
      <c r="H57" s="55">
        <v>4.8300000000000003E-2</v>
      </c>
      <c r="I57" s="56"/>
      <c r="J57" s="57">
        <f t="shared" si="1"/>
        <v>1.1899999999999994E-2</v>
      </c>
      <c r="K57" s="58">
        <f t="shared" si="2"/>
        <v>1.1166666666666672E-2</v>
      </c>
      <c r="L57" s="56"/>
      <c r="M57" s="62">
        <f t="shared" si="3"/>
        <v>9.1083333333333259E-3</v>
      </c>
      <c r="N57" s="56">
        <f t="shared" si="4"/>
        <v>0.64638198333333274</v>
      </c>
      <c r="O57" s="58">
        <f t="shared" si="5"/>
        <v>1.2927639666666655</v>
      </c>
      <c r="P57" s="56">
        <f t="shared" si="6"/>
        <v>0.12927639666666654</v>
      </c>
      <c r="Q57" s="57">
        <f>AVERAGE(P57:P59)</f>
        <v>0.13483539999999991</v>
      </c>
      <c r="R57" s="56">
        <f>STDEV(P57:P59)</f>
        <v>4.8175060588684033E-3</v>
      </c>
      <c r="S57" s="58">
        <f>R57/Q57*100</f>
        <v>3.5728792727046508</v>
      </c>
      <c r="T57" s="56"/>
    </row>
    <row r="58" spans="1:22" ht="14.4" customHeight="1" x14ac:dyDescent="0.3">
      <c r="D58" s="77"/>
      <c r="E58" s="17" t="s">
        <v>82</v>
      </c>
      <c r="F58" s="17">
        <f t="shared" ref="F58" si="25">F57</f>
        <v>10</v>
      </c>
      <c r="G58" s="57">
        <v>5.1799999999999999E-2</v>
      </c>
      <c r="H58" s="58">
        <v>4.9200000000000001E-2</v>
      </c>
      <c r="I58" s="56"/>
      <c r="J58" s="57">
        <f t="shared" si="1"/>
        <v>1.2699999999999996E-2</v>
      </c>
      <c r="K58" s="58">
        <f t="shared" si="2"/>
        <v>1.206666666666667E-2</v>
      </c>
      <c r="L58" s="56"/>
      <c r="M58" s="62">
        <f t="shared" si="3"/>
        <v>9.6833333333333285E-3</v>
      </c>
      <c r="N58" s="56">
        <f t="shared" si="4"/>
        <v>0.68718743333333299</v>
      </c>
      <c r="O58" s="58">
        <f t="shared" si="5"/>
        <v>1.374374866666666</v>
      </c>
      <c r="P58" s="56">
        <f t="shared" si="6"/>
        <v>0.13743748666666661</v>
      </c>
      <c r="Q58" s="57"/>
      <c r="R58" s="56"/>
      <c r="S58" s="58"/>
      <c r="T58" s="56"/>
    </row>
    <row r="59" spans="1:22" ht="14.4" customHeight="1" x14ac:dyDescent="0.3">
      <c r="D59" s="78"/>
      <c r="E59" s="22" t="s">
        <v>83</v>
      </c>
      <c r="F59" s="22">
        <f t="shared" ref="F59" si="26">F57</f>
        <v>10</v>
      </c>
      <c r="G59" s="65">
        <v>5.1900000000000002E-2</v>
      </c>
      <c r="H59" s="66">
        <v>4.9500000000000002E-2</v>
      </c>
      <c r="I59" s="56"/>
      <c r="J59" s="57">
        <f t="shared" si="1"/>
        <v>1.2799999999999999E-2</v>
      </c>
      <c r="K59" s="58">
        <f t="shared" si="2"/>
        <v>1.2366666666666672E-2</v>
      </c>
      <c r="L59" s="56"/>
      <c r="M59" s="62">
        <f t="shared" si="3"/>
        <v>9.708333333333331E-3</v>
      </c>
      <c r="N59" s="56">
        <f t="shared" si="4"/>
        <v>0.68896158333333313</v>
      </c>
      <c r="O59" s="58">
        <f t="shared" si="5"/>
        <v>1.3779231666666663</v>
      </c>
      <c r="P59" s="56">
        <f t="shared" si="6"/>
        <v>0.13779231666666664</v>
      </c>
      <c r="Q59" s="57"/>
      <c r="R59" s="56"/>
      <c r="S59" s="58"/>
      <c r="T59" s="56"/>
    </row>
    <row r="60" spans="1:22" ht="14.4" customHeight="1" x14ac:dyDescent="0.3">
      <c r="D60" s="76">
        <f>A38</f>
        <v>12</v>
      </c>
      <c r="E60" s="12" t="s">
        <v>84</v>
      </c>
      <c r="F60" s="12">
        <f>B38</f>
        <v>10</v>
      </c>
      <c r="G60" s="54">
        <v>0.05</v>
      </c>
      <c r="H60" s="55">
        <v>4.7699999999999999E-2</v>
      </c>
      <c r="I60" s="56"/>
      <c r="J60" s="57">
        <f t="shared" si="1"/>
        <v>1.09E-2</v>
      </c>
      <c r="K60" s="58">
        <f t="shared" si="2"/>
        <v>1.0566666666666669E-2</v>
      </c>
      <c r="L60" s="56"/>
      <c r="M60" s="62">
        <f t="shared" si="3"/>
        <v>8.2583333333333328E-3</v>
      </c>
      <c r="N60" s="56">
        <f t="shared" si="4"/>
        <v>0.58606088333333328</v>
      </c>
      <c r="O60" s="58">
        <f t="shared" si="5"/>
        <v>1.1721217666666666</v>
      </c>
      <c r="P60" s="56">
        <f t="shared" si="6"/>
        <v>0.11721217666666665</v>
      </c>
      <c r="Q60" s="57">
        <f>AVERAGE(P60:P62)</f>
        <v>0.13010433333333329</v>
      </c>
      <c r="R60" s="56">
        <f>STDEV(P60:P62)</f>
        <v>1.1662703088119515E-2</v>
      </c>
      <c r="S60" s="58">
        <f>R60/Q60*100</f>
        <v>8.9641157902397719</v>
      </c>
      <c r="T60" s="56"/>
    </row>
    <row r="61" spans="1:22" ht="14.4" customHeight="1" x14ac:dyDescent="0.3">
      <c r="D61" s="77"/>
      <c r="E61" s="17" t="s">
        <v>85</v>
      </c>
      <c r="F61" s="17">
        <f t="shared" ref="F61" si="27">F60</f>
        <v>10</v>
      </c>
      <c r="G61" s="57">
        <v>5.1999999999999998E-2</v>
      </c>
      <c r="H61" s="58">
        <v>4.9299999999999997E-2</v>
      </c>
      <c r="I61" s="56"/>
      <c r="J61" s="57">
        <f t="shared" si="1"/>
        <v>1.2899999999999995E-2</v>
      </c>
      <c r="K61" s="58">
        <f t="shared" si="2"/>
        <v>1.2166666666666666E-2</v>
      </c>
      <c r="L61" s="56"/>
      <c r="M61" s="62">
        <f t="shared" si="3"/>
        <v>9.8583333333333283E-3</v>
      </c>
      <c r="N61" s="56">
        <f t="shared" si="4"/>
        <v>0.69960648333333297</v>
      </c>
      <c r="O61" s="58">
        <f t="shared" si="5"/>
        <v>1.3992129666666659</v>
      </c>
      <c r="P61" s="56">
        <f t="shared" si="6"/>
        <v>0.13992129666666658</v>
      </c>
      <c r="Q61" s="57"/>
      <c r="R61" s="56"/>
      <c r="S61" s="58"/>
      <c r="T61" s="56"/>
    </row>
    <row r="62" spans="1:22" ht="14.4" customHeight="1" x14ac:dyDescent="0.3">
      <c r="D62" s="78"/>
      <c r="E62" s="22" t="s">
        <v>86</v>
      </c>
      <c r="F62" s="22">
        <f t="shared" ref="F62" si="28">F60</f>
        <v>10</v>
      </c>
      <c r="G62" s="65">
        <v>5.1299999999999998E-2</v>
      </c>
      <c r="H62" s="66">
        <v>4.8399999999999999E-2</v>
      </c>
      <c r="I62" s="56"/>
      <c r="J62" s="57">
        <f t="shared" si="1"/>
        <v>1.2199999999999996E-2</v>
      </c>
      <c r="K62" s="58">
        <f t="shared" si="2"/>
        <v>1.1266666666666668E-2</v>
      </c>
      <c r="L62" s="56"/>
      <c r="M62" s="62">
        <f t="shared" si="3"/>
        <v>9.3833333333333286E-3</v>
      </c>
      <c r="N62" s="56">
        <f t="shared" si="4"/>
        <v>0.66589763333333296</v>
      </c>
      <c r="O62" s="58">
        <f t="shared" si="5"/>
        <v>1.3317952666666659</v>
      </c>
      <c r="P62" s="56">
        <f t="shared" si="6"/>
        <v>0.1331795266666666</v>
      </c>
      <c r="Q62" s="57"/>
      <c r="R62" s="56"/>
      <c r="S62" s="58"/>
      <c r="T62" s="56"/>
    </row>
    <row r="63" spans="1:22" ht="14.4" customHeight="1" x14ac:dyDescent="0.3">
      <c r="D63" s="76">
        <f>A39</f>
        <v>13</v>
      </c>
      <c r="E63" s="12" t="s">
        <v>87</v>
      </c>
      <c r="F63" s="12">
        <f>B39</f>
        <v>10</v>
      </c>
      <c r="G63" s="54">
        <v>0.30330000000000001</v>
      </c>
      <c r="H63" s="55">
        <v>0.67069999999999996</v>
      </c>
      <c r="I63" s="56"/>
      <c r="J63" s="57">
        <f t="shared" si="1"/>
        <v>0.26419999999999999</v>
      </c>
      <c r="K63" s="58">
        <f t="shared" si="2"/>
        <v>0.63356666666666661</v>
      </c>
      <c r="L63" s="56"/>
      <c r="M63" s="62">
        <f t="shared" si="3"/>
        <v>0.10580833333333334</v>
      </c>
      <c r="N63" s="56">
        <f t="shared" si="4"/>
        <v>7.5087941833333334</v>
      </c>
      <c r="O63" s="58">
        <f t="shared" si="5"/>
        <v>15.017588366666667</v>
      </c>
      <c r="P63" s="56">
        <f t="shared" si="6"/>
        <v>1.5017588366666668</v>
      </c>
      <c r="Q63" s="57">
        <f>AVERAGE(P63:P65)</f>
        <v>1.5554564433333331</v>
      </c>
      <c r="R63" s="56">
        <f>STDEV(P63:P65)</f>
        <v>0.21757107766186398</v>
      </c>
      <c r="S63" s="58">
        <f>R63/Q63*100</f>
        <v>13.987603355553343</v>
      </c>
      <c r="T63" s="56"/>
    </row>
    <row r="64" spans="1:22" ht="14.4" customHeight="1" x14ac:dyDescent="0.3">
      <c r="D64" s="77"/>
      <c r="E64" s="17" t="s">
        <v>88</v>
      </c>
      <c r="F64" s="17">
        <f t="shared" ref="F64" si="29">F63</f>
        <v>10</v>
      </c>
      <c r="G64" s="57">
        <v>0.32150000000000001</v>
      </c>
      <c r="H64" s="58">
        <v>0.66090000000000004</v>
      </c>
      <c r="I64" s="56"/>
      <c r="J64" s="57">
        <f t="shared" si="1"/>
        <v>0.28239999999999998</v>
      </c>
      <c r="K64" s="58">
        <f t="shared" si="2"/>
        <v>0.62376666666666669</v>
      </c>
      <c r="L64" s="56"/>
      <c r="M64" s="62">
        <f t="shared" si="3"/>
        <v>0.12645833333333331</v>
      </c>
      <c r="N64" s="56">
        <f t="shared" si="4"/>
        <v>8.9742420833333316</v>
      </c>
      <c r="O64" s="58">
        <f t="shared" si="5"/>
        <v>17.948484166666663</v>
      </c>
      <c r="P64" s="56">
        <f t="shared" si="6"/>
        <v>1.7948484166666663</v>
      </c>
      <c r="Q64" s="57"/>
      <c r="R64" s="56"/>
      <c r="S64" s="58"/>
      <c r="T64" s="56"/>
    </row>
    <row r="65" spans="4:20" ht="14.4" customHeight="1" x14ac:dyDescent="0.3">
      <c r="D65" s="78"/>
      <c r="E65" s="22" t="s">
        <v>89</v>
      </c>
      <c r="F65" s="22">
        <f t="shared" ref="F65" si="30">F63</f>
        <v>10</v>
      </c>
      <c r="G65" s="65">
        <v>0.29220000000000002</v>
      </c>
      <c r="H65" s="66">
        <v>0.66349999999999998</v>
      </c>
      <c r="I65" s="56"/>
      <c r="J65" s="57">
        <f t="shared" si="1"/>
        <v>0.25309999999999999</v>
      </c>
      <c r="K65" s="58">
        <f t="shared" si="2"/>
        <v>0.62636666666666663</v>
      </c>
      <c r="L65" s="56"/>
      <c r="M65" s="62">
        <f t="shared" si="3"/>
        <v>9.6508333333333335E-2</v>
      </c>
      <c r="N65" s="56">
        <f t="shared" si="4"/>
        <v>6.8488103833333325</v>
      </c>
      <c r="O65" s="58">
        <f t="shared" si="5"/>
        <v>13.697620766666665</v>
      </c>
      <c r="P65" s="56">
        <f t="shared" si="6"/>
        <v>1.3697620766666665</v>
      </c>
      <c r="Q65" s="57"/>
      <c r="R65" s="56"/>
      <c r="S65" s="58"/>
      <c r="T65" s="56"/>
    </row>
    <row r="66" spans="4:20" ht="14.4" customHeight="1" x14ac:dyDescent="0.3">
      <c r="D66" s="76">
        <f>A40</f>
        <v>14</v>
      </c>
      <c r="E66" s="12" t="s">
        <v>90</v>
      </c>
      <c r="F66" s="12">
        <f>B40</f>
        <v>10</v>
      </c>
      <c r="G66" s="54">
        <v>0.37469999999999998</v>
      </c>
      <c r="H66" s="55">
        <v>0.63749999999999996</v>
      </c>
      <c r="I66" s="56"/>
      <c r="J66" s="57">
        <f t="shared" si="1"/>
        <v>0.33559999999999995</v>
      </c>
      <c r="K66" s="58">
        <f t="shared" si="2"/>
        <v>0.6003666666666666</v>
      </c>
      <c r="L66" s="56"/>
      <c r="M66" s="62">
        <f t="shared" si="3"/>
        <v>0.1855083333333333</v>
      </c>
      <c r="N66" s="56">
        <f t="shared" si="4"/>
        <v>13.16478438333333</v>
      </c>
      <c r="O66" s="58">
        <f t="shared" si="5"/>
        <v>26.329568766666661</v>
      </c>
      <c r="P66" s="56">
        <f t="shared" si="6"/>
        <v>2.632956876666666</v>
      </c>
      <c r="Q66" s="57">
        <f>AVERAGE(P66:P68)</f>
        <v>2.29894357</v>
      </c>
      <c r="R66" s="56">
        <f>STDEV(P66:P68)</f>
        <v>0.30750013552127076</v>
      </c>
      <c r="S66" s="58">
        <f>R66/Q66*100</f>
        <v>13.375714808052933</v>
      </c>
      <c r="T66" s="56"/>
    </row>
    <row r="67" spans="4:20" ht="14.4" customHeight="1" x14ac:dyDescent="0.3">
      <c r="D67" s="77"/>
      <c r="E67" s="17" t="s">
        <v>91</v>
      </c>
      <c r="F67" s="17">
        <f t="shared" ref="F67" si="31">F66</f>
        <v>10</v>
      </c>
      <c r="G67" s="57">
        <v>0.34010000000000001</v>
      </c>
      <c r="H67" s="58">
        <v>0.6109</v>
      </c>
      <c r="I67" s="56"/>
      <c r="J67" s="57">
        <f t="shared" si="1"/>
        <v>0.30099999999999999</v>
      </c>
      <c r="K67" s="58">
        <f t="shared" si="2"/>
        <v>0.57376666666666665</v>
      </c>
      <c r="L67" s="56"/>
      <c r="M67" s="62">
        <f t="shared" si="3"/>
        <v>0.15755833333333333</v>
      </c>
      <c r="N67" s="56">
        <f t="shared" si="4"/>
        <v>11.181284683333333</v>
      </c>
      <c r="O67" s="58">
        <f t="shared" si="5"/>
        <v>22.362569366666666</v>
      </c>
      <c r="P67" s="56">
        <f t="shared" si="6"/>
        <v>2.2362569366666665</v>
      </c>
      <c r="Q67" s="57"/>
      <c r="R67" s="56"/>
      <c r="S67" s="58"/>
      <c r="T67" s="56"/>
    </row>
    <row r="68" spans="4:20" ht="14.4" customHeight="1" x14ac:dyDescent="0.3">
      <c r="D68" s="78"/>
      <c r="E68" s="22" t="s">
        <v>92</v>
      </c>
      <c r="F68" s="22">
        <f t="shared" ref="F68" si="32">F66</f>
        <v>10</v>
      </c>
      <c r="G68" s="65">
        <v>0.32540000000000002</v>
      </c>
      <c r="H68" s="66">
        <v>0.6109</v>
      </c>
      <c r="I68" s="56"/>
      <c r="J68" s="57">
        <f t="shared" si="1"/>
        <v>0.2863</v>
      </c>
      <c r="K68" s="58">
        <f t="shared" si="2"/>
        <v>0.57376666666666665</v>
      </c>
      <c r="L68" s="56"/>
      <c r="M68" s="62">
        <f t="shared" si="3"/>
        <v>0.14285833333333334</v>
      </c>
      <c r="N68" s="56">
        <f t="shared" si="4"/>
        <v>10.138084483333333</v>
      </c>
      <c r="O68" s="58">
        <f t="shared" si="5"/>
        <v>20.276168966666667</v>
      </c>
      <c r="P68" s="56">
        <f t="shared" si="6"/>
        <v>2.0276168966666668</v>
      </c>
      <c r="Q68" s="57"/>
      <c r="R68" s="56"/>
      <c r="S68" s="58"/>
      <c r="T68" s="56"/>
    </row>
    <row r="69" spans="4:20" ht="14.4" customHeight="1" x14ac:dyDescent="0.3">
      <c r="D69" s="76">
        <f>A41</f>
        <v>15</v>
      </c>
      <c r="E69" s="12" t="s">
        <v>93</v>
      </c>
      <c r="F69" s="12">
        <f>B41</f>
        <v>10</v>
      </c>
      <c r="G69" s="54">
        <v>0.3705</v>
      </c>
      <c r="H69" s="55">
        <v>0.75170000000000003</v>
      </c>
      <c r="I69" s="56"/>
      <c r="J69" s="57">
        <f t="shared" si="1"/>
        <v>0.33139999999999997</v>
      </c>
      <c r="K69" s="58">
        <f t="shared" si="2"/>
        <v>0.71456666666666668</v>
      </c>
      <c r="L69" s="56"/>
      <c r="M69" s="62">
        <f t="shared" si="3"/>
        <v>0.1527583333333333</v>
      </c>
      <c r="N69" s="56">
        <f t="shared" si="4"/>
        <v>10.840647883333331</v>
      </c>
      <c r="O69" s="58">
        <f t="shared" si="5"/>
        <v>21.681295766666661</v>
      </c>
      <c r="P69" s="56">
        <f t="shared" si="6"/>
        <v>2.1681295766666659</v>
      </c>
      <c r="Q69" s="57">
        <f>AVERAGE(P69:P71)</f>
        <v>2.3113626199999993</v>
      </c>
      <c r="R69" s="56">
        <f>STDEV(P69:P71)</f>
        <v>0.38309684525669124</v>
      </c>
      <c r="S69" s="58">
        <f>R69/Q69*100</f>
        <v>16.574502068251469</v>
      </c>
      <c r="T69" s="56"/>
    </row>
    <row r="70" spans="4:20" ht="14.4" customHeight="1" x14ac:dyDescent="0.3">
      <c r="D70" s="77"/>
      <c r="E70" s="17" t="s">
        <v>94</v>
      </c>
      <c r="F70" s="17">
        <f t="shared" ref="F70" si="33">F69</f>
        <v>10</v>
      </c>
      <c r="G70" s="57">
        <v>0.35199999999999998</v>
      </c>
      <c r="H70" s="58">
        <v>0.71930000000000005</v>
      </c>
      <c r="I70" s="56"/>
      <c r="J70" s="57">
        <f t="shared" si="1"/>
        <v>0.31289999999999996</v>
      </c>
      <c r="K70" s="58">
        <f t="shared" si="2"/>
        <v>0.6821666666666667</v>
      </c>
      <c r="L70" s="56"/>
      <c r="M70" s="62">
        <f t="shared" si="3"/>
        <v>0.14235833333333328</v>
      </c>
      <c r="N70" s="56">
        <f t="shared" si="4"/>
        <v>10.102601483333329</v>
      </c>
      <c r="O70" s="58">
        <f t="shared" si="5"/>
        <v>20.205202966666658</v>
      </c>
      <c r="P70" s="56">
        <f t="shared" si="6"/>
        <v>2.0205202966666658</v>
      </c>
      <c r="Q70" s="57"/>
      <c r="R70" s="56"/>
      <c r="S70" s="58"/>
      <c r="T70" s="56"/>
    </row>
    <row r="71" spans="4:20" ht="14.4" customHeight="1" x14ac:dyDescent="0.3">
      <c r="D71" s="78"/>
      <c r="E71" s="22" t="s">
        <v>95</v>
      </c>
      <c r="F71" s="22">
        <f t="shared" ref="F71" si="34">F69</f>
        <v>10</v>
      </c>
      <c r="G71" s="65">
        <v>0.40339999999999998</v>
      </c>
      <c r="H71" s="66">
        <v>0.72060000000000002</v>
      </c>
      <c r="I71" s="56"/>
      <c r="J71" s="57">
        <f t="shared" si="1"/>
        <v>0.36429999999999996</v>
      </c>
      <c r="K71" s="58">
        <f t="shared" si="2"/>
        <v>0.68346666666666667</v>
      </c>
      <c r="L71" s="56"/>
      <c r="M71" s="62">
        <f t="shared" si="3"/>
        <v>0.19343333333333329</v>
      </c>
      <c r="N71" s="56">
        <f t="shared" si="4"/>
        <v>13.72718993333333</v>
      </c>
      <c r="O71" s="58">
        <f t="shared" si="5"/>
        <v>27.45437986666666</v>
      </c>
      <c r="P71" s="56">
        <f t="shared" si="6"/>
        <v>2.7454379866666661</v>
      </c>
      <c r="Q71" s="57"/>
      <c r="R71" s="56"/>
      <c r="S71" s="58"/>
      <c r="T71" s="56"/>
    </row>
    <row r="72" spans="4:20" ht="14.4" customHeight="1" x14ac:dyDescent="0.3">
      <c r="D72" s="76">
        <f>A42</f>
        <v>16</v>
      </c>
      <c r="E72" s="12" t="s">
        <v>96</v>
      </c>
      <c r="F72" s="12">
        <f>B42</f>
        <v>10</v>
      </c>
      <c r="G72" s="54">
        <v>0.38200000000000001</v>
      </c>
      <c r="H72" s="55">
        <v>0.78759999999999997</v>
      </c>
      <c r="I72" s="56"/>
      <c r="J72" s="57">
        <f t="shared" si="1"/>
        <v>0.34289999999999998</v>
      </c>
      <c r="K72" s="58">
        <f t="shared" si="2"/>
        <v>0.75046666666666662</v>
      </c>
      <c r="L72" s="56"/>
      <c r="M72" s="62">
        <f t="shared" si="3"/>
        <v>0.15528333333333333</v>
      </c>
      <c r="N72" s="56">
        <f t="shared" si="4"/>
        <v>11.019837033333332</v>
      </c>
      <c r="O72" s="58">
        <f t="shared" si="5"/>
        <v>22.039674066666663</v>
      </c>
      <c r="P72" s="56">
        <f t="shared" si="6"/>
        <v>2.2039674066666661</v>
      </c>
      <c r="Q72" s="57">
        <f>AVERAGE(P72:P74)</f>
        <v>1.9332321166666666</v>
      </c>
      <c r="R72" s="56">
        <f>STDEV(P72:P74)</f>
        <v>0.38384324647051954</v>
      </c>
      <c r="S72" s="58">
        <f>R72/Q72*100</f>
        <v>19.855000502079019</v>
      </c>
      <c r="T72" s="56"/>
    </row>
    <row r="73" spans="4:20" ht="14.4" customHeight="1" x14ac:dyDescent="0.3">
      <c r="D73" s="77"/>
      <c r="E73" s="17" t="s">
        <v>97</v>
      </c>
      <c r="F73" s="17">
        <f t="shared" ref="F73" si="35">F72</f>
        <v>10</v>
      </c>
      <c r="G73" s="57">
        <v>0.3705</v>
      </c>
      <c r="H73" s="58">
        <v>0.77039999999999997</v>
      </c>
      <c r="I73" s="56"/>
      <c r="J73" s="57">
        <f t="shared" si="1"/>
        <v>0.33139999999999997</v>
      </c>
      <c r="K73" s="58">
        <f t="shared" si="2"/>
        <v>0.73326666666666662</v>
      </c>
      <c r="L73" s="56"/>
      <c r="M73" s="62">
        <f t="shared" si="3"/>
        <v>0.14808333333333332</v>
      </c>
      <c r="N73" s="56">
        <f t="shared" si="4"/>
        <v>10.508881833333332</v>
      </c>
      <c r="O73" s="58">
        <f t="shared" si="5"/>
        <v>21.017763666666664</v>
      </c>
      <c r="P73" s="56">
        <f t="shared" si="6"/>
        <v>2.1017763666666665</v>
      </c>
      <c r="Q73" s="57"/>
      <c r="R73" s="56"/>
      <c r="S73" s="58"/>
      <c r="T73" s="56"/>
    </row>
    <row r="74" spans="4:20" ht="14.4" customHeight="1" x14ac:dyDescent="0.3">
      <c r="D74" s="78"/>
      <c r="E74" s="22" t="s">
        <v>98</v>
      </c>
      <c r="F74" s="22">
        <f t="shared" ref="F74" si="36">F72</f>
        <v>10</v>
      </c>
      <c r="G74" s="65">
        <v>0.33250000000000002</v>
      </c>
      <c r="H74" s="66">
        <v>0.78969999999999996</v>
      </c>
      <c r="I74" s="56"/>
      <c r="J74" s="57">
        <f t="shared" si="1"/>
        <v>0.29339999999999999</v>
      </c>
      <c r="K74" s="58">
        <f t="shared" si="2"/>
        <v>0.75256666666666661</v>
      </c>
      <c r="L74" s="56"/>
      <c r="M74" s="62">
        <f t="shared" si="3"/>
        <v>0.10525833333333334</v>
      </c>
      <c r="N74" s="56">
        <f t="shared" si="4"/>
        <v>7.4697628833333329</v>
      </c>
      <c r="O74" s="58">
        <f t="shared" si="5"/>
        <v>14.939525766666666</v>
      </c>
      <c r="P74" s="56">
        <f t="shared" si="6"/>
        <v>1.4939525766666666</v>
      </c>
      <c r="Q74" s="57"/>
      <c r="R74" s="56"/>
      <c r="S74" s="58"/>
      <c r="T74" s="56"/>
    </row>
    <row r="75" spans="4:20" ht="14.4" customHeight="1" x14ac:dyDescent="0.3">
      <c r="D75" s="76">
        <f>A43</f>
        <v>17</v>
      </c>
      <c r="E75" s="12" t="s">
        <v>99</v>
      </c>
      <c r="F75" s="12">
        <f>B43</f>
        <v>10</v>
      </c>
      <c r="G75" s="54">
        <v>0.375</v>
      </c>
      <c r="H75" s="55">
        <v>0.75209999999999999</v>
      </c>
      <c r="I75" s="56"/>
      <c r="J75" s="57">
        <f t="shared" si="1"/>
        <v>0.33589999999999998</v>
      </c>
      <c r="K75" s="58">
        <f t="shared" si="2"/>
        <v>0.71496666666666664</v>
      </c>
      <c r="L75" s="56"/>
      <c r="M75" s="62">
        <f t="shared" si="3"/>
        <v>0.15715833333333332</v>
      </c>
      <c r="N75" s="56">
        <f t="shared" si="4"/>
        <v>11.152898283333331</v>
      </c>
      <c r="O75" s="58">
        <f t="shared" si="5"/>
        <v>22.305796566666661</v>
      </c>
      <c r="P75" s="56">
        <f t="shared" si="6"/>
        <v>2.230579656666666</v>
      </c>
      <c r="Q75" s="57">
        <f>AVERAGE(P75:P77)</f>
        <v>1.6459380933333332</v>
      </c>
      <c r="R75" s="56">
        <f>STDEV(P75:P77)</f>
        <v>0.51648920401908927</v>
      </c>
      <c r="S75" s="58">
        <f>R75/Q75*100</f>
        <v>31.379625157900186</v>
      </c>
      <c r="T75" s="56"/>
    </row>
    <row r="76" spans="4:20" ht="14.4" customHeight="1" x14ac:dyDescent="0.3">
      <c r="D76" s="77"/>
      <c r="E76" s="17" t="s">
        <v>100</v>
      </c>
      <c r="F76" s="17">
        <f t="shared" ref="F76" si="37">F75</f>
        <v>10</v>
      </c>
      <c r="G76" s="57">
        <v>0.30990000000000001</v>
      </c>
      <c r="H76" s="58">
        <v>0.76759999999999995</v>
      </c>
      <c r="I76" s="56"/>
      <c r="J76" s="57">
        <f t="shared" si="1"/>
        <v>0.27079999999999999</v>
      </c>
      <c r="K76" s="58">
        <f t="shared" si="2"/>
        <v>0.7304666666666666</v>
      </c>
      <c r="L76" s="56"/>
      <c r="M76" s="62">
        <f t="shared" si="3"/>
        <v>8.8183333333333336E-2</v>
      </c>
      <c r="N76" s="56">
        <f t="shared" si="4"/>
        <v>6.2580184333333326</v>
      </c>
      <c r="O76" s="58">
        <f t="shared" si="5"/>
        <v>12.516036866666665</v>
      </c>
      <c r="P76" s="56">
        <f t="shared" si="6"/>
        <v>1.2516036866666664</v>
      </c>
      <c r="Q76" s="57"/>
      <c r="R76" s="56"/>
      <c r="S76" s="58"/>
      <c r="T76" s="56"/>
    </row>
    <row r="77" spans="4:20" ht="14.4" customHeight="1" x14ac:dyDescent="0.3">
      <c r="D77" s="78"/>
      <c r="E77" s="22" t="s">
        <v>101</v>
      </c>
      <c r="F77" s="22">
        <f t="shared" ref="F77" si="38">F75</f>
        <v>10</v>
      </c>
      <c r="G77" s="65">
        <v>0.32150000000000001</v>
      </c>
      <c r="H77" s="66">
        <v>0.75649999999999995</v>
      </c>
      <c r="I77" s="56"/>
      <c r="J77" s="57">
        <f t="shared" si="1"/>
        <v>0.28239999999999998</v>
      </c>
      <c r="K77" s="58">
        <f t="shared" si="2"/>
        <v>0.7193666666666666</v>
      </c>
      <c r="L77" s="56"/>
      <c r="M77" s="62">
        <f t="shared" si="3"/>
        <v>0.10255833333333333</v>
      </c>
      <c r="N77" s="56">
        <f t="shared" si="4"/>
        <v>7.2781546833333328</v>
      </c>
      <c r="O77" s="58">
        <f t="shared" si="5"/>
        <v>14.556309366666666</v>
      </c>
      <c r="P77" s="56">
        <f t="shared" si="6"/>
        <v>1.4556309366666667</v>
      </c>
      <c r="Q77" s="57"/>
      <c r="R77" s="56"/>
      <c r="S77" s="58"/>
      <c r="T77" s="56"/>
    </row>
    <row r="78" spans="4:20" ht="14.4" customHeight="1" x14ac:dyDescent="0.3">
      <c r="D78" s="76">
        <f>A44</f>
        <v>18</v>
      </c>
      <c r="E78" s="12" t="s">
        <v>102</v>
      </c>
      <c r="F78" s="12">
        <f>B44</f>
        <v>10</v>
      </c>
      <c r="G78" s="54">
        <v>0.35759999999999997</v>
      </c>
      <c r="H78" s="55">
        <v>0.75829999999999997</v>
      </c>
      <c r="I78" s="56"/>
      <c r="J78" s="57">
        <f t="shared" si="1"/>
        <v>0.31849999999999995</v>
      </c>
      <c r="K78" s="58">
        <f t="shared" si="2"/>
        <v>0.72116666666666662</v>
      </c>
      <c r="L78" s="56"/>
      <c r="M78" s="62">
        <f t="shared" si="3"/>
        <v>0.13820833333333329</v>
      </c>
      <c r="N78" s="56">
        <f t="shared" si="4"/>
        <v>9.8080925833333303</v>
      </c>
      <c r="O78" s="58">
        <f t="shared" si="5"/>
        <v>19.616185166666661</v>
      </c>
      <c r="P78" s="56">
        <f t="shared" si="6"/>
        <v>1.961618516666666</v>
      </c>
      <c r="Q78" s="57">
        <f>AVERAGE(P78:P80)</f>
        <v>2.3638774599999999</v>
      </c>
      <c r="R78" s="56">
        <f>STDEV(P78:P80)</f>
        <v>0.38508559564401074</v>
      </c>
      <c r="S78" s="58">
        <f>R78/Q78*100</f>
        <v>16.290421232072273</v>
      </c>
      <c r="T78" s="56"/>
    </row>
    <row r="79" spans="4:20" ht="14.4" customHeight="1" x14ac:dyDescent="0.3">
      <c r="D79" s="77"/>
      <c r="E79" s="17" t="s">
        <v>103</v>
      </c>
      <c r="F79" s="17">
        <f t="shared" ref="F79" si="39">F78</f>
        <v>10</v>
      </c>
      <c r="G79" s="57">
        <v>0.40689999999999998</v>
      </c>
      <c r="H79" s="58">
        <v>0.73919999999999997</v>
      </c>
      <c r="I79" s="56"/>
      <c r="J79" s="57">
        <f t="shared" si="1"/>
        <v>0.36779999999999996</v>
      </c>
      <c r="K79" s="58">
        <f t="shared" si="2"/>
        <v>0.70206666666666662</v>
      </c>
      <c r="L79" s="56"/>
      <c r="M79" s="62">
        <f t="shared" si="3"/>
        <v>0.19228333333333331</v>
      </c>
      <c r="N79" s="56">
        <f t="shared" si="4"/>
        <v>13.64557903333333</v>
      </c>
      <c r="O79" s="58">
        <f t="shared" si="5"/>
        <v>27.291158066666661</v>
      </c>
      <c r="P79" s="56">
        <f t="shared" si="6"/>
        <v>2.7291158066666661</v>
      </c>
      <c r="Q79" s="57"/>
      <c r="R79" s="56"/>
      <c r="S79" s="58"/>
      <c r="T79" s="56"/>
    </row>
    <row r="80" spans="4:20" ht="14.4" customHeight="1" x14ac:dyDescent="0.3">
      <c r="D80" s="78"/>
      <c r="E80" s="22" t="s">
        <v>104</v>
      </c>
      <c r="F80" s="22">
        <f t="shared" ref="F80" si="40">F78</f>
        <v>10</v>
      </c>
      <c r="G80" s="65">
        <v>0.38590000000000002</v>
      </c>
      <c r="H80" s="66">
        <v>0.74770000000000003</v>
      </c>
      <c r="I80" s="56"/>
      <c r="J80" s="57">
        <f t="shared" si="1"/>
        <v>0.3468</v>
      </c>
      <c r="K80" s="58">
        <f t="shared" si="2"/>
        <v>0.71056666666666668</v>
      </c>
      <c r="L80" s="56"/>
      <c r="M80" s="62">
        <f t="shared" si="3"/>
        <v>0.16915833333333333</v>
      </c>
      <c r="N80" s="56">
        <f t="shared" si="4"/>
        <v>12.004490283333332</v>
      </c>
      <c r="O80" s="58">
        <f t="shared" si="5"/>
        <v>24.008980566666665</v>
      </c>
      <c r="P80" s="56">
        <f t="shared" si="6"/>
        <v>2.4008980566666667</v>
      </c>
      <c r="Q80" s="57"/>
      <c r="R80" s="56"/>
      <c r="S80" s="58"/>
      <c r="T80" s="56"/>
    </row>
    <row r="81" spans="4:20" ht="14.4" customHeight="1" x14ac:dyDescent="0.3">
      <c r="D81" s="76">
        <f>A45</f>
        <v>19</v>
      </c>
      <c r="E81" s="12" t="s">
        <v>105</v>
      </c>
      <c r="F81" s="12">
        <f>B45</f>
        <v>10</v>
      </c>
      <c r="G81" s="54">
        <v>0.3589</v>
      </c>
      <c r="H81" s="55">
        <v>0.71020000000000005</v>
      </c>
      <c r="I81" s="56"/>
      <c r="J81" s="57">
        <f t="shared" si="1"/>
        <v>0.31979999999999997</v>
      </c>
      <c r="K81" s="58">
        <f t="shared" si="2"/>
        <v>0.6730666666666667</v>
      </c>
      <c r="L81" s="56"/>
      <c r="M81" s="62">
        <f t="shared" si="3"/>
        <v>0.1515333333333333</v>
      </c>
      <c r="N81" s="56">
        <f t="shared" si="4"/>
        <v>10.75371453333333</v>
      </c>
      <c r="O81" s="58">
        <f t="shared" si="5"/>
        <v>21.50742906666666</v>
      </c>
      <c r="P81" s="56">
        <f t="shared" si="6"/>
        <v>2.1507429066666659</v>
      </c>
      <c r="Q81" s="57">
        <f>AVERAGE(P81:P83)</f>
        <v>2.3990056299999996</v>
      </c>
      <c r="R81" s="56">
        <f>STDEV(P81:P83)</f>
        <v>0.21506337724683336</v>
      </c>
      <c r="S81" s="58">
        <f>R81/Q81*100</f>
        <v>8.9646883090821845</v>
      </c>
      <c r="T81" s="56"/>
    </row>
    <row r="82" spans="4:20" ht="14.4" customHeight="1" x14ac:dyDescent="0.3">
      <c r="D82" s="77"/>
      <c r="E82" s="17" t="s">
        <v>106</v>
      </c>
      <c r="F82" s="17">
        <f t="shared" ref="F82" si="41">F81</f>
        <v>10</v>
      </c>
      <c r="G82" s="57">
        <v>0.3851</v>
      </c>
      <c r="H82" s="58">
        <v>0.71150000000000002</v>
      </c>
      <c r="I82" s="56"/>
      <c r="J82" s="57">
        <f t="shared" si="1"/>
        <v>0.34599999999999997</v>
      </c>
      <c r="K82" s="58">
        <f t="shared" si="2"/>
        <v>0.67436666666666667</v>
      </c>
      <c r="L82" s="56"/>
      <c r="M82" s="62">
        <f t="shared" si="3"/>
        <v>0.17740833333333331</v>
      </c>
      <c r="N82" s="56">
        <f t="shared" si="4"/>
        <v>12.589959783333331</v>
      </c>
      <c r="O82" s="58">
        <f t="shared" si="5"/>
        <v>25.179919566666662</v>
      </c>
      <c r="P82" s="56">
        <f t="shared" si="6"/>
        <v>2.5179919566666662</v>
      </c>
      <c r="Q82" s="57"/>
      <c r="R82" s="56"/>
      <c r="S82" s="58"/>
      <c r="T82" s="56"/>
    </row>
    <row r="83" spans="4:20" ht="14.4" customHeight="1" x14ac:dyDescent="0.3">
      <c r="D83" s="78"/>
      <c r="E83" s="22" t="s">
        <v>107</v>
      </c>
      <c r="F83" s="22">
        <f t="shared" ref="F83" si="42">F81</f>
        <v>10</v>
      </c>
      <c r="G83" s="65">
        <v>0.38640000000000002</v>
      </c>
      <c r="H83" s="66">
        <v>0.71379999999999999</v>
      </c>
      <c r="I83" s="56"/>
      <c r="J83" s="57">
        <f t="shared" si="1"/>
        <v>0.3473</v>
      </c>
      <c r="K83" s="58">
        <f t="shared" si="2"/>
        <v>0.67666666666666664</v>
      </c>
      <c r="L83" s="56"/>
      <c r="M83" s="62">
        <f t="shared" si="3"/>
        <v>0.17813333333333334</v>
      </c>
      <c r="N83" s="56">
        <f t="shared" si="4"/>
        <v>12.641410133333332</v>
      </c>
      <c r="O83" s="58">
        <f t="shared" si="5"/>
        <v>25.282820266666665</v>
      </c>
      <c r="P83" s="56">
        <f t="shared" si="6"/>
        <v>2.5282820266666666</v>
      </c>
      <c r="Q83" s="57"/>
      <c r="R83" s="56"/>
      <c r="S83" s="58"/>
      <c r="T83" s="56"/>
    </row>
    <row r="84" spans="4:20" ht="14.4" customHeight="1" x14ac:dyDescent="0.3">
      <c r="D84" s="76">
        <f>A46</f>
        <v>20</v>
      </c>
      <c r="E84" s="12" t="s">
        <v>108</v>
      </c>
      <c r="F84" s="12">
        <f>B46</f>
        <v>10</v>
      </c>
      <c r="G84" s="54">
        <v>0.4</v>
      </c>
      <c r="H84" s="55">
        <v>0.72199999999999998</v>
      </c>
      <c r="I84" s="56"/>
      <c r="J84" s="57">
        <f t="shared" si="1"/>
        <v>0.3609</v>
      </c>
      <c r="K84" s="58">
        <f t="shared" si="2"/>
        <v>0.68486666666666662</v>
      </c>
      <c r="L84" s="56"/>
      <c r="M84" s="62">
        <f t="shared" si="3"/>
        <v>0.18968333333333334</v>
      </c>
      <c r="N84" s="56">
        <f t="shared" si="4"/>
        <v>13.461067433333334</v>
      </c>
      <c r="O84" s="58">
        <f t="shared" si="5"/>
        <v>26.922134866666667</v>
      </c>
      <c r="P84" s="56">
        <f t="shared" si="6"/>
        <v>2.6922134866666667</v>
      </c>
      <c r="Q84" s="57">
        <f>AVERAGE(P84:P86)</f>
        <v>1.8289120966666665</v>
      </c>
      <c r="R84" s="56">
        <f>STDEV(P84:P86)</f>
        <v>0.75053272208177635</v>
      </c>
      <c r="S84" s="58">
        <f>R84/Q84*100</f>
        <v>41.03711290715831</v>
      </c>
      <c r="T84" s="56"/>
    </row>
    <row r="85" spans="4:20" ht="14.4" customHeight="1" x14ac:dyDescent="0.3">
      <c r="D85" s="77"/>
      <c r="E85" s="17" t="s">
        <v>109</v>
      </c>
      <c r="F85" s="17">
        <f t="shared" ref="F85" si="43">F84</f>
        <v>10</v>
      </c>
      <c r="G85" s="57">
        <v>0.31630000000000003</v>
      </c>
      <c r="H85" s="58">
        <v>0.77070000000000005</v>
      </c>
      <c r="I85" s="56"/>
      <c r="J85" s="57">
        <f t="shared" si="1"/>
        <v>0.2772</v>
      </c>
      <c r="K85" s="58">
        <f t="shared" si="2"/>
        <v>0.7335666666666667</v>
      </c>
      <c r="L85" s="56"/>
      <c r="M85" s="62">
        <f t="shared" si="3"/>
        <v>9.3808333333333327E-2</v>
      </c>
      <c r="N85" s="56">
        <f t="shared" si="4"/>
        <v>6.6572021833333324</v>
      </c>
      <c r="O85" s="58">
        <f t="shared" si="5"/>
        <v>13.314404366666665</v>
      </c>
      <c r="P85" s="56">
        <f t="shared" si="6"/>
        <v>1.3314404366666666</v>
      </c>
      <c r="Q85" s="57"/>
      <c r="R85" s="56"/>
      <c r="S85" s="58"/>
      <c r="T85" s="56"/>
    </row>
    <row r="86" spans="4:20" ht="14.4" customHeight="1" x14ac:dyDescent="0.3">
      <c r="D86" s="78"/>
      <c r="E86" s="22" t="s">
        <v>110</v>
      </c>
      <c r="F86" s="22">
        <f t="shared" ref="F86" si="44">F84</f>
        <v>10</v>
      </c>
      <c r="G86" s="65">
        <v>0.32750000000000001</v>
      </c>
      <c r="H86" s="66">
        <v>0.77839999999999998</v>
      </c>
      <c r="I86" s="56"/>
      <c r="J86" s="57">
        <f t="shared" si="1"/>
        <v>0.28839999999999999</v>
      </c>
      <c r="K86" s="58">
        <f t="shared" si="2"/>
        <v>0.74126666666666663</v>
      </c>
      <c r="L86" s="56"/>
      <c r="M86" s="62">
        <f t="shared" si="3"/>
        <v>0.10308333333333333</v>
      </c>
      <c r="N86" s="56">
        <f t="shared" si="4"/>
        <v>7.3154118333333322</v>
      </c>
      <c r="O86" s="58">
        <f t="shared" si="5"/>
        <v>14.630823666666664</v>
      </c>
      <c r="P86" s="56">
        <f t="shared" si="6"/>
        <v>1.4630823666666664</v>
      </c>
      <c r="Q86" s="57"/>
      <c r="R86" s="56"/>
      <c r="S86" s="58"/>
      <c r="T86" s="56"/>
    </row>
    <row r="87" spans="4:20" ht="14.4" customHeight="1" x14ac:dyDescent="0.3">
      <c r="D87" s="76">
        <f>A47</f>
        <v>21</v>
      </c>
      <c r="E87" s="12" t="s">
        <v>111</v>
      </c>
      <c r="F87" s="12">
        <f>B47</f>
        <v>10</v>
      </c>
      <c r="G87" s="54">
        <v>0.33729999999999999</v>
      </c>
      <c r="H87" s="55">
        <v>0.77980000000000005</v>
      </c>
      <c r="I87" s="56"/>
      <c r="J87" s="57">
        <f t="shared" si="1"/>
        <v>0.29819999999999997</v>
      </c>
      <c r="K87" s="58">
        <f t="shared" si="2"/>
        <v>0.7426666666666667</v>
      </c>
      <c r="L87" s="56"/>
      <c r="M87" s="62">
        <f t="shared" si="3"/>
        <v>0.11253333333333329</v>
      </c>
      <c r="N87" s="56">
        <f t="shared" si="4"/>
        <v>7.9860405333333295</v>
      </c>
      <c r="O87" s="58">
        <f t="shared" si="5"/>
        <v>15.972081066666659</v>
      </c>
      <c r="P87" s="56">
        <f t="shared" si="6"/>
        <v>1.5972081066666659</v>
      </c>
      <c r="Q87" s="57">
        <f>AVERAGE(P87:P89)</f>
        <v>0.99565297999999969</v>
      </c>
      <c r="R87" s="56">
        <f>STDEV(P87:P89)</f>
        <v>0.78051795754062125</v>
      </c>
      <c r="S87" s="58">
        <f>R87/Q87*100</f>
        <v>78.392569822933851</v>
      </c>
      <c r="T87" s="56"/>
    </row>
    <row r="88" spans="4:20" ht="14.4" customHeight="1" x14ac:dyDescent="0.3">
      <c r="D88" s="77"/>
      <c r="E88" s="17" t="s">
        <v>112</v>
      </c>
      <c r="F88" s="17">
        <f t="shared" ref="F88:F97" si="45">F87</f>
        <v>10</v>
      </c>
      <c r="G88" s="57">
        <v>0.2397</v>
      </c>
      <c r="H88" s="58">
        <v>0.8075</v>
      </c>
      <c r="I88" s="56"/>
      <c r="J88" s="57">
        <f t="shared" si="1"/>
        <v>0.2006</v>
      </c>
      <c r="K88" s="58">
        <f t="shared" si="2"/>
        <v>0.77036666666666664</v>
      </c>
      <c r="L88" s="56"/>
      <c r="M88" s="62">
        <f t="shared" si="3"/>
        <v>8.0083333333333395E-3</v>
      </c>
      <c r="N88" s="56">
        <f t="shared" si="4"/>
        <v>0.56831938333333376</v>
      </c>
      <c r="O88" s="58">
        <f t="shared" si="5"/>
        <v>1.1366387666666675</v>
      </c>
      <c r="P88" s="56">
        <f t="shared" si="6"/>
        <v>0.11366387666666675</v>
      </c>
      <c r="Q88" s="57"/>
      <c r="R88" s="56"/>
      <c r="S88" s="58"/>
      <c r="T88" s="56"/>
    </row>
    <row r="89" spans="4:20" ht="14.4" customHeight="1" x14ac:dyDescent="0.3">
      <c r="D89" s="78"/>
      <c r="E89" s="22" t="s">
        <v>113</v>
      </c>
      <c r="F89" s="22">
        <f t="shared" ref="F89:F98" si="46">F87</f>
        <v>10</v>
      </c>
      <c r="G89" s="65">
        <v>0.30349999999999999</v>
      </c>
      <c r="H89" s="66">
        <v>0.73509999999999998</v>
      </c>
      <c r="I89" s="56"/>
      <c r="J89" s="57">
        <f t="shared" si="1"/>
        <v>0.26439999999999997</v>
      </c>
      <c r="K89" s="58">
        <f t="shared" si="2"/>
        <v>0.69796666666666662</v>
      </c>
      <c r="L89" s="56"/>
      <c r="M89" s="62">
        <f t="shared" si="3"/>
        <v>8.9908333333333312E-2</v>
      </c>
      <c r="N89" s="56">
        <f t="shared" si="4"/>
        <v>6.3804347833333317</v>
      </c>
      <c r="O89" s="58">
        <f t="shared" si="5"/>
        <v>12.760869566666663</v>
      </c>
      <c r="P89" s="56">
        <f t="shared" si="6"/>
        <v>1.2760869566666664</v>
      </c>
      <c r="Q89" s="57"/>
      <c r="R89" s="56"/>
      <c r="S89" s="58"/>
      <c r="T89" s="56"/>
    </row>
    <row r="90" spans="4:20" ht="14.4" customHeight="1" x14ac:dyDescent="0.3">
      <c r="D90" s="76">
        <f>A48</f>
        <v>22</v>
      </c>
      <c r="E90" s="12" t="s">
        <v>114</v>
      </c>
      <c r="F90" s="12">
        <f>B48</f>
        <v>10</v>
      </c>
      <c r="G90" s="54">
        <v>0.3619</v>
      </c>
      <c r="H90" s="55">
        <v>0.70750000000000002</v>
      </c>
      <c r="I90" s="56"/>
      <c r="J90" s="57">
        <f t="shared" si="1"/>
        <v>0.32279999999999998</v>
      </c>
      <c r="K90" s="58">
        <f t="shared" si="2"/>
        <v>0.67036666666666667</v>
      </c>
      <c r="L90" s="56"/>
      <c r="M90" s="62">
        <f t="shared" si="3"/>
        <v>0.15520833333333331</v>
      </c>
      <c r="N90" s="56">
        <f t="shared" si="4"/>
        <v>11.01451458333333</v>
      </c>
      <c r="O90" s="58">
        <f t="shared" si="5"/>
        <v>22.02902916666666</v>
      </c>
      <c r="P90" s="56">
        <f t="shared" si="6"/>
        <v>2.202902916666666</v>
      </c>
      <c r="Q90" s="57">
        <f>AVERAGE(P90:P92)</f>
        <v>2.1272058499999993</v>
      </c>
      <c r="R90" s="56">
        <f>STDEV(P90:P92)</f>
        <v>0.15859842560507803</v>
      </c>
      <c r="S90" s="58">
        <f>R90/Q90*100</f>
        <v>7.4557159385904317</v>
      </c>
      <c r="T90" s="56"/>
    </row>
    <row r="91" spans="4:20" ht="14.4" customHeight="1" x14ac:dyDescent="0.3">
      <c r="D91" s="77"/>
      <c r="E91" s="17" t="s">
        <v>115</v>
      </c>
      <c r="F91" s="17">
        <f t="shared" si="45"/>
        <v>10</v>
      </c>
      <c r="G91" s="57">
        <v>0.34089999999999998</v>
      </c>
      <c r="H91" s="58">
        <v>0.69620000000000004</v>
      </c>
      <c r="I91" s="56"/>
      <c r="J91" s="57">
        <f t="shared" ref="J91:J98" si="47">G91-$J$14</f>
        <v>0.30179999999999996</v>
      </c>
      <c r="K91" s="58">
        <f t="shared" ref="K91:K98" si="48">H91-$K$14</f>
        <v>0.65906666666666669</v>
      </c>
      <c r="L91" s="56"/>
      <c r="M91" s="62">
        <f t="shared" si="3"/>
        <v>0.13703333333333328</v>
      </c>
      <c r="N91" s="56">
        <f t="shared" si="4"/>
        <v>9.7247075333333299</v>
      </c>
      <c r="O91" s="58">
        <f t="shared" si="5"/>
        <v>19.44941506666666</v>
      </c>
      <c r="P91" s="56">
        <f t="shared" si="6"/>
        <v>1.944941506666666</v>
      </c>
      <c r="Q91" s="57"/>
      <c r="R91" s="56"/>
      <c r="S91" s="58"/>
      <c r="T91" s="56"/>
    </row>
    <row r="92" spans="4:20" ht="14.4" customHeight="1" x14ac:dyDescent="0.3">
      <c r="D92" s="78"/>
      <c r="E92" s="22" t="s">
        <v>116</v>
      </c>
      <c r="F92" s="22">
        <f t="shared" si="46"/>
        <v>10</v>
      </c>
      <c r="G92" s="65">
        <v>0.3599</v>
      </c>
      <c r="H92" s="66">
        <v>0.69079999999999997</v>
      </c>
      <c r="I92" s="56"/>
      <c r="J92" s="57">
        <f t="shared" si="47"/>
        <v>0.32079999999999997</v>
      </c>
      <c r="K92" s="58">
        <f t="shared" si="48"/>
        <v>0.65366666666666662</v>
      </c>
      <c r="L92" s="56"/>
      <c r="M92" s="62">
        <f t="shared" ref="M92:M98" si="49">J92-(0.25*K92)</f>
        <v>0.15738333333333332</v>
      </c>
      <c r="N92" s="56">
        <f t="shared" ref="N92:N98" si="50">M92*70.966</f>
        <v>11.168865633333331</v>
      </c>
      <c r="O92" s="58">
        <f t="shared" ref="O92:O98" si="51">N92*2</f>
        <v>22.337731266666662</v>
      </c>
      <c r="P92" s="56">
        <f t="shared" ref="P92:P98" si="52">O92/F92</f>
        <v>2.2337731266666663</v>
      </c>
      <c r="Q92" s="57"/>
      <c r="R92" s="56"/>
      <c r="S92" s="58"/>
      <c r="T92" s="56"/>
    </row>
    <row r="93" spans="4:20" ht="14.4" customHeight="1" x14ac:dyDescent="0.3">
      <c r="D93" s="76">
        <f>A49</f>
        <v>23</v>
      </c>
      <c r="E93" s="12" t="s">
        <v>117</v>
      </c>
      <c r="F93" s="12">
        <f>B49</f>
        <v>10</v>
      </c>
      <c r="G93" s="54">
        <v>0.36370000000000002</v>
      </c>
      <c r="H93" s="55">
        <v>0.75109999999999999</v>
      </c>
      <c r="I93" s="56"/>
      <c r="J93" s="57">
        <f t="shared" si="47"/>
        <v>0.3246</v>
      </c>
      <c r="K93" s="58">
        <f t="shared" si="48"/>
        <v>0.71396666666666664</v>
      </c>
      <c r="L93" s="56"/>
      <c r="M93" s="62">
        <f t="shared" si="49"/>
        <v>0.14610833333333334</v>
      </c>
      <c r="N93" s="56">
        <f t="shared" si="50"/>
        <v>10.368723983333332</v>
      </c>
      <c r="O93" s="58">
        <f t="shared" si="51"/>
        <v>20.737447966666664</v>
      </c>
      <c r="P93" s="56">
        <f t="shared" si="52"/>
        <v>2.0737447966666664</v>
      </c>
      <c r="Q93" s="57">
        <f>AVERAGE(P93:P95)</f>
        <v>2.2039674066666661</v>
      </c>
      <c r="R93" s="56">
        <f>STDEV(P93:P95)</f>
        <v>0.18058825262088499</v>
      </c>
      <c r="S93" s="58">
        <f>R93/Q93*100</f>
        <v>8.1937805466012321</v>
      </c>
      <c r="T93" s="56"/>
    </row>
    <row r="94" spans="4:20" ht="14.4" customHeight="1" x14ac:dyDescent="0.3">
      <c r="D94" s="77"/>
      <c r="E94" s="17" t="s">
        <v>118</v>
      </c>
      <c r="F94" s="17">
        <f t="shared" si="45"/>
        <v>10</v>
      </c>
      <c r="G94" s="57">
        <v>0.37209999999999999</v>
      </c>
      <c r="H94" s="58">
        <v>0.76939999999999997</v>
      </c>
      <c r="I94" s="56"/>
      <c r="J94" s="57">
        <f t="shared" si="47"/>
        <v>0.33299999999999996</v>
      </c>
      <c r="K94" s="58">
        <f t="shared" si="48"/>
        <v>0.73226666666666662</v>
      </c>
      <c r="L94" s="56"/>
      <c r="M94" s="62">
        <f t="shared" si="49"/>
        <v>0.14993333333333331</v>
      </c>
      <c r="N94" s="56">
        <f t="shared" si="50"/>
        <v>10.64016893333333</v>
      </c>
      <c r="O94" s="58">
        <f t="shared" si="51"/>
        <v>21.28033786666666</v>
      </c>
      <c r="P94" s="56">
        <f t="shared" si="52"/>
        <v>2.1280337866666659</v>
      </c>
      <c r="Q94" s="57"/>
      <c r="R94" s="56"/>
      <c r="S94" s="58"/>
      <c r="T94" s="56"/>
    </row>
    <row r="95" spans="4:20" ht="14.4" customHeight="1" x14ac:dyDescent="0.3">
      <c r="D95" s="78"/>
      <c r="E95" s="22" t="s">
        <v>119</v>
      </c>
      <c r="F95" s="22">
        <f t="shared" si="46"/>
        <v>10</v>
      </c>
      <c r="G95" s="65">
        <v>0.38879999999999998</v>
      </c>
      <c r="H95" s="66">
        <v>0.75670000000000004</v>
      </c>
      <c r="I95" s="56"/>
      <c r="J95" s="57">
        <f t="shared" si="47"/>
        <v>0.34969999999999996</v>
      </c>
      <c r="K95" s="58">
        <f t="shared" si="48"/>
        <v>0.71956666666666669</v>
      </c>
      <c r="L95" s="56"/>
      <c r="M95" s="62">
        <f t="shared" si="49"/>
        <v>0.16980833333333328</v>
      </c>
      <c r="N95" s="56">
        <f t="shared" si="50"/>
        <v>12.050618183333329</v>
      </c>
      <c r="O95" s="58">
        <f t="shared" si="51"/>
        <v>24.101236366666658</v>
      </c>
      <c r="P95" s="56">
        <f t="shared" si="52"/>
        <v>2.4101236366666656</v>
      </c>
      <c r="Q95" s="57"/>
      <c r="R95" s="56"/>
      <c r="S95" s="58"/>
      <c r="T95" s="56"/>
    </row>
    <row r="96" spans="4:20" ht="14.4" customHeight="1" x14ac:dyDescent="0.3">
      <c r="D96" s="76">
        <f>A50</f>
        <v>24</v>
      </c>
      <c r="E96" s="12" t="s">
        <v>120</v>
      </c>
      <c r="F96" s="12">
        <f>B50</f>
        <v>10</v>
      </c>
      <c r="G96" s="54">
        <v>0.36720000000000003</v>
      </c>
      <c r="H96" s="55">
        <v>0.70199999999999996</v>
      </c>
      <c r="I96" s="56"/>
      <c r="J96" s="57">
        <f t="shared" si="47"/>
        <v>0.3281</v>
      </c>
      <c r="K96" s="58">
        <f t="shared" si="48"/>
        <v>0.66486666666666661</v>
      </c>
      <c r="L96" s="56"/>
      <c r="M96" s="62">
        <f t="shared" si="49"/>
        <v>0.16188333333333335</v>
      </c>
      <c r="N96" s="56">
        <f t="shared" si="50"/>
        <v>11.488212633333333</v>
      </c>
      <c r="O96" s="58">
        <f t="shared" si="51"/>
        <v>22.976425266666666</v>
      </c>
      <c r="P96" s="56">
        <f t="shared" si="52"/>
        <v>2.2976425266666665</v>
      </c>
      <c r="Q96" s="57">
        <f>AVERAGE(P96:P98)</f>
        <v>2.1721509833333328</v>
      </c>
      <c r="R96" s="56">
        <f>STDEV(P96:P98)</f>
        <v>0.23950692070772506</v>
      </c>
      <c r="S96" s="58">
        <f>R96/Q96*100</f>
        <v>11.026255658351303</v>
      </c>
      <c r="T96" s="56"/>
    </row>
    <row r="97" spans="4:20" ht="14.4" customHeight="1" x14ac:dyDescent="0.3">
      <c r="D97" s="77"/>
      <c r="E97" s="17" t="s">
        <v>121</v>
      </c>
      <c r="F97" s="17">
        <f t="shared" si="45"/>
        <v>10</v>
      </c>
      <c r="G97" s="57">
        <v>0.36580000000000001</v>
      </c>
      <c r="H97" s="58">
        <v>0.68930000000000002</v>
      </c>
      <c r="I97" s="56"/>
      <c r="J97" s="57">
        <f t="shared" si="47"/>
        <v>0.32669999999999999</v>
      </c>
      <c r="K97" s="58">
        <f t="shared" si="48"/>
        <v>0.65216666666666667</v>
      </c>
      <c r="L97" s="56"/>
      <c r="M97" s="62">
        <f t="shared" si="49"/>
        <v>0.16365833333333332</v>
      </c>
      <c r="N97" s="56">
        <f t="shared" si="50"/>
        <v>11.614177283333332</v>
      </c>
      <c r="O97" s="58">
        <f t="shared" si="51"/>
        <v>23.228354566666663</v>
      </c>
      <c r="P97" s="56">
        <f t="shared" si="52"/>
        <v>2.3228354566666662</v>
      </c>
      <c r="Q97" s="57"/>
      <c r="R97" s="56"/>
      <c r="S97" s="58"/>
      <c r="T97" s="56"/>
    </row>
    <row r="98" spans="4:20" ht="14.4" customHeight="1" x14ac:dyDescent="0.3">
      <c r="D98" s="78"/>
      <c r="E98" s="22" t="s">
        <v>122</v>
      </c>
      <c r="F98" s="22">
        <f t="shared" si="46"/>
        <v>10</v>
      </c>
      <c r="G98" s="65">
        <v>0.33329999999999999</v>
      </c>
      <c r="H98" s="66">
        <v>0.67959999999999998</v>
      </c>
      <c r="I98" s="56"/>
      <c r="J98" s="65">
        <f t="shared" si="47"/>
        <v>0.29419999999999996</v>
      </c>
      <c r="K98" s="58">
        <f t="shared" si="48"/>
        <v>0.64246666666666663</v>
      </c>
      <c r="L98" s="56"/>
      <c r="M98" s="69">
        <f t="shared" si="49"/>
        <v>0.1335833333333333</v>
      </c>
      <c r="N98" s="56">
        <f t="shared" si="50"/>
        <v>9.47987483333333</v>
      </c>
      <c r="O98" s="58">
        <f t="shared" si="51"/>
        <v>18.95974966666666</v>
      </c>
      <c r="P98" s="70">
        <f t="shared" si="52"/>
        <v>1.8959749666666661</v>
      </c>
      <c r="Q98" s="65"/>
      <c r="R98" s="70"/>
      <c r="S98" s="66"/>
      <c r="T98" s="56"/>
    </row>
    <row r="99" spans="4:20" x14ac:dyDescent="0.3">
      <c r="N99" s="35"/>
    </row>
  </sheetData>
  <mergeCells count="31">
    <mergeCell ref="D96:D98"/>
    <mergeCell ref="D78:D80"/>
    <mergeCell ref="D81:D83"/>
    <mergeCell ref="D84:D86"/>
    <mergeCell ref="D87:D89"/>
    <mergeCell ref="D90:D92"/>
    <mergeCell ref="D93:D95"/>
    <mergeCell ref="D60:D62"/>
    <mergeCell ref="D63:D65"/>
    <mergeCell ref="D66:D68"/>
    <mergeCell ref="D69:D71"/>
    <mergeCell ref="D72:D74"/>
    <mergeCell ref="D75:D77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7A8F-A9A4-4ACA-B566-39D209500DD5}">
  <dimension ref="A1:X99"/>
  <sheetViews>
    <sheetView zoomScale="80" zoomScaleNormal="80" workbookViewId="0">
      <selection activeCell="H24" sqref="H24"/>
    </sheetView>
  </sheetViews>
  <sheetFormatPr defaultColWidth="8.88671875" defaultRowHeight="14.4" x14ac:dyDescent="0.3"/>
  <cols>
    <col min="1" max="1" width="10.5546875" bestFit="1" customWidth="1"/>
    <col min="2" max="2" width="9.109375" bestFit="1" customWidth="1"/>
    <col min="4" max="4" width="9.44140625" customWidth="1"/>
    <col min="5" max="5" width="10" customWidth="1"/>
    <col min="6" max="6" width="11.6640625" customWidth="1"/>
    <col min="7" max="7" width="12.5546875" customWidth="1"/>
    <col min="8" max="8" width="12.6640625" customWidth="1"/>
    <col min="10" max="11" width="9" customWidth="1"/>
    <col min="12" max="12" width="11.6640625" customWidth="1"/>
    <col min="13" max="13" width="9" customWidth="1"/>
    <col min="14" max="14" width="11.6640625" bestFit="1" customWidth="1"/>
    <col min="15" max="15" width="9" customWidth="1"/>
    <col min="16" max="16" width="9" bestFit="1" customWidth="1"/>
    <col min="17" max="17" width="10.88671875" customWidth="1"/>
    <col min="18" max="18" width="10.6640625" customWidth="1"/>
    <col min="19" max="19" width="9" bestFit="1" customWidth="1"/>
    <col min="20" max="20" width="9.5546875" bestFit="1" customWidth="1"/>
    <col min="21" max="21" width="9.5546875" customWidth="1"/>
  </cols>
  <sheetData>
    <row r="1" spans="5:17" x14ac:dyDescent="0.3">
      <c r="E1" s="79" t="s">
        <v>0</v>
      </c>
      <c r="F1" s="79"/>
      <c r="G1" s="79"/>
    </row>
    <row r="2" spans="5:17" x14ac:dyDescent="0.3">
      <c r="E2" s="79"/>
      <c r="F2" s="79"/>
      <c r="G2" s="79"/>
    </row>
    <row r="4" spans="5:17" ht="28.5" customHeight="1" x14ac:dyDescent="0.3">
      <c r="E4" s="1"/>
      <c r="F4" s="80" t="s">
        <v>1</v>
      </c>
      <c r="G4" s="81"/>
      <c r="I4" s="1"/>
      <c r="J4" s="80" t="s">
        <v>1</v>
      </c>
      <c r="K4" s="81"/>
      <c r="L4" s="2"/>
      <c r="M4" s="71" t="s">
        <v>2</v>
      </c>
      <c r="N4" s="72"/>
      <c r="O4" s="2"/>
      <c r="P4" s="82" t="s">
        <v>3</v>
      </c>
      <c r="Q4" s="83"/>
    </row>
    <row r="5" spans="5:17" ht="17.25" customHeight="1" x14ac:dyDescent="0.3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2" t="s">
        <v>1</v>
      </c>
      <c r="Q5" s="83"/>
    </row>
    <row r="6" spans="5:17" x14ac:dyDescent="0.3">
      <c r="E6" s="11" t="s">
        <v>8</v>
      </c>
      <c r="F6">
        <v>4.2000000000000003E-2</v>
      </c>
      <c r="G6">
        <v>3.8100000000000002E-2</v>
      </c>
      <c r="I6" s="13">
        <v>12.5</v>
      </c>
      <c r="J6" s="14">
        <f>AVERAGE(F9:F11)</f>
        <v>0.26476666666666665</v>
      </c>
      <c r="K6" s="15">
        <f>AVERAGE(G9:G11)</f>
        <v>3.6366666666666665E-2</v>
      </c>
      <c r="M6" s="14">
        <f>J6-$J$14</f>
        <v>0.22566666666666665</v>
      </c>
      <c r="N6" s="15">
        <f>K6-$K$14</f>
        <v>-7.666666666666655E-4</v>
      </c>
      <c r="P6" s="1" t="s">
        <v>5</v>
      </c>
      <c r="Q6" s="7" t="s">
        <v>7</v>
      </c>
    </row>
    <row r="7" spans="5:17" x14ac:dyDescent="0.3">
      <c r="E7" s="16" t="s">
        <v>9</v>
      </c>
      <c r="F7">
        <v>3.5799999999999998E-2</v>
      </c>
      <c r="G7">
        <v>3.49E-2</v>
      </c>
      <c r="I7" s="18">
        <v>25</v>
      </c>
      <c r="J7" s="19">
        <f>AVERAGE(F12:F14)</f>
        <v>0.56596666666666673</v>
      </c>
      <c r="K7" s="20">
        <f>AVERAGE(G12:G14)</f>
        <v>3.6399999999999995E-2</v>
      </c>
      <c r="M7" s="19">
        <f>J7-$J$14</f>
        <v>0.52686666666666671</v>
      </c>
      <c r="N7" s="20">
        <f>K7-$K$14</f>
        <v>-7.3333333333333584E-4</v>
      </c>
      <c r="P7" s="17">
        <f>M6</f>
        <v>0.22566666666666665</v>
      </c>
      <c r="Q7" s="12">
        <v>12.5</v>
      </c>
    </row>
    <row r="8" spans="5:17" x14ac:dyDescent="0.3">
      <c r="E8" s="21" t="s">
        <v>10</v>
      </c>
      <c r="F8">
        <v>3.95E-2</v>
      </c>
      <c r="G8">
        <v>3.8399999999999997E-2</v>
      </c>
      <c r="I8" s="18">
        <v>50</v>
      </c>
      <c r="J8" s="19">
        <f>AVERAGE(F15:F17)</f>
        <v>1.1274333333333333</v>
      </c>
      <c r="K8" s="20">
        <f>AVERAGE(G15:G17)</f>
        <v>3.7200000000000004E-2</v>
      </c>
      <c r="M8" s="19">
        <f>J8-$J$14</f>
        <v>1.0883333333333334</v>
      </c>
      <c r="N8" s="20">
        <f>K8-$K$14</f>
        <v>6.6666666666673202E-5</v>
      </c>
      <c r="P8" s="17">
        <f>M7</f>
        <v>0.52686666666666671</v>
      </c>
      <c r="Q8" s="17">
        <v>25</v>
      </c>
    </row>
    <row r="9" spans="5:17" x14ac:dyDescent="0.3">
      <c r="E9" s="11" t="s">
        <v>11</v>
      </c>
      <c r="F9">
        <v>0.31159999999999999</v>
      </c>
      <c r="G9">
        <v>3.56E-2</v>
      </c>
      <c r="I9" s="18">
        <v>100</v>
      </c>
      <c r="J9" s="19">
        <f>AVERAGE(F18:F20)</f>
        <v>1.7840999999999998</v>
      </c>
      <c r="K9" s="20">
        <f>AVERAGE(G18:G20)</f>
        <v>3.833333333333333E-2</v>
      </c>
      <c r="M9" s="19">
        <f>J9-$J$14</f>
        <v>1.7449999999999999</v>
      </c>
      <c r="N9" s="20">
        <f>K9-$K$14</f>
        <v>1.1999999999999997E-3</v>
      </c>
      <c r="P9" s="17">
        <f>M8</f>
        <v>1.0883333333333334</v>
      </c>
      <c r="Q9" s="17">
        <v>50</v>
      </c>
    </row>
    <row r="10" spans="5:17" x14ac:dyDescent="0.3">
      <c r="E10" s="16" t="s">
        <v>12</v>
      </c>
      <c r="F10">
        <v>0.17879999999999999</v>
      </c>
      <c r="G10">
        <v>3.6999999999999998E-2</v>
      </c>
      <c r="I10" s="23">
        <v>250</v>
      </c>
      <c r="J10" s="24">
        <f>AVERAGE(F21:F23)</f>
        <v>3.8068999999999997</v>
      </c>
      <c r="K10" s="25">
        <f>AVERAGE(G21:G23)</f>
        <v>3.5266666666666668E-2</v>
      </c>
      <c r="M10" s="19">
        <f>J10-$J$14</f>
        <v>3.7677999999999998</v>
      </c>
      <c r="N10" s="20">
        <f>K10-$K$14</f>
        <v>-1.8666666666666623E-3</v>
      </c>
      <c r="P10" s="17">
        <f>M9</f>
        <v>1.7449999999999999</v>
      </c>
      <c r="Q10" s="17">
        <v>100</v>
      </c>
    </row>
    <row r="11" spans="5:17" x14ac:dyDescent="0.3">
      <c r="E11" s="21" t="s">
        <v>13</v>
      </c>
      <c r="F11">
        <v>0.3039</v>
      </c>
      <c r="G11">
        <v>3.6499999999999998E-2</v>
      </c>
      <c r="I11" s="26" t="s">
        <v>14</v>
      </c>
      <c r="J11" s="13">
        <f t="shared" ref="J11:K13" si="0">F6</f>
        <v>4.2000000000000003E-2</v>
      </c>
      <c r="K11" s="27">
        <f t="shared" si="0"/>
        <v>3.8100000000000002E-2</v>
      </c>
      <c r="M11" s="23"/>
      <c r="N11" s="28"/>
      <c r="P11" s="22">
        <f>M10</f>
        <v>3.7677999999999998</v>
      </c>
      <c r="Q11" s="22">
        <v>250</v>
      </c>
    </row>
    <row r="12" spans="5:17" x14ac:dyDescent="0.3">
      <c r="E12" s="11" t="s">
        <v>15</v>
      </c>
      <c r="F12">
        <v>0.55330000000000001</v>
      </c>
      <c r="G12">
        <v>3.5499999999999997E-2</v>
      </c>
      <c r="I12" s="29" t="s">
        <v>14</v>
      </c>
      <c r="J12" s="18">
        <f t="shared" si="0"/>
        <v>3.5799999999999998E-2</v>
      </c>
      <c r="K12" s="30">
        <f t="shared" si="0"/>
        <v>3.49E-2</v>
      </c>
    </row>
    <row r="13" spans="5:17" x14ac:dyDescent="0.3">
      <c r="E13" s="16" t="s">
        <v>16</v>
      </c>
      <c r="F13">
        <v>0.54720000000000002</v>
      </c>
      <c r="G13">
        <v>3.7400000000000003E-2</v>
      </c>
      <c r="I13" s="31" t="s">
        <v>14</v>
      </c>
      <c r="J13" s="23">
        <f t="shared" si="0"/>
        <v>3.95E-2</v>
      </c>
      <c r="K13" s="28">
        <f t="shared" si="0"/>
        <v>3.8399999999999997E-2</v>
      </c>
    </row>
    <row r="14" spans="5:17" x14ac:dyDescent="0.3">
      <c r="E14" s="21" t="s">
        <v>17</v>
      </c>
      <c r="F14">
        <v>0.59740000000000004</v>
      </c>
      <c r="G14">
        <v>3.6299999999999999E-2</v>
      </c>
      <c r="I14" s="32" t="s">
        <v>18</v>
      </c>
      <c r="J14" s="33">
        <f>AVERAGE(J11:J13)</f>
        <v>3.9100000000000003E-2</v>
      </c>
      <c r="K14" s="34">
        <f>AVERAGE(K11:K13)</f>
        <v>3.7133333333333331E-2</v>
      </c>
    </row>
    <row r="15" spans="5:17" x14ac:dyDescent="0.3">
      <c r="E15" s="11" t="s">
        <v>19</v>
      </c>
      <c r="F15">
        <v>1.2909999999999999</v>
      </c>
      <c r="G15">
        <v>3.8300000000000001E-2</v>
      </c>
      <c r="M15" s="13" t="s">
        <v>20</v>
      </c>
      <c r="N15" s="35"/>
      <c r="O15" s="27"/>
    </row>
    <row r="16" spans="5:17" x14ac:dyDescent="0.3">
      <c r="E16" s="16" t="s">
        <v>21</v>
      </c>
      <c r="F16">
        <v>1.0270999999999999</v>
      </c>
      <c r="G16">
        <v>3.6799999999999999E-2</v>
      </c>
      <c r="M16" s="18" t="s">
        <v>22</v>
      </c>
      <c r="O16" s="30"/>
    </row>
    <row r="17" spans="1:24" x14ac:dyDescent="0.3">
      <c r="E17" s="21" t="s">
        <v>23</v>
      </c>
      <c r="F17">
        <v>1.0642</v>
      </c>
      <c r="G17">
        <v>3.6499999999999998E-2</v>
      </c>
      <c r="M17" s="23" t="s">
        <v>24</v>
      </c>
      <c r="N17" s="36"/>
      <c r="O17" s="28"/>
    </row>
    <row r="18" spans="1:24" x14ac:dyDescent="0.3">
      <c r="E18" s="11" t="s">
        <v>25</v>
      </c>
      <c r="F18">
        <v>2.1677</v>
      </c>
      <c r="G18">
        <v>4.1599999999999998E-2</v>
      </c>
      <c r="I18" s="82" t="s">
        <v>26</v>
      </c>
      <c r="J18" s="84"/>
      <c r="K18" s="83"/>
      <c r="W18" s="37"/>
      <c r="X18" s="37"/>
    </row>
    <row r="19" spans="1:24" ht="15.6" x14ac:dyDescent="0.3">
      <c r="E19" s="16" t="s">
        <v>27</v>
      </c>
      <c r="F19">
        <v>1.1813</v>
      </c>
      <c r="G19">
        <v>3.78E-2</v>
      </c>
      <c r="I19" s="38" t="s">
        <v>28</v>
      </c>
      <c r="J19" s="36"/>
      <c r="K19" s="28"/>
    </row>
    <row r="20" spans="1:24" x14ac:dyDescent="0.3">
      <c r="E20" s="21" t="s">
        <v>29</v>
      </c>
      <c r="F20">
        <v>2.0032999999999999</v>
      </c>
      <c r="G20">
        <v>3.56E-2</v>
      </c>
      <c r="U20" s="37"/>
      <c r="V20" s="37"/>
    </row>
    <row r="21" spans="1:24" x14ac:dyDescent="0.3">
      <c r="E21" s="11" t="s">
        <v>30</v>
      </c>
      <c r="F21">
        <v>3.8005</v>
      </c>
      <c r="G21">
        <v>3.4299999999999997E-2</v>
      </c>
      <c r="U21" s="37"/>
      <c r="V21" s="37"/>
    </row>
    <row r="22" spans="1:24" x14ac:dyDescent="0.3">
      <c r="E22" s="16" t="s">
        <v>31</v>
      </c>
      <c r="F22" s="39" t="s">
        <v>123</v>
      </c>
      <c r="G22">
        <v>3.4799999999999998E-2</v>
      </c>
      <c r="U22" s="37"/>
      <c r="V22" s="37"/>
    </row>
    <row r="23" spans="1:24" x14ac:dyDescent="0.3">
      <c r="E23" s="21" t="s">
        <v>32</v>
      </c>
      <c r="F23">
        <v>3.8132999999999999</v>
      </c>
      <c r="G23">
        <v>3.6700000000000003E-2</v>
      </c>
      <c r="U23" s="37"/>
      <c r="V23" s="37"/>
    </row>
    <row r="24" spans="1:24" x14ac:dyDescent="0.3">
      <c r="E24" s="39"/>
      <c r="V24" s="37"/>
      <c r="W24" s="37"/>
    </row>
    <row r="25" spans="1:24" ht="31.5" customHeight="1" x14ac:dyDescent="0.3">
      <c r="A25" s="85" t="s">
        <v>33</v>
      </c>
      <c r="B25" s="86"/>
      <c r="J25" s="36"/>
      <c r="K25" s="36"/>
      <c r="M25" s="73"/>
      <c r="N25" s="41" t="s">
        <v>34</v>
      </c>
      <c r="O25" s="42" t="s">
        <v>124</v>
      </c>
      <c r="P25" s="75" t="s">
        <v>35</v>
      </c>
      <c r="Q25" s="71" t="s">
        <v>36</v>
      </c>
      <c r="R25" s="75" t="s">
        <v>37</v>
      </c>
      <c r="S25" s="74" t="s">
        <v>37</v>
      </c>
      <c r="T25" s="72" t="s">
        <v>38</v>
      </c>
      <c r="U25" s="6" t="s">
        <v>36</v>
      </c>
      <c r="V25" s="37"/>
    </row>
    <row r="26" spans="1:24" ht="30.75" customHeight="1" x14ac:dyDescent="0.3">
      <c r="A26" s="45" t="s">
        <v>39</v>
      </c>
      <c r="B26" s="1" t="s">
        <v>40</v>
      </c>
      <c r="D26" s="46" t="s">
        <v>38</v>
      </c>
      <c r="E26" s="46" t="s">
        <v>41</v>
      </c>
      <c r="F26" s="47" t="s">
        <v>42</v>
      </c>
      <c r="G26" s="47" t="s">
        <v>5</v>
      </c>
      <c r="H26" s="47" t="s">
        <v>6</v>
      </c>
      <c r="I26" s="48"/>
      <c r="J26" s="49" t="s">
        <v>43</v>
      </c>
      <c r="K26" s="50" t="s">
        <v>44</v>
      </c>
      <c r="M26" s="47" t="s">
        <v>45</v>
      </c>
      <c r="N26" s="51" t="s">
        <v>46</v>
      </c>
      <c r="O26" s="52" t="s">
        <v>47</v>
      </c>
      <c r="P26" s="53" t="s">
        <v>48</v>
      </c>
      <c r="Q26" s="71" t="s">
        <v>49</v>
      </c>
      <c r="R26" s="41" t="s">
        <v>49</v>
      </c>
      <c r="S26" s="74" t="s">
        <v>50</v>
      </c>
      <c r="T26" s="74"/>
      <c r="U26" s="6" t="s">
        <v>49</v>
      </c>
      <c r="V26" s="37"/>
    </row>
    <row r="27" spans="1:24" ht="15" customHeight="1" x14ac:dyDescent="0.3">
      <c r="A27" s="18">
        <v>1</v>
      </c>
      <c r="B27" s="30">
        <v>10</v>
      </c>
      <c r="D27" s="76">
        <f>A27</f>
        <v>1</v>
      </c>
      <c r="E27" s="12" t="s">
        <v>51</v>
      </c>
      <c r="F27" s="12">
        <f>B27</f>
        <v>10</v>
      </c>
      <c r="G27" s="54">
        <v>0.22420000000000001</v>
      </c>
      <c r="H27" s="55">
        <v>0.68049999999999999</v>
      </c>
      <c r="I27" s="56"/>
      <c r="J27" s="57">
        <f t="shared" ref="J27:J90" si="1">G27-$J$14</f>
        <v>0.18510000000000001</v>
      </c>
      <c r="K27" s="58">
        <f t="shared" ref="K27:K90" si="2">H27-$K$14</f>
        <v>0.64336666666666664</v>
      </c>
      <c r="L27" s="56"/>
      <c r="M27" s="59">
        <f>J27-(0.25*K27)</f>
        <v>2.4258333333333354E-2</v>
      </c>
      <c r="N27" s="56">
        <f>M27*70.966</f>
        <v>1.7215168833333347</v>
      </c>
      <c r="O27" s="58">
        <f>N27*2</f>
        <v>3.4430337666666695</v>
      </c>
      <c r="P27" s="56">
        <f>O27/F27</f>
        <v>0.34430337666666694</v>
      </c>
      <c r="Q27" s="57">
        <f>AVERAGE(P27:P29)</f>
        <v>1.3021078233333332</v>
      </c>
      <c r="R27" s="56">
        <f>STDEV(P27:P29)</f>
        <v>0.84693129346375728</v>
      </c>
      <c r="S27" s="58">
        <f>R27/Q27*100</f>
        <v>65.043099986578227</v>
      </c>
      <c r="T27" s="60">
        <f>D27</f>
        <v>1</v>
      </c>
      <c r="U27" s="61">
        <f>Q27</f>
        <v>1.3021078233333332</v>
      </c>
      <c r="V27" s="37"/>
    </row>
    <row r="28" spans="1:24" ht="14.4" customHeight="1" x14ac:dyDescent="0.3">
      <c r="A28" s="18">
        <v>2</v>
      </c>
      <c r="B28" s="30">
        <v>10</v>
      </c>
      <c r="D28" s="77"/>
      <c r="E28" s="17" t="s">
        <v>52</v>
      </c>
      <c r="F28" s="17">
        <f>F27</f>
        <v>10</v>
      </c>
      <c r="G28" s="57">
        <v>0.32040000000000002</v>
      </c>
      <c r="H28" s="58">
        <v>0.61219999999999997</v>
      </c>
      <c r="I28" s="56"/>
      <c r="J28" s="57">
        <f t="shared" si="1"/>
        <v>0.28129999999999999</v>
      </c>
      <c r="K28" s="58">
        <f t="shared" si="2"/>
        <v>0.57506666666666661</v>
      </c>
      <c r="L28" s="56"/>
      <c r="M28" s="62">
        <f t="shared" ref="M28:M91" si="3">J28-(0.25*K28)</f>
        <v>0.13753333333333334</v>
      </c>
      <c r="N28" s="56">
        <f t="shared" ref="N28:N91" si="4">M28*70.966</f>
        <v>9.7601905333333328</v>
      </c>
      <c r="O28" s="58">
        <f t="shared" ref="O28:O91" si="5">N28*2</f>
        <v>19.520381066666666</v>
      </c>
      <c r="P28" s="56">
        <f t="shared" ref="P28:P91" si="6">O28/F28</f>
        <v>1.9520381066666666</v>
      </c>
      <c r="Q28" s="57"/>
      <c r="R28" s="56"/>
      <c r="S28" s="58"/>
      <c r="T28" s="63">
        <f>D30</f>
        <v>2</v>
      </c>
      <c r="U28" s="64">
        <f>Q30</f>
        <v>2.2033760233333326</v>
      </c>
    </row>
    <row r="29" spans="1:24" ht="14.4" customHeight="1" x14ac:dyDescent="0.3">
      <c r="A29" s="18">
        <v>3</v>
      </c>
      <c r="B29" s="30">
        <v>10</v>
      </c>
      <c r="D29" s="78"/>
      <c r="E29" s="22" t="s">
        <v>53</v>
      </c>
      <c r="F29" s="22">
        <f>F27</f>
        <v>10</v>
      </c>
      <c r="G29" s="65">
        <v>0.3019</v>
      </c>
      <c r="H29" s="66">
        <v>0.63460000000000005</v>
      </c>
      <c r="I29" s="56"/>
      <c r="J29" s="57">
        <f t="shared" si="1"/>
        <v>0.26279999999999998</v>
      </c>
      <c r="K29" s="58">
        <f t="shared" si="2"/>
        <v>0.5974666666666667</v>
      </c>
      <c r="L29" s="56"/>
      <c r="M29" s="62">
        <f t="shared" si="3"/>
        <v>0.1134333333333333</v>
      </c>
      <c r="N29" s="56">
        <f t="shared" si="4"/>
        <v>8.0499099333333302</v>
      </c>
      <c r="O29" s="58">
        <f t="shared" si="5"/>
        <v>16.09981986666666</v>
      </c>
      <c r="P29" s="56">
        <f t="shared" si="6"/>
        <v>1.609981986666666</v>
      </c>
      <c r="Q29" s="57"/>
      <c r="R29" s="56"/>
      <c r="S29" s="58"/>
      <c r="T29" s="63">
        <f>D33</f>
        <v>3</v>
      </c>
      <c r="U29" s="64">
        <f>Q33</f>
        <v>2.3020187633333333</v>
      </c>
    </row>
    <row r="30" spans="1:24" ht="14.4" customHeight="1" x14ac:dyDescent="0.3">
      <c r="A30" s="18">
        <v>4</v>
      </c>
      <c r="B30" s="30">
        <v>10</v>
      </c>
      <c r="D30" s="76">
        <f>A28</f>
        <v>2</v>
      </c>
      <c r="E30" s="12" t="s">
        <v>54</v>
      </c>
      <c r="F30" s="12">
        <f>B28</f>
        <v>10</v>
      </c>
      <c r="G30" s="54">
        <v>0.34560000000000002</v>
      </c>
      <c r="H30" s="55">
        <v>0.64859999999999995</v>
      </c>
      <c r="I30" s="56"/>
      <c r="J30" s="57">
        <f t="shared" si="1"/>
        <v>0.30649999999999999</v>
      </c>
      <c r="K30" s="58">
        <f t="shared" si="2"/>
        <v>0.6114666666666666</v>
      </c>
      <c r="L30" s="56"/>
      <c r="M30" s="62">
        <f t="shared" si="3"/>
        <v>0.15363333333333334</v>
      </c>
      <c r="N30" s="56">
        <f t="shared" si="4"/>
        <v>10.902743133333333</v>
      </c>
      <c r="O30" s="58">
        <f t="shared" si="5"/>
        <v>21.805486266666666</v>
      </c>
      <c r="P30" s="56">
        <f t="shared" si="6"/>
        <v>2.1805486266666665</v>
      </c>
      <c r="Q30" s="57">
        <f>AVERAGE(P30:P32)</f>
        <v>2.2033760233333326</v>
      </c>
      <c r="R30" s="56">
        <f>STDEV(P30:P32)</f>
        <v>0.27658772794727965</v>
      </c>
      <c r="S30" s="58">
        <f>R30/Q30*100</f>
        <v>12.55290631368719</v>
      </c>
      <c r="T30" s="63">
        <f>D36</f>
        <v>4</v>
      </c>
      <c r="U30" s="64">
        <f>Q36</f>
        <v>1.6137668399999996</v>
      </c>
    </row>
    <row r="31" spans="1:24" ht="14.4" customHeight="1" x14ac:dyDescent="0.3">
      <c r="A31" s="18">
        <v>5</v>
      </c>
      <c r="B31" s="30">
        <v>10</v>
      </c>
      <c r="D31" s="77"/>
      <c r="E31" s="17" t="s">
        <v>55</v>
      </c>
      <c r="F31" s="17">
        <f t="shared" ref="F31" si="7">F30</f>
        <v>10</v>
      </c>
      <c r="G31" s="57">
        <v>0.32819999999999999</v>
      </c>
      <c r="H31" s="58">
        <v>0.64710000000000001</v>
      </c>
      <c r="I31" s="56"/>
      <c r="J31" s="57">
        <f t="shared" si="1"/>
        <v>0.28909999999999997</v>
      </c>
      <c r="K31" s="58">
        <f t="shared" si="2"/>
        <v>0.60996666666666666</v>
      </c>
      <c r="L31" s="56"/>
      <c r="M31" s="62">
        <f t="shared" si="3"/>
        <v>0.1366083333333333</v>
      </c>
      <c r="N31" s="56">
        <f t="shared" si="4"/>
        <v>9.6945469833333302</v>
      </c>
      <c r="O31" s="58">
        <f t="shared" si="5"/>
        <v>19.38909396666666</v>
      </c>
      <c r="P31" s="56">
        <f t="shared" si="6"/>
        <v>1.938909396666666</v>
      </c>
      <c r="Q31" s="57"/>
      <c r="R31" s="56"/>
      <c r="S31" s="58"/>
      <c r="T31" s="63">
        <f>D39</f>
        <v>5</v>
      </c>
      <c r="U31" s="64">
        <f>Q39</f>
        <v>1.0577482299999996</v>
      </c>
    </row>
    <row r="32" spans="1:24" ht="14.4" customHeight="1" x14ac:dyDescent="0.3">
      <c r="A32" s="18">
        <v>6</v>
      </c>
      <c r="B32" s="30">
        <v>10</v>
      </c>
      <c r="D32" s="78"/>
      <c r="E32" s="22" t="s">
        <v>56</v>
      </c>
      <c r="F32" s="22">
        <f t="shared" ref="F32" si="8">F30</f>
        <v>10</v>
      </c>
      <c r="G32" s="65">
        <v>0.36899999999999999</v>
      </c>
      <c r="H32" s="66">
        <v>0.65480000000000005</v>
      </c>
      <c r="I32" s="56"/>
      <c r="J32" s="57">
        <f t="shared" si="1"/>
        <v>0.32989999999999997</v>
      </c>
      <c r="K32" s="58">
        <f t="shared" si="2"/>
        <v>0.6176666666666667</v>
      </c>
      <c r="L32" s="56"/>
      <c r="M32" s="62">
        <f t="shared" si="3"/>
        <v>0.1754833333333333</v>
      </c>
      <c r="N32" s="56">
        <f t="shared" si="4"/>
        <v>12.45335023333333</v>
      </c>
      <c r="O32" s="58">
        <f t="shared" si="5"/>
        <v>24.90670046666666</v>
      </c>
      <c r="P32" s="56">
        <f t="shared" si="6"/>
        <v>2.4906700466666658</v>
      </c>
      <c r="Q32" s="57"/>
      <c r="R32" s="56"/>
      <c r="S32" s="58"/>
      <c r="T32" s="63">
        <f>D42</f>
        <v>6</v>
      </c>
      <c r="U32" s="64">
        <f>Q42</f>
        <v>1.6788190066666662</v>
      </c>
    </row>
    <row r="33" spans="1:21" ht="14.4" customHeight="1" x14ac:dyDescent="0.3">
      <c r="A33" s="18">
        <v>7</v>
      </c>
      <c r="B33" s="30">
        <v>10</v>
      </c>
      <c r="D33" s="76">
        <f>A29</f>
        <v>3</v>
      </c>
      <c r="E33" s="12" t="s">
        <v>57</v>
      </c>
      <c r="F33" s="12">
        <f>B29</f>
        <v>10</v>
      </c>
      <c r="G33" s="54">
        <v>0.35880000000000001</v>
      </c>
      <c r="H33" s="55">
        <v>0.66449999999999998</v>
      </c>
      <c r="I33" s="56"/>
      <c r="J33" s="57">
        <f t="shared" si="1"/>
        <v>0.31969999999999998</v>
      </c>
      <c r="K33" s="58">
        <f t="shared" si="2"/>
        <v>0.62736666666666663</v>
      </c>
      <c r="L33" s="56"/>
      <c r="M33" s="62">
        <f t="shared" si="3"/>
        <v>0.16285833333333333</v>
      </c>
      <c r="N33" s="56">
        <f t="shared" si="4"/>
        <v>11.557404483333332</v>
      </c>
      <c r="O33" s="58">
        <f t="shared" si="5"/>
        <v>23.114808966666665</v>
      </c>
      <c r="P33" s="56">
        <f t="shared" si="6"/>
        <v>2.3114808966666667</v>
      </c>
      <c r="Q33" s="57">
        <f>AVERAGE(P33:P35)</f>
        <v>2.3020187633333333</v>
      </c>
      <c r="R33" s="56">
        <f>STDEV(P33:P35)</f>
        <v>7.1790039471379699E-2</v>
      </c>
      <c r="S33" s="58">
        <f>R33/Q33*100</f>
        <v>3.1185688238017399</v>
      </c>
      <c r="T33" s="63">
        <f>D45</f>
        <v>7</v>
      </c>
      <c r="U33" s="64">
        <f>Q45</f>
        <v>2.2822665600000001</v>
      </c>
    </row>
    <row r="34" spans="1:21" ht="14.4" customHeight="1" x14ac:dyDescent="0.3">
      <c r="A34" s="18">
        <v>8</v>
      </c>
      <c r="B34" s="30">
        <v>10</v>
      </c>
      <c r="D34" s="77"/>
      <c r="E34" s="17" t="s">
        <v>58</v>
      </c>
      <c r="F34" s="17">
        <f t="shared" ref="F34" si="9">F33</f>
        <v>10</v>
      </c>
      <c r="G34" s="57">
        <v>0.36130000000000001</v>
      </c>
      <c r="H34" s="58">
        <v>0.65839999999999999</v>
      </c>
      <c r="I34" s="56"/>
      <c r="J34" s="57">
        <f t="shared" si="1"/>
        <v>0.32219999999999999</v>
      </c>
      <c r="K34" s="58">
        <f t="shared" si="2"/>
        <v>0.62126666666666663</v>
      </c>
      <c r="L34" s="56"/>
      <c r="M34" s="62">
        <f t="shared" si="3"/>
        <v>0.16688333333333333</v>
      </c>
      <c r="N34" s="56">
        <f t="shared" si="4"/>
        <v>11.843042633333331</v>
      </c>
      <c r="O34" s="58">
        <f t="shared" si="5"/>
        <v>23.686085266666662</v>
      </c>
      <c r="P34" s="56">
        <f t="shared" si="6"/>
        <v>2.3686085266666663</v>
      </c>
      <c r="Q34" s="57"/>
      <c r="R34" s="56"/>
      <c r="S34" s="58"/>
      <c r="T34" s="63">
        <f>D48</f>
        <v>8</v>
      </c>
      <c r="U34" s="64">
        <f>Q48</f>
        <v>2.1300444899999995</v>
      </c>
    </row>
    <row r="35" spans="1:21" ht="14.4" customHeight="1" x14ac:dyDescent="0.3">
      <c r="A35" s="18">
        <v>9</v>
      </c>
      <c r="B35" s="30">
        <v>10</v>
      </c>
      <c r="D35" s="78"/>
      <c r="E35" s="22" t="s">
        <v>59</v>
      </c>
      <c r="F35" s="22">
        <f t="shared" ref="F35" si="10">F33</f>
        <v>10</v>
      </c>
      <c r="G35" s="65">
        <v>0.35639999999999999</v>
      </c>
      <c r="H35" s="66">
        <v>0.67900000000000005</v>
      </c>
      <c r="I35" s="56"/>
      <c r="J35" s="57">
        <f t="shared" si="1"/>
        <v>0.31729999999999997</v>
      </c>
      <c r="K35" s="58">
        <f t="shared" si="2"/>
        <v>0.6418666666666667</v>
      </c>
      <c r="L35" s="56"/>
      <c r="M35" s="62">
        <f t="shared" si="3"/>
        <v>0.1568333333333333</v>
      </c>
      <c r="N35" s="56">
        <f t="shared" si="4"/>
        <v>11.12983433333333</v>
      </c>
      <c r="O35" s="58">
        <f t="shared" si="5"/>
        <v>22.259668666666659</v>
      </c>
      <c r="P35" s="56">
        <f t="shared" si="6"/>
        <v>2.2259668666666661</v>
      </c>
      <c r="Q35" s="57"/>
      <c r="R35" s="56"/>
      <c r="S35" s="58"/>
      <c r="T35" s="63">
        <f>D51</f>
        <v>9</v>
      </c>
      <c r="U35" s="64">
        <f>Q51</f>
        <v>1.9344148833333328</v>
      </c>
    </row>
    <row r="36" spans="1:21" ht="14.4" customHeight="1" x14ac:dyDescent="0.3">
      <c r="A36" s="18">
        <v>10</v>
      </c>
      <c r="B36" s="30">
        <v>10</v>
      </c>
      <c r="D36" s="76">
        <f>A30</f>
        <v>4</v>
      </c>
      <c r="E36" s="12" t="s">
        <v>60</v>
      </c>
      <c r="F36" s="12">
        <f>B30</f>
        <v>10</v>
      </c>
      <c r="G36" s="54">
        <v>0.28100000000000003</v>
      </c>
      <c r="H36" s="55">
        <v>0.62529999999999997</v>
      </c>
      <c r="I36" s="56"/>
      <c r="J36" s="57">
        <f t="shared" si="1"/>
        <v>0.24190000000000003</v>
      </c>
      <c r="K36" s="58">
        <f t="shared" si="2"/>
        <v>0.58816666666666662</v>
      </c>
      <c r="L36" s="56"/>
      <c r="M36" s="62">
        <f t="shared" si="3"/>
        <v>9.4858333333333378E-2</v>
      </c>
      <c r="N36" s="56">
        <f t="shared" si="4"/>
        <v>6.7317164833333356</v>
      </c>
      <c r="O36" s="58">
        <f t="shared" si="5"/>
        <v>13.463432966666671</v>
      </c>
      <c r="P36" s="56">
        <f t="shared" si="6"/>
        <v>1.3463432966666671</v>
      </c>
      <c r="Q36" s="57">
        <f>AVERAGE(P36:P38)</f>
        <v>1.6137668399999996</v>
      </c>
      <c r="R36" s="56">
        <f>STDEV(P36:P38)</f>
        <v>0.27724017868083684</v>
      </c>
      <c r="S36" s="58">
        <f>R36/Q36*100</f>
        <v>17.179692369985549</v>
      </c>
      <c r="T36" s="63">
        <f>D54</f>
        <v>10</v>
      </c>
      <c r="U36" s="64">
        <f>Q54</f>
        <v>1.6266589966666665</v>
      </c>
    </row>
    <row r="37" spans="1:21" ht="14.4" customHeight="1" x14ac:dyDescent="0.3">
      <c r="A37" s="18">
        <v>11</v>
      </c>
      <c r="B37" s="30">
        <v>10</v>
      </c>
      <c r="D37" s="77"/>
      <c r="E37" s="17" t="s">
        <v>61</v>
      </c>
      <c r="F37" s="17">
        <f t="shared" ref="F37" si="11">F36</f>
        <v>10</v>
      </c>
      <c r="G37" s="57">
        <v>0.29089999999999999</v>
      </c>
      <c r="H37" s="58">
        <v>0.5948</v>
      </c>
      <c r="I37" s="56"/>
      <c r="J37" s="57">
        <f t="shared" si="1"/>
        <v>0.25179999999999997</v>
      </c>
      <c r="K37" s="58">
        <f t="shared" si="2"/>
        <v>0.55766666666666664</v>
      </c>
      <c r="L37" s="56"/>
      <c r="M37" s="62">
        <f t="shared" si="3"/>
        <v>0.11238333333333331</v>
      </c>
      <c r="N37" s="56">
        <f t="shared" si="4"/>
        <v>7.9753956333333305</v>
      </c>
      <c r="O37" s="58">
        <f t="shared" si="5"/>
        <v>15.950791266666661</v>
      </c>
      <c r="P37" s="56">
        <f t="shared" si="6"/>
        <v>1.5950791266666662</v>
      </c>
      <c r="Q37" s="57"/>
      <c r="R37" s="56"/>
      <c r="S37" s="58"/>
      <c r="T37" s="63">
        <f>D57</f>
        <v>11</v>
      </c>
      <c r="U37" s="64">
        <f>Q57</f>
        <v>0.13483539999999991</v>
      </c>
    </row>
    <row r="38" spans="1:21" ht="14.4" customHeight="1" x14ac:dyDescent="0.3">
      <c r="A38" s="18">
        <v>12</v>
      </c>
      <c r="B38" s="30">
        <v>10</v>
      </c>
      <c r="D38" s="78"/>
      <c r="E38" s="22" t="s">
        <v>62</v>
      </c>
      <c r="F38" s="22">
        <f t="shared" ref="F38" si="12">F36</f>
        <v>10</v>
      </c>
      <c r="G38" s="65">
        <v>0.31359999999999999</v>
      </c>
      <c r="H38" s="66">
        <v>0.59970000000000001</v>
      </c>
      <c r="I38" s="56"/>
      <c r="J38" s="57">
        <f t="shared" si="1"/>
        <v>0.27449999999999997</v>
      </c>
      <c r="K38" s="58">
        <f t="shared" si="2"/>
        <v>0.56256666666666666</v>
      </c>
      <c r="L38" s="56"/>
      <c r="M38" s="62">
        <f t="shared" si="3"/>
        <v>0.1338583333333333</v>
      </c>
      <c r="N38" s="56">
        <f t="shared" si="4"/>
        <v>9.4993904833333307</v>
      </c>
      <c r="O38" s="58">
        <f t="shared" si="5"/>
        <v>18.998780966666661</v>
      </c>
      <c r="P38" s="56">
        <f t="shared" si="6"/>
        <v>1.8998780966666662</v>
      </c>
      <c r="Q38" s="57"/>
      <c r="R38" s="56"/>
      <c r="S38" s="58"/>
      <c r="T38" s="63">
        <f>D60</f>
        <v>12</v>
      </c>
      <c r="U38" s="64">
        <f>Q60</f>
        <v>0.13010433333333329</v>
      </c>
    </row>
    <row r="39" spans="1:21" ht="14.4" customHeight="1" x14ac:dyDescent="0.3">
      <c r="A39" s="18">
        <v>13</v>
      </c>
      <c r="B39" s="30">
        <v>10</v>
      </c>
      <c r="D39" s="76">
        <f>A31</f>
        <v>5</v>
      </c>
      <c r="E39" s="12" t="s">
        <v>63</v>
      </c>
      <c r="F39" s="12">
        <f>B31</f>
        <v>10</v>
      </c>
      <c r="G39" s="54">
        <v>0.29799999999999999</v>
      </c>
      <c r="H39" s="55">
        <v>0.61119999999999997</v>
      </c>
      <c r="I39" s="56"/>
      <c r="J39" s="57">
        <f t="shared" si="1"/>
        <v>0.25889999999999996</v>
      </c>
      <c r="K39" s="58">
        <f t="shared" si="2"/>
        <v>0.57406666666666661</v>
      </c>
      <c r="L39" s="56"/>
      <c r="M39" s="62">
        <f t="shared" si="3"/>
        <v>0.11538333333333331</v>
      </c>
      <c r="N39" s="56">
        <f t="shared" si="4"/>
        <v>8.1882936333333305</v>
      </c>
      <c r="O39" s="58">
        <f t="shared" si="5"/>
        <v>16.376587266666661</v>
      </c>
      <c r="P39" s="56">
        <f t="shared" si="6"/>
        <v>1.637658726666666</v>
      </c>
      <c r="Q39" s="57">
        <f>AVERAGE(P39:P41)</f>
        <v>1.0577482299999996</v>
      </c>
      <c r="R39" s="56">
        <f>STDEV(P39:P41)</f>
        <v>0.90050138045091344</v>
      </c>
      <c r="S39" s="58">
        <f>R39/Q39*100</f>
        <v>85.133811138678411</v>
      </c>
      <c r="T39" s="63">
        <f>D63</f>
        <v>13</v>
      </c>
      <c r="U39" s="64">
        <f>Q63</f>
        <v>1.5554564433333331</v>
      </c>
    </row>
    <row r="40" spans="1:21" ht="14.4" customHeight="1" x14ac:dyDescent="0.3">
      <c r="A40" s="18">
        <v>14</v>
      </c>
      <c r="B40" s="30">
        <v>10</v>
      </c>
      <c r="D40" s="77"/>
      <c r="E40" s="17" t="s">
        <v>64</v>
      </c>
      <c r="F40" s="17">
        <f t="shared" ref="F40" si="13">F39</f>
        <v>10</v>
      </c>
      <c r="G40" s="57">
        <v>0.20399999999999999</v>
      </c>
      <c r="H40" s="58">
        <v>0.69099999999999995</v>
      </c>
      <c r="I40" s="56"/>
      <c r="J40" s="57">
        <f t="shared" si="1"/>
        <v>0.16489999999999999</v>
      </c>
      <c r="K40" s="58">
        <f t="shared" si="2"/>
        <v>0.6538666666666666</v>
      </c>
      <c r="L40" s="56"/>
      <c r="M40" s="62">
        <f t="shared" si="3"/>
        <v>1.433333333333342E-3</v>
      </c>
      <c r="N40" s="56">
        <f t="shared" si="4"/>
        <v>0.10171793333333394</v>
      </c>
      <c r="O40" s="58">
        <f t="shared" si="5"/>
        <v>0.20343586666666788</v>
      </c>
      <c r="P40" s="56">
        <f t="shared" si="6"/>
        <v>2.0343586666666788E-2</v>
      </c>
      <c r="Q40" s="57"/>
      <c r="R40" s="56"/>
      <c r="S40" s="58"/>
      <c r="T40" s="63">
        <f>D66</f>
        <v>14</v>
      </c>
      <c r="U40" s="64">
        <f>Q66</f>
        <v>2.29894357</v>
      </c>
    </row>
    <row r="41" spans="1:21" ht="14.4" customHeight="1" x14ac:dyDescent="0.3">
      <c r="A41" s="18">
        <v>15</v>
      </c>
      <c r="B41" s="30">
        <v>10</v>
      </c>
      <c r="D41" s="78"/>
      <c r="E41" s="22" t="s">
        <v>65</v>
      </c>
      <c r="F41" s="22">
        <f t="shared" ref="F41" si="14">F39</f>
        <v>10</v>
      </c>
      <c r="G41" s="65">
        <v>0.28799999999999998</v>
      </c>
      <c r="H41" s="66">
        <v>0.60570000000000002</v>
      </c>
      <c r="I41" s="56"/>
      <c r="J41" s="57">
        <f t="shared" si="1"/>
        <v>0.24889999999999998</v>
      </c>
      <c r="K41" s="58">
        <f t="shared" si="2"/>
        <v>0.56856666666666666</v>
      </c>
      <c r="L41" s="56"/>
      <c r="M41" s="62">
        <f t="shared" si="3"/>
        <v>0.10675833333333332</v>
      </c>
      <c r="N41" s="56">
        <f t="shared" si="4"/>
        <v>7.5762118833333316</v>
      </c>
      <c r="O41" s="58">
        <f t="shared" si="5"/>
        <v>15.152423766666663</v>
      </c>
      <c r="P41" s="56">
        <f t="shared" si="6"/>
        <v>1.5152423766666663</v>
      </c>
      <c r="Q41" s="57"/>
      <c r="R41" s="56"/>
      <c r="S41" s="58"/>
      <c r="T41" s="63">
        <f>D69</f>
        <v>15</v>
      </c>
      <c r="U41" s="64">
        <f>Q69</f>
        <v>2.3113626199999993</v>
      </c>
    </row>
    <row r="42" spans="1:21" ht="14.4" customHeight="1" x14ac:dyDescent="0.3">
      <c r="A42" s="18">
        <v>16</v>
      </c>
      <c r="B42" s="30">
        <v>10</v>
      </c>
      <c r="D42" s="76">
        <f>A32</f>
        <v>6</v>
      </c>
      <c r="E42" s="12" t="s">
        <v>66</v>
      </c>
      <c r="F42" s="12">
        <f>B32</f>
        <v>10</v>
      </c>
      <c r="G42" s="54">
        <v>0.33489999999999998</v>
      </c>
      <c r="H42" s="55">
        <v>0.79159999999999997</v>
      </c>
      <c r="I42" s="56"/>
      <c r="J42" s="57">
        <f t="shared" si="1"/>
        <v>0.29579999999999995</v>
      </c>
      <c r="K42" s="58">
        <f t="shared" si="2"/>
        <v>0.75446666666666662</v>
      </c>
      <c r="L42" s="56"/>
      <c r="M42" s="62">
        <f t="shared" si="3"/>
        <v>0.1071833333333333</v>
      </c>
      <c r="N42" s="56">
        <f t="shared" si="4"/>
        <v>7.6063724333333305</v>
      </c>
      <c r="O42" s="58">
        <f t="shared" si="5"/>
        <v>15.212744866666661</v>
      </c>
      <c r="P42" s="56">
        <f t="shared" si="6"/>
        <v>1.5212744866666661</v>
      </c>
      <c r="Q42" s="57">
        <f>AVERAGE(P42:P44)</f>
        <v>1.6788190066666662</v>
      </c>
      <c r="R42" s="56">
        <f>STDEV(P42:P44)</f>
        <v>0.6426981241977695</v>
      </c>
      <c r="S42" s="58">
        <f>R42/Q42*100</f>
        <v>38.28275243761157</v>
      </c>
      <c r="T42" s="63">
        <f>D72</f>
        <v>16</v>
      </c>
      <c r="U42" s="64">
        <f>Q72</f>
        <v>1.9332321166666666</v>
      </c>
    </row>
    <row r="43" spans="1:21" ht="14.4" customHeight="1" x14ac:dyDescent="0.3">
      <c r="A43" s="18">
        <v>17</v>
      </c>
      <c r="B43" s="30">
        <v>10</v>
      </c>
      <c r="D43" s="77"/>
      <c r="E43" s="17" t="s">
        <v>67</v>
      </c>
      <c r="F43" s="17">
        <f t="shared" ref="F43" si="15">F42</f>
        <v>10</v>
      </c>
      <c r="G43" s="57">
        <v>0.38379999999999997</v>
      </c>
      <c r="H43" s="58">
        <v>0.74360000000000004</v>
      </c>
      <c r="I43" s="56"/>
      <c r="J43" s="57">
        <f t="shared" si="1"/>
        <v>0.34469999999999995</v>
      </c>
      <c r="K43" s="58">
        <f t="shared" si="2"/>
        <v>0.70646666666666669</v>
      </c>
      <c r="L43" s="56"/>
      <c r="M43" s="62">
        <f t="shared" si="3"/>
        <v>0.16808333333333328</v>
      </c>
      <c r="N43" s="56">
        <f t="shared" si="4"/>
        <v>11.928201833333329</v>
      </c>
      <c r="O43" s="58">
        <f t="shared" si="5"/>
        <v>23.856403666666658</v>
      </c>
      <c r="P43" s="56">
        <f t="shared" si="6"/>
        <v>2.3856403666666659</v>
      </c>
      <c r="Q43" s="57"/>
      <c r="R43" s="56"/>
      <c r="S43" s="58"/>
      <c r="T43" s="63">
        <f>D75</f>
        <v>17</v>
      </c>
      <c r="U43" s="64">
        <f>Q75</f>
        <v>1.6459380933333332</v>
      </c>
    </row>
    <row r="44" spans="1:21" ht="14.4" customHeight="1" x14ac:dyDescent="0.3">
      <c r="A44" s="18">
        <v>18</v>
      </c>
      <c r="B44" s="30">
        <v>10</v>
      </c>
      <c r="D44" s="78"/>
      <c r="E44" s="22" t="s">
        <v>68</v>
      </c>
      <c r="F44" s="22">
        <f t="shared" ref="F44" si="16">F42</f>
        <v>10</v>
      </c>
      <c r="G44" s="65">
        <v>0.30120000000000002</v>
      </c>
      <c r="H44" s="66">
        <v>0.76719999999999999</v>
      </c>
      <c r="I44" s="56"/>
      <c r="J44" s="57">
        <f t="shared" si="1"/>
        <v>0.2621</v>
      </c>
      <c r="K44" s="58">
        <f t="shared" si="2"/>
        <v>0.73006666666666664</v>
      </c>
      <c r="L44" s="56"/>
      <c r="M44" s="62">
        <f t="shared" si="3"/>
        <v>7.9583333333333339E-2</v>
      </c>
      <c r="N44" s="56">
        <f t="shared" si="4"/>
        <v>5.647710833333333</v>
      </c>
      <c r="O44" s="58">
        <f t="shared" si="5"/>
        <v>11.295421666666666</v>
      </c>
      <c r="P44" s="56">
        <f t="shared" si="6"/>
        <v>1.1295421666666665</v>
      </c>
      <c r="Q44" s="57"/>
      <c r="R44" s="56"/>
      <c r="S44" s="58"/>
      <c r="T44" s="63">
        <f>D78</f>
        <v>18</v>
      </c>
      <c r="U44" s="64">
        <f>Q78</f>
        <v>2.3638774599999999</v>
      </c>
    </row>
    <row r="45" spans="1:21" ht="14.4" customHeight="1" x14ac:dyDescent="0.3">
      <c r="A45" s="18">
        <v>19</v>
      </c>
      <c r="B45" s="30">
        <v>10</v>
      </c>
      <c r="D45" s="76">
        <f>A33</f>
        <v>7</v>
      </c>
      <c r="E45" s="12" t="s">
        <v>69</v>
      </c>
      <c r="F45" s="12">
        <f>B33</f>
        <v>10</v>
      </c>
      <c r="G45" s="54">
        <v>0.38040000000000002</v>
      </c>
      <c r="H45" s="55">
        <v>0.68089999999999995</v>
      </c>
      <c r="I45" s="56"/>
      <c r="J45" s="57">
        <f t="shared" si="1"/>
        <v>0.34129999999999999</v>
      </c>
      <c r="K45" s="58">
        <f t="shared" si="2"/>
        <v>0.6437666666666666</v>
      </c>
      <c r="L45" s="56"/>
      <c r="M45" s="62">
        <f t="shared" si="3"/>
        <v>0.18035833333333334</v>
      </c>
      <c r="N45" s="56">
        <f t="shared" si="4"/>
        <v>12.799309483333333</v>
      </c>
      <c r="O45" s="58">
        <f t="shared" si="5"/>
        <v>25.598618966666667</v>
      </c>
      <c r="P45" s="56">
        <f t="shared" si="6"/>
        <v>2.5598618966666669</v>
      </c>
      <c r="Q45" s="57">
        <f>AVERAGE(P45:P47)</f>
        <v>2.2822665600000001</v>
      </c>
      <c r="R45" s="56">
        <f>STDEV(P45:P47)</f>
        <v>0.28145654490293848</v>
      </c>
      <c r="S45" s="58">
        <f>R45/Q45*100</f>
        <v>12.33232567290205</v>
      </c>
      <c r="T45" s="63">
        <f>D81</f>
        <v>19</v>
      </c>
      <c r="U45" s="64">
        <f>Q81</f>
        <v>2.3990056299999996</v>
      </c>
    </row>
    <row r="46" spans="1:21" ht="14.4" customHeight="1" x14ac:dyDescent="0.3">
      <c r="A46" s="18">
        <v>20</v>
      </c>
      <c r="B46" s="30">
        <v>10</v>
      </c>
      <c r="D46" s="77"/>
      <c r="E46" s="17" t="s">
        <v>70</v>
      </c>
      <c r="F46" s="17">
        <f t="shared" ref="F46" si="17">F45</f>
        <v>10</v>
      </c>
      <c r="G46" s="57">
        <v>0.3468</v>
      </c>
      <c r="H46" s="58">
        <v>0.70509999999999995</v>
      </c>
      <c r="I46" s="56"/>
      <c r="J46" s="57">
        <f t="shared" si="1"/>
        <v>0.30769999999999997</v>
      </c>
      <c r="K46" s="58">
        <f t="shared" si="2"/>
        <v>0.6679666666666666</v>
      </c>
      <c r="L46" s="56"/>
      <c r="M46" s="62">
        <f t="shared" si="3"/>
        <v>0.14070833333333332</v>
      </c>
      <c r="N46" s="56">
        <f t="shared" si="4"/>
        <v>9.985507583333332</v>
      </c>
      <c r="O46" s="58">
        <f t="shared" si="5"/>
        <v>19.971015166666664</v>
      </c>
      <c r="P46" s="56">
        <f t="shared" si="6"/>
        <v>1.9971015166666664</v>
      </c>
      <c r="Q46" s="57"/>
      <c r="R46" s="56"/>
      <c r="S46" s="58"/>
      <c r="T46" s="63">
        <f>D84</f>
        <v>20</v>
      </c>
      <c r="U46" s="64">
        <f>Q84</f>
        <v>1.8289120966666665</v>
      </c>
    </row>
    <row r="47" spans="1:21" ht="14.4" customHeight="1" x14ac:dyDescent="0.3">
      <c r="A47" s="18">
        <v>21</v>
      </c>
      <c r="B47" s="30">
        <v>10</v>
      </c>
      <c r="D47" s="78"/>
      <c r="E47" s="22" t="s">
        <v>71</v>
      </c>
      <c r="F47" s="22">
        <f t="shared" ref="F47" si="18">F45</f>
        <v>10</v>
      </c>
      <c r="G47" s="65">
        <v>0.36020000000000002</v>
      </c>
      <c r="H47" s="66">
        <v>0.67620000000000002</v>
      </c>
      <c r="I47" s="56"/>
      <c r="J47" s="57">
        <f t="shared" si="1"/>
        <v>0.3211</v>
      </c>
      <c r="K47" s="58">
        <f t="shared" si="2"/>
        <v>0.63906666666666667</v>
      </c>
      <c r="L47" s="56"/>
      <c r="M47" s="62">
        <f t="shared" si="3"/>
        <v>0.16133333333333333</v>
      </c>
      <c r="N47" s="56">
        <f t="shared" si="4"/>
        <v>11.449181333333332</v>
      </c>
      <c r="O47" s="58">
        <f t="shared" si="5"/>
        <v>22.898362666666664</v>
      </c>
      <c r="P47" s="56">
        <f t="shared" si="6"/>
        <v>2.2898362666666663</v>
      </c>
      <c r="Q47" s="57"/>
      <c r="R47" s="56"/>
      <c r="S47" s="58"/>
      <c r="T47" s="63">
        <f>D87</f>
        <v>21</v>
      </c>
      <c r="U47" s="64">
        <f>Q87</f>
        <v>0.99565297999999969</v>
      </c>
    </row>
    <row r="48" spans="1:21" ht="14.4" customHeight="1" x14ac:dyDescent="0.3">
      <c r="A48" s="18">
        <v>22</v>
      </c>
      <c r="B48" s="30">
        <v>10</v>
      </c>
      <c r="D48" s="76">
        <f>A34</f>
        <v>8</v>
      </c>
      <c r="E48" s="12" t="s">
        <v>72</v>
      </c>
      <c r="F48" s="12">
        <f>B34</f>
        <v>10</v>
      </c>
      <c r="G48" s="54">
        <v>0.38429999999999997</v>
      </c>
      <c r="H48" s="55">
        <v>0.72040000000000004</v>
      </c>
      <c r="I48" s="56"/>
      <c r="J48" s="57">
        <f t="shared" si="1"/>
        <v>0.34519999999999995</v>
      </c>
      <c r="K48" s="58">
        <f t="shared" si="2"/>
        <v>0.68326666666666669</v>
      </c>
      <c r="L48" s="56"/>
      <c r="M48" s="62">
        <f t="shared" si="3"/>
        <v>0.17438333333333328</v>
      </c>
      <c r="N48" s="56">
        <f t="shared" si="4"/>
        <v>12.375287633333329</v>
      </c>
      <c r="O48" s="58">
        <f t="shared" si="5"/>
        <v>24.750575266666658</v>
      </c>
      <c r="P48" s="56">
        <f t="shared" si="6"/>
        <v>2.4750575266666659</v>
      </c>
      <c r="Q48" s="57">
        <f>AVERAGE(P48:P50)</f>
        <v>2.1300444899999995</v>
      </c>
      <c r="R48" s="56">
        <f>STDEV(P48:P50)</f>
        <v>0.34560593792103367</v>
      </c>
      <c r="S48" s="58">
        <f>R48/Q48*100</f>
        <v>16.225291985381666</v>
      </c>
      <c r="T48" s="63">
        <f>D90</f>
        <v>22</v>
      </c>
      <c r="U48" s="64">
        <f>Q90</f>
        <v>2.1272058499999993</v>
      </c>
    </row>
    <row r="49" spans="1:22" ht="14.4" customHeight="1" x14ac:dyDescent="0.3">
      <c r="A49" s="18">
        <v>23</v>
      </c>
      <c r="B49" s="30">
        <v>10</v>
      </c>
      <c r="D49" s="77"/>
      <c r="E49" s="17" t="s">
        <v>73</v>
      </c>
      <c r="F49" s="17">
        <f t="shared" ref="F49" si="19">F48</f>
        <v>10</v>
      </c>
      <c r="G49" s="57">
        <v>0.3412</v>
      </c>
      <c r="H49" s="58">
        <v>0.74280000000000002</v>
      </c>
      <c r="I49" s="56"/>
      <c r="J49" s="57">
        <f t="shared" si="1"/>
        <v>0.30209999999999998</v>
      </c>
      <c r="K49" s="58">
        <f t="shared" si="2"/>
        <v>0.70566666666666666</v>
      </c>
      <c r="L49" s="56"/>
      <c r="M49" s="62">
        <f t="shared" si="3"/>
        <v>0.12568333333333331</v>
      </c>
      <c r="N49" s="56">
        <f t="shared" si="4"/>
        <v>8.9192434333333317</v>
      </c>
      <c r="O49" s="58">
        <f t="shared" si="5"/>
        <v>17.838486866666663</v>
      </c>
      <c r="P49" s="56">
        <f t="shared" si="6"/>
        <v>1.7838486866666663</v>
      </c>
      <c r="Q49" s="57"/>
      <c r="R49" s="56"/>
      <c r="S49" s="58"/>
      <c r="T49" s="63">
        <f>D93</f>
        <v>23</v>
      </c>
      <c r="U49" s="64">
        <f>Q93</f>
        <v>2.2039674066666661</v>
      </c>
    </row>
    <row r="50" spans="1:22" ht="14.4" customHeight="1" x14ac:dyDescent="0.3">
      <c r="A50" s="23">
        <v>24</v>
      </c>
      <c r="B50" s="30">
        <v>10</v>
      </c>
      <c r="D50" s="78"/>
      <c r="E50" s="22" t="s">
        <v>74</v>
      </c>
      <c r="F50" s="22">
        <f t="shared" ref="F50" si="20">F48</f>
        <v>10</v>
      </c>
      <c r="G50" s="65">
        <v>0.35870000000000002</v>
      </c>
      <c r="H50" s="66">
        <v>0.71489999999999998</v>
      </c>
      <c r="I50" s="56"/>
      <c r="J50" s="57">
        <f t="shared" si="1"/>
        <v>0.3196</v>
      </c>
      <c r="K50" s="58">
        <f t="shared" si="2"/>
        <v>0.67776666666666663</v>
      </c>
      <c r="L50" s="56"/>
      <c r="M50" s="62">
        <f t="shared" si="3"/>
        <v>0.15015833333333334</v>
      </c>
      <c r="N50" s="56">
        <f t="shared" si="4"/>
        <v>10.656136283333332</v>
      </c>
      <c r="O50" s="58">
        <f t="shared" si="5"/>
        <v>21.312272566666664</v>
      </c>
      <c r="P50" s="56">
        <f t="shared" si="6"/>
        <v>2.1312272566666666</v>
      </c>
      <c r="Q50" s="57"/>
      <c r="R50" s="56"/>
      <c r="S50" s="58"/>
      <c r="T50" s="67">
        <f>D96</f>
        <v>24</v>
      </c>
      <c r="U50" s="68">
        <f>Q96</f>
        <v>2.1721509833333328</v>
      </c>
    </row>
    <row r="51" spans="1:22" ht="14.4" customHeight="1" x14ac:dyDescent="0.3">
      <c r="D51" s="76">
        <f>A35</f>
        <v>9</v>
      </c>
      <c r="E51" s="12" t="s">
        <v>75</v>
      </c>
      <c r="F51" s="12">
        <f>B35</f>
        <v>10</v>
      </c>
      <c r="G51" s="54">
        <v>0.36849999999999999</v>
      </c>
      <c r="H51" s="55">
        <v>0.69530000000000003</v>
      </c>
      <c r="I51" s="56"/>
      <c r="J51" s="57">
        <f t="shared" si="1"/>
        <v>0.32939999999999997</v>
      </c>
      <c r="K51" s="58">
        <f t="shared" si="2"/>
        <v>0.65816666666666668</v>
      </c>
      <c r="L51" s="56"/>
      <c r="M51" s="62">
        <f t="shared" si="3"/>
        <v>0.1648583333333333</v>
      </c>
      <c r="N51" s="56">
        <f t="shared" si="4"/>
        <v>11.69933648333333</v>
      </c>
      <c r="O51" s="58">
        <f t="shared" si="5"/>
        <v>23.398672966666659</v>
      </c>
      <c r="P51" s="56">
        <f t="shared" si="6"/>
        <v>2.3398672966666658</v>
      </c>
      <c r="Q51" s="57">
        <f>AVERAGE(P51:P53)</f>
        <v>1.9344148833333328</v>
      </c>
      <c r="R51" s="56">
        <f>STDEV(P51:P53)</f>
        <v>0.71582758465350282</v>
      </c>
      <c r="S51" s="58">
        <f>R51/Q51*100</f>
        <v>37.004863373466584</v>
      </c>
      <c r="T51" s="56"/>
      <c r="U51" s="56"/>
      <c r="V51" s="56"/>
    </row>
    <row r="52" spans="1:22" ht="14.4" customHeight="1" x14ac:dyDescent="0.3">
      <c r="D52" s="77"/>
      <c r="E52" s="17" t="s">
        <v>76</v>
      </c>
      <c r="F52" s="17">
        <f t="shared" ref="F52" si="21">F51</f>
        <v>10</v>
      </c>
      <c r="G52" s="57">
        <v>0.36259999999999998</v>
      </c>
      <c r="H52" s="58">
        <v>0.6673</v>
      </c>
      <c r="I52" s="56"/>
      <c r="J52" s="57">
        <f t="shared" si="1"/>
        <v>0.32349999999999995</v>
      </c>
      <c r="K52" s="58">
        <f t="shared" si="2"/>
        <v>0.63016666666666665</v>
      </c>
      <c r="L52" s="56"/>
      <c r="M52" s="62">
        <f t="shared" si="3"/>
        <v>0.16595833333333329</v>
      </c>
      <c r="N52" s="56">
        <f t="shared" si="4"/>
        <v>11.777399083333329</v>
      </c>
      <c r="O52" s="58">
        <f t="shared" si="5"/>
        <v>23.554798166666657</v>
      </c>
      <c r="P52" s="56">
        <f t="shared" si="6"/>
        <v>2.3554798166666657</v>
      </c>
      <c r="Q52" s="57"/>
      <c r="R52" s="56"/>
      <c r="S52" s="58"/>
      <c r="T52" s="56"/>
    </row>
    <row r="53" spans="1:22" ht="14.4" customHeight="1" x14ac:dyDescent="0.3">
      <c r="D53" s="78"/>
      <c r="E53" s="22" t="s">
        <v>77</v>
      </c>
      <c r="F53" s="22">
        <f t="shared" ref="F53" si="22">F51</f>
        <v>10</v>
      </c>
      <c r="G53" s="65">
        <v>0.2828</v>
      </c>
      <c r="H53" s="66">
        <v>0.69969999999999999</v>
      </c>
      <c r="I53" s="56"/>
      <c r="J53" s="57">
        <f t="shared" si="1"/>
        <v>0.2437</v>
      </c>
      <c r="K53" s="58">
        <f t="shared" si="2"/>
        <v>0.66256666666666664</v>
      </c>
      <c r="L53" s="56"/>
      <c r="M53" s="62">
        <f t="shared" si="3"/>
        <v>7.8058333333333341E-2</v>
      </c>
      <c r="N53" s="56">
        <f t="shared" si="4"/>
        <v>5.5394876833333333</v>
      </c>
      <c r="O53" s="58">
        <f t="shared" si="5"/>
        <v>11.078975366666667</v>
      </c>
      <c r="P53" s="56">
        <f t="shared" si="6"/>
        <v>1.1078975366666666</v>
      </c>
      <c r="Q53" s="57"/>
      <c r="R53" s="56"/>
      <c r="S53" s="58"/>
      <c r="T53" s="56"/>
    </row>
    <row r="54" spans="1:22" ht="14.4" customHeight="1" x14ac:dyDescent="0.3">
      <c r="D54" s="76">
        <f>A36</f>
        <v>10</v>
      </c>
      <c r="E54" s="12" t="s">
        <v>78</v>
      </c>
      <c r="F54" s="12">
        <f>B36</f>
        <v>10</v>
      </c>
      <c r="G54" s="54">
        <v>0.31690000000000002</v>
      </c>
      <c r="H54" s="55">
        <v>0.77539999999999998</v>
      </c>
      <c r="I54" s="56"/>
      <c r="J54" s="57">
        <f t="shared" si="1"/>
        <v>0.27779999999999999</v>
      </c>
      <c r="K54" s="58">
        <f t="shared" si="2"/>
        <v>0.73826666666666663</v>
      </c>
      <c r="L54" s="56"/>
      <c r="M54" s="62">
        <f t="shared" si="3"/>
        <v>9.3233333333333335E-2</v>
      </c>
      <c r="N54" s="56">
        <f t="shared" si="4"/>
        <v>6.6163967333333327</v>
      </c>
      <c r="O54" s="58">
        <f t="shared" si="5"/>
        <v>13.232793466666665</v>
      </c>
      <c r="P54" s="56">
        <f t="shared" si="6"/>
        <v>1.3232793466666666</v>
      </c>
      <c r="Q54" s="57">
        <f>AVERAGE(P54:P56)</f>
        <v>1.6266589966666665</v>
      </c>
      <c r="R54" s="56">
        <f>STDEV(P54:P56)</f>
        <v>0.80199657470844432</v>
      </c>
      <c r="S54" s="58">
        <f>R54/Q54*100</f>
        <v>49.303300590467195</v>
      </c>
      <c r="T54" s="56"/>
    </row>
    <row r="55" spans="1:22" ht="14.4" customHeight="1" x14ac:dyDescent="0.3">
      <c r="D55" s="77"/>
      <c r="E55" s="17" t="s">
        <v>79</v>
      </c>
      <c r="F55" s="17">
        <f t="shared" ref="F55" si="23">F54</f>
        <v>10</v>
      </c>
      <c r="G55" s="57">
        <v>0.39300000000000002</v>
      </c>
      <c r="H55" s="58">
        <v>0.73799999999999999</v>
      </c>
      <c r="I55" s="56"/>
      <c r="J55" s="57">
        <f t="shared" si="1"/>
        <v>0.35389999999999999</v>
      </c>
      <c r="K55" s="58">
        <f t="shared" si="2"/>
        <v>0.70086666666666664</v>
      </c>
      <c r="L55" s="56"/>
      <c r="M55" s="62">
        <f t="shared" si="3"/>
        <v>0.17868333333333333</v>
      </c>
      <c r="N55" s="56">
        <f t="shared" si="4"/>
        <v>12.680441433333332</v>
      </c>
      <c r="O55" s="58">
        <f t="shared" si="5"/>
        <v>25.360882866666664</v>
      </c>
      <c r="P55" s="56">
        <f t="shared" si="6"/>
        <v>2.5360882866666663</v>
      </c>
      <c r="Q55" s="57"/>
      <c r="R55" s="56"/>
      <c r="S55" s="58"/>
      <c r="T55" s="56"/>
    </row>
    <row r="56" spans="1:22" ht="14.4" customHeight="1" x14ac:dyDescent="0.3">
      <c r="D56" s="78"/>
      <c r="E56" s="22" t="s">
        <v>80</v>
      </c>
      <c r="F56" s="22">
        <f t="shared" ref="F56" si="24">F54</f>
        <v>10</v>
      </c>
      <c r="G56" s="65">
        <v>0.3075</v>
      </c>
      <c r="H56" s="66">
        <v>0.82310000000000005</v>
      </c>
      <c r="I56" s="56"/>
      <c r="J56" s="57">
        <f t="shared" si="1"/>
        <v>0.26839999999999997</v>
      </c>
      <c r="K56" s="58">
        <f t="shared" si="2"/>
        <v>0.7859666666666667</v>
      </c>
      <c r="L56" s="56"/>
      <c r="M56" s="62">
        <f t="shared" si="3"/>
        <v>7.1908333333333296E-2</v>
      </c>
      <c r="N56" s="56">
        <f t="shared" si="4"/>
        <v>5.1030467833333306</v>
      </c>
      <c r="O56" s="58">
        <f t="shared" si="5"/>
        <v>10.206093566666661</v>
      </c>
      <c r="P56" s="56">
        <f t="shared" si="6"/>
        <v>1.0206093566666661</v>
      </c>
      <c r="Q56" s="57"/>
      <c r="R56" s="56"/>
      <c r="S56" s="58"/>
      <c r="T56" s="56"/>
    </row>
    <row r="57" spans="1:22" ht="14.4" customHeight="1" x14ac:dyDescent="0.3">
      <c r="D57" s="76">
        <f>A37</f>
        <v>11</v>
      </c>
      <c r="E57" s="12" t="s">
        <v>81</v>
      </c>
      <c r="F57" s="12">
        <f>B37</f>
        <v>10</v>
      </c>
      <c r="G57" s="54">
        <v>5.0999999999999997E-2</v>
      </c>
      <c r="H57" s="55">
        <v>4.8300000000000003E-2</v>
      </c>
      <c r="I57" s="56"/>
      <c r="J57" s="57">
        <f t="shared" si="1"/>
        <v>1.1899999999999994E-2</v>
      </c>
      <c r="K57" s="58">
        <f t="shared" si="2"/>
        <v>1.1166666666666672E-2</v>
      </c>
      <c r="L57" s="56"/>
      <c r="M57" s="62">
        <f t="shared" si="3"/>
        <v>9.1083333333333259E-3</v>
      </c>
      <c r="N57" s="56">
        <f t="shared" si="4"/>
        <v>0.64638198333333274</v>
      </c>
      <c r="O57" s="58">
        <f t="shared" si="5"/>
        <v>1.2927639666666655</v>
      </c>
      <c r="P57" s="56">
        <f t="shared" si="6"/>
        <v>0.12927639666666654</v>
      </c>
      <c r="Q57" s="57">
        <f>AVERAGE(P57:P59)</f>
        <v>0.13483539999999991</v>
      </c>
      <c r="R57" s="56">
        <f>STDEV(P57:P59)</f>
        <v>4.8175060588684033E-3</v>
      </c>
      <c r="S57" s="58">
        <f>R57/Q57*100</f>
        <v>3.5728792727046508</v>
      </c>
      <c r="T57" s="56"/>
    </row>
    <row r="58" spans="1:22" ht="14.4" customHeight="1" x14ac:dyDescent="0.3">
      <c r="D58" s="77"/>
      <c r="E58" s="17" t="s">
        <v>82</v>
      </c>
      <c r="F58" s="17">
        <f t="shared" ref="F58" si="25">F57</f>
        <v>10</v>
      </c>
      <c r="G58" s="57">
        <v>5.1799999999999999E-2</v>
      </c>
      <c r="H58" s="58">
        <v>4.9200000000000001E-2</v>
      </c>
      <c r="I58" s="56"/>
      <c r="J58" s="57">
        <f t="shared" si="1"/>
        <v>1.2699999999999996E-2</v>
      </c>
      <c r="K58" s="58">
        <f t="shared" si="2"/>
        <v>1.206666666666667E-2</v>
      </c>
      <c r="L58" s="56"/>
      <c r="M58" s="62">
        <f t="shared" si="3"/>
        <v>9.6833333333333285E-3</v>
      </c>
      <c r="N58" s="56">
        <f t="shared" si="4"/>
        <v>0.68718743333333299</v>
      </c>
      <c r="O58" s="58">
        <f t="shared" si="5"/>
        <v>1.374374866666666</v>
      </c>
      <c r="P58" s="56">
        <f t="shared" si="6"/>
        <v>0.13743748666666661</v>
      </c>
      <c r="Q58" s="57"/>
      <c r="R58" s="56"/>
      <c r="S58" s="58"/>
      <c r="T58" s="56"/>
    </row>
    <row r="59" spans="1:22" ht="14.4" customHeight="1" x14ac:dyDescent="0.3">
      <c r="D59" s="78"/>
      <c r="E59" s="22" t="s">
        <v>83</v>
      </c>
      <c r="F59" s="22">
        <f t="shared" ref="F59" si="26">F57</f>
        <v>10</v>
      </c>
      <c r="G59" s="65">
        <v>5.1900000000000002E-2</v>
      </c>
      <c r="H59" s="66">
        <v>4.9500000000000002E-2</v>
      </c>
      <c r="I59" s="56"/>
      <c r="J59" s="57">
        <f t="shared" si="1"/>
        <v>1.2799999999999999E-2</v>
      </c>
      <c r="K59" s="58">
        <f t="shared" si="2"/>
        <v>1.2366666666666672E-2</v>
      </c>
      <c r="L59" s="56"/>
      <c r="M59" s="62">
        <f t="shared" si="3"/>
        <v>9.708333333333331E-3</v>
      </c>
      <c r="N59" s="56">
        <f t="shared" si="4"/>
        <v>0.68896158333333313</v>
      </c>
      <c r="O59" s="58">
        <f t="shared" si="5"/>
        <v>1.3779231666666663</v>
      </c>
      <c r="P59" s="56">
        <f t="shared" si="6"/>
        <v>0.13779231666666664</v>
      </c>
      <c r="Q59" s="57"/>
      <c r="R59" s="56"/>
      <c r="S59" s="58"/>
      <c r="T59" s="56"/>
    </row>
    <row r="60" spans="1:22" ht="14.4" customHeight="1" x14ac:dyDescent="0.3">
      <c r="D60" s="76">
        <f>A38</f>
        <v>12</v>
      </c>
      <c r="E60" s="12" t="s">
        <v>84</v>
      </c>
      <c r="F60" s="12">
        <f>B38</f>
        <v>10</v>
      </c>
      <c r="G60" s="54">
        <v>0.05</v>
      </c>
      <c r="H60" s="55">
        <v>4.7699999999999999E-2</v>
      </c>
      <c r="I60" s="56"/>
      <c r="J60" s="57">
        <f t="shared" si="1"/>
        <v>1.09E-2</v>
      </c>
      <c r="K60" s="58">
        <f t="shared" si="2"/>
        <v>1.0566666666666669E-2</v>
      </c>
      <c r="L60" s="56"/>
      <c r="M60" s="62">
        <f t="shared" si="3"/>
        <v>8.2583333333333328E-3</v>
      </c>
      <c r="N60" s="56">
        <f t="shared" si="4"/>
        <v>0.58606088333333328</v>
      </c>
      <c r="O60" s="58">
        <f t="shared" si="5"/>
        <v>1.1721217666666666</v>
      </c>
      <c r="P60" s="56">
        <f t="shared" si="6"/>
        <v>0.11721217666666665</v>
      </c>
      <c r="Q60" s="57">
        <f>AVERAGE(P60:P62)</f>
        <v>0.13010433333333329</v>
      </c>
      <c r="R60" s="56">
        <f>STDEV(P60:P62)</f>
        <v>1.1662703088119515E-2</v>
      </c>
      <c r="S60" s="58">
        <f>R60/Q60*100</f>
        <v>8.9641157902397719</v>
      </c>
      <c r="T60" s="56"/>
    </row>
    <row r="61" spans="1:22" ht="14.4" customHeight="1" x14ac:dyDescent="0.3">
      <c r="D61" s="77"/>
      <c r="E61" s="17" t="s">
        <v>85</v>
      </c>
      <c r="F61" s="17">
        <f t="shared" ref="F61" si="27">F60</f>
        <v>10</v>
      </c>
      <c r="G61" s="57">
        <v>5.1999999999999998E-2</v>
      </c>
      <c r="H61" s="58">
        <v>4.9299999999999997E-2</v>
      </c>
      <c r="I61" s="56"/>
      <c r="J61" s="57">
        <f t="shared" si="1"/>
        <v>1.2899999999999995E-2</v>
      </c>
      <c r="K61" s="58">
        <f t="shared" si="2"/>
        <v>1.2166666666666666E-2</v>
      </c>
      <c r="L61" s="56"/>
      <c r="M61" s="62">
        <f t="shared" si="3"/>
        <v>9.8583333333333283E-3</v>
      </c>
      <c r="N61" s="56">
        <f t="shared" si="4"/>
        <v>0.69960648333333297</v>
      </c>
      <c r="O61" s="58">
        <f t="shared" si="5"/>
        <v>1.3992129666666659</v>
      </c>
      <c r="P61" s="56">
        <f t="shared" si="6"/>
        <v>0.13992129666666658</v>
      </c>
      <c r="Q61" s="57"/>
      <c r="R61" s="56"/>
      <c r="S61" s="58"/>
      <c r="T61" s="56"/>
    </row>
    <row r="62" spans="1:22" ht="14.4" customHeight="1" x14ac:dyDescent="0.3">
      <c r="D62" s="78"/>
      <c r="E62" s="22" t="s">
        <v>86</v>
      </c>
      <c r="F62" s="22">
        <f t="shared" ref="F62" si="28">F60</f>
        <v>10</v>
      </c>
      <c r="G62" s="65">
        <v>5.1299999999999998E-2</v>
      </c>
      <c r="H62" s="66">
        <v>4.8399999999999999E-2</v>
      </c>
      <c r="I62" s="56"/>
      <c r="J62" s="57">
        <f t="shared" si="1"/>
        <v>1.2199999999999996E-2</v>
      </c>
      <c r="K62" s="58">
        <f t="shared" si="2"/>
        <v>1.1266666666666668E-2</v>
      </c>
      <c r="L62" s="56"/>
      <c r="M62" s="62">
        <f t="shared" si="3"/>
        <v>9.3833333333333286E-3</v>
      </c>
      <c r="N62" s="56">
        <f t="shared" si="4"/>
        <v>0.66589763333333296</v>
      </c>
      <c r="O62" s="58">
        <f t="shared" si="5"/>
        <v>1.3317952666666659</v>
      </c>
      <c r="P62" s="56">
        <f t="shared" si="6"/>
        <v>0.1331795266666666</v>
      </c>
      <c r="Q62" s="57"/>
      <c r="R62" s="56"/>
      <c r="S62" s="58"/>
      <c r="T62" s="56"/>
    </row>
    <row r="63" spans="1:22" ht="14.4" customHeight="1" x14ac:dyDescent="0.3">
      <c r="D63" s="76">
        <f>A39</f>
        <v>13</v>
      </c>
      <c r="E63" s="12" t="s">
        <v>87</v>
      </c>
      <c r="F63" s="12">
        <f>B39</f>
        <v>10</v>
      </c>
      <c r="G63" s="54">
        <v>0.30330000000000001</v>
      </c>
      <c r="H63" s="55">
        <v>0.67069999999999996</v>
      </c>
      <c r="I63" s="56"/>
      <c r="J63" s="57">
        <f t="shared" si="1"/>
        <v>0.26419999999999999</v>
      </c>
      <c r="K63" s="58">
        <f t="shared" si="2"/>
        <v>0.63356666666666661</v>
      </c>
      <c r="L63" s="56"/>
      <c r="M63" s="62">
        <f t="shared" si="3"/>
        <v>0.10580833333333334</v>
      </c>
      <c r="N63" s="56">
        <f t="shared" si="4"/>
        <v>7.5087941833333334</v>
      </c>
      <c r="O63" s="58">
        <f t="shared" si="5"/>
        <v>15.017588366666667</v>
      </c>
      <c r="P63" s="56">
        <f t="shared" si="6"/>
        <v>1.5017588366666668</v>
      </c>
      <c r="Q63" s="57">
        <f>AVERAGE(P63:P65)</f>
        <v>1.5554564433333331</v>
      </c>
      <c r="R63" s="56">
        <f>STDEV(P63:P65)</f>
        <v>0.21757107766186398</v>
      </c>
      <c r="S63" s="58">
        <f>R63/Q63*100</f>
        <v>13.987603355553343</v>
      </c>
      <c r="T63" s="56"/>
    </row>
    <row r="64" spans="1:22" ht="14.4" customHeight="1" x14ac:dyDescent="0.3">
      <c r="D64" s="77"/>
      <c r="E64" s="17" t="s">
        <v>88</v>
      </c>
      <c r="F64" s="17">
        <f t="shared" ref="F64" si="29">F63</f>
        <v>10</v>
      </c>
      <c r="G64" s="57">
        <v>0.32150000000000001</v>
      </c>
      <c r="H64" s="58">
        <v>0.66090000000000004</v>
      </c>
      <c r="I64" s="56"/>
      <c r="J64" s="57">
        <f t="shared" si="1"/>
        <v>0.28239999999999998</v>
      </c>
      <c r="K64" s="58">
        <f t="shared" si="2"/>
        <v>0.62376666666666669</v>
      </c>
      <c r="L64" s="56"/>
      <c r="M64" s="62">
        <f t="shared" si="3"/>
        <v>0.12645833333333331</v>
      </c>
      <c r="N64" s="56">
        <f t="shared" si="4"/>
        <v>8.9742420833333316</v>
      </c>
      <c r="O64" s="58">
        <f t="shared" si="5"/>
        <v>17.948484166666663</v>
      </c>
      <c r="P64" s="56">
        <f t="shared" si="6"/>
        <v>1.7948484166666663</v>
      </c>
      <c r="Q64" s="57"/>
      <c r="R64" s="56"/>
      <c r="S64" s="58"/>
      <c r="T64" s="56"/>
    </row>
    <row r="65" spans="4:20" ht="14.4" customHeight="1" x14ac:dyDescent="0.3">
      <c r="D65" s="78"/>
      <c r="E65" s="22" t="s">
        <v>89</v>
      </c>
      <c r="F65" s="22">
        <f t="shared" ref="F65" si="30">F63</f>
        <v>10</v>
      </c>
      <c r="G65" s="65">
        <v>0.29220000000000002</v>
      </c>
      <c r="H65" s="66">
        <v>0.66349999999999998</v>
      </c>
      <c r="I65" s="56"/>
      <c r="J65" s="57">
        <f t="shared" si="1"/>
        <v>0.25309999999999999</v>
      </c>
      <c r="K65" s="58">
        <f t="shared" si="2"/>
        <v>0.62636666666666663</v>
      </c>
      <c r="L65" s="56"/>
      <c r="M65" s="62">
        <f t="shared" si="3"/>
        <v>9.6508333333333335E-2</v>
      </c>
      <c r="N65" s="56">
        <f t="shared" si="4"/>
        <v>6.8488103833333325</v>
      </c>
      <c r="O65" s="58">
        <f t="shared" si="5"/>
        <v>13.697620766666665</v>
      </c>
      <c r="P65" s="56">
        <f t="shared" si="6"/>
        <v>1.3697620766666665</v>
      </c>
      <c r="Q65" s="57"/>
      <c r="R65" s="56"/>
      <c r="S65" s="58"/>
      <c r="T65" s="56"/>
    </row>
    <row r="66" spans="4:20" ht="14.4" customHeight="1" x14ac:dyDescent="0.3">
      <c r="D66" s="76">
        <f>A40</f>
        <v>14</v>
      </c>
      <c r="E66" s="12" t="s">
        <v>90</v>
      </c>
      <c r="F66" s="12">
        <f>B40</f>
        <v>10</v>
      </c>
      <c r="G66" s="54">
        <v>0.37469999999999998</v>
      </c>
      <c r="H66" s="55">
        <v>0.63749999999999996</v>
      </c>
      <c r="I66" s="56"/>
      <c r="J66" s="57">
        <f t="shared" si="1"/>
        <v>0.33559999999999995</v>
      </c>
      <c r="K66" s="58">
        <f t="shared" si="2"/>
        <v>0.6003666666666666</v>
      </c>
      <c r="L66" s="56"/>
      <c r="M66" s="62">
        <f t="shared" si="3"/>
        <v>0.1855083333333333</v>
      </c>
      <c r="N66" s="56">
        <f t="shared" si="4"/>
        <v>13.16478438333333</v>
      </c>
      <c r="O66" s="58">
        <f t="shared" si="5"/>
        <v>26.329568766666661</v>
      </c>
      <c r="P66" s="56">
        <f t="shared" si="6"/>
        <v>2.632956876666666</v>
      </c>
      <c r="Q66" s="57">
        <f>AVERAGE(P66:P68)</f>
        <v>2.29894357</v>
      </c>
      <c r="R66" s="56">
        <f>STDEV(P66:P68)</f>
        <v>0.30750013552127076</v>
      </c>
      <c r="S66" s="58">
        <f>R66/Q66*100</f>
        <v>13.375714808052933</v>
      </c>
      <c r="T66" s="56"/>
    </row>
    <row r="67" spans="4:20" ht="14.4" customHeight="1" x14ac:dyDescent="0.3">
      <c r="D67" s="77"/>
      <c r="E67" s="17" t="s">
        <v>91</v>
      </c>
      <c r="F67" s="17">
        <f t="shared" ref="F67" si="31">F66</f>
        <v>10</v>
      </c>
      <c r="G67" s="57">
        <v>0.34010000000000001</v>
      </c>
      <c r="H67" s="58">
        <v>0.6109</v>
      </c>
      <c r="I67" s="56"/>
      <c r="J67" s="57">
        <f t="shared" si="1"/>
        <v>0.30099999999999999</v>
      </c>
      <c r="K67" s="58">
        <f t="shared" si="2"/>
        <v>0.57376666666666665</v>
      </c>
      <c r="L67" s="56"/>
      <c r="M67" s="62">
        <f t="shared" si="3"/>
        <v>0.15755833333333333</v>
      </c>
      <c r="N67" s="56">
        <f t="shared" si="4"/>
        <v>11.181284683333333</v>
      </c>
      <c r="O67" s="58">
        <f t="shared" si="5"/>
        <v>22.362569366666666</v>
      </c>
      <c r="P67" s="56">
        <f t="shared" si="6"/>
        <v>2.2362569366666665</v>
      </c>
      <c r="Q67" s="57"/>
      <c r="R67" s="56"/>
      <c r="S67" s="58"/>
      <c r="T67" s="56"/>
    </row>
    <row r="68" spans="4:20" ht="14.4" customHeight="1" x14ac:dyDescent="0.3">
      <c r="D68" s="78"/>
      <c r="E68" s="22" t="s">
        <v>92</v>
      </c>
      <c r="F68" s="22">
        <f t="shared" ref="F68" si="32">F66</f>
        <v>10</v>
      </c>
      <c r="G68" s="65">
        <v>0.32540000000000002</v>
      </c>
      <c r="H68" s="66">
        <v>0.6109</v>
      </c>
      <c r="I68" s="56"/>
      <c r="J68" s="57">
        <f t="shared" si="1"/>
        <v>0.2863</v>
      </c>
      <c r="K68" s="58">
        <f t="shared" si="2"/>
        <v>0.57376666666666665</v>
      </c>
      <c r="L68" s="56"/>
      <c r="M68" s="62">
        <f t="shared" si="3"/>
        <v>0.14285833333333334</v>
      </c>
      <c r="N68" s="56">
        <f t="shared" si="4"/>
        <v>10.138084483333333</v>
      </c>
      <c r="O68" s="58">
        <f t="shared" si="5"/>
        <v>20.276168966666667</v>
      </c>
      <c r="P68" s="56">
        <f t="shared" si="6"/>
        <v>2.0276168966666668</v>
      </c>
      <c r="Q68" s="57"/>
      <c r="R68" s="56"/>
      <c r="S68" s="58"/>
      <c r="T68" s="56"/>
    </row>
    <row r="69" spans="4:20" ht="14.4" customHeight="1" x14ac:dyDescent="0.3">
      <c r="D69" s="76">
        <f>A41</f>
        <v>15</v>
      </c>
      <c r="E69" s="12" t="s">
        <v>93</v>
      </c>
      <c r="F69" s="12">
        <f>B41</f>
        <v>10</v>
      </c>
      <c r="G69" s="54">
        <v>0.3705</v>
      </c>
      <c r="H69" s="55">
        <v>0.75170000000000003</v>
      </c>
      <c r="I69" s="56"/>
      <c r="J69" s="57">
        <f t="shared" si="1"/>
        <v>0.33139999999999997</v>
      </c>
      <c r="K69" s="58">
        <f t="shared" si="2"/>
        <v>0.71456666666666668</v>
      </c>
      <c r="L69" s="56"/>
      <c r="M69" s="62">
        <f t="shared" si="3"/>
        <v>0.1527583333333333</v>
      </c>
      <c r="N69" s="56">
        <f t="shared" si="4"/>
        <v>10.840647883333331</v>
      </c>
      <c r="O69" s="58">
        <f t="shared" si="5"/>
        <v>21.681295766666661</v>
      </c>
      <c r="P69" s="56">
        <f t="shared" si="6"/>
        <v>2.1681295766666659</v>
      </c>
      <c r="Q69" s="57">
        <f>AVERAGE(P69:P71)</f>
        <v>2.3113626199999993</v>
      </c>
      <c r="R69" s="56">
        <f>STDEV(P69:P71)</f>
        <v>0.38309684525669124</v>
      </c>
      <c r="S69" s="58">
        <f>R69/Q69*100</f>
        <v>16.574502068251469</v>
      </c>
      <c r="T69" s="56"/>
    </row>
    <row r="70" spans="4:20" ht="14.4" customHeight="1" x14ac:dyDescent="0.3">
      <c r="D70" s="77"/>
      <c r="E70" s="17" t="s">
        <v>94</v>
      </c>
      <c r="F70" s="17">
        <f t="shared" ref="F70" si="33">F69</f>
        <v>10</v>
      </c>
      <c r="G70" s="57">
        <v>0.35199999999999998</v>
      </c>
      <c r="H70" s="58">
        <v>0.71930000000000005</v>
      </c>
      <c r="I70" s="56"/>
      <c r="J70" s="57">
        <f t="shared" si="1"/>
        <v>0.31289999999999996</v>
      </c>
      <c r="K70" s="58">
        <f t="shared" si="2"/>
        <v>0.6821666666666667</v>
      </c>
      <c r="L70" s="56"/>
      <c r="M70" s="62">
        <f t="shared" si="3"/>
        <v>0.14235833333333328</v>
      </c>
      <c r="N70" s="56">
        <f t="shared" si="4"/>
        <v>10.102601483333329</v>
      </c>
      <c r="O70" s="58">
        <f t="shared" si="5"/>
        <v>20.205202966666658</v>
      </c>
      <c r="P70" s="56">
        <f t="shared" si="6"/>
        <v>2.0205202966666658</v>
      </c>
      <c r="Q70" s="57"/>
      <c r="R70" s="56"/>
      <c r="S70" s="58"/>
      <c r="T70" s="56"/>
    </row>
    <row r="71" spans="4:20" ht="14.4" customHeight="1" x14ac:dyDescent="0.3">
      <c r="D71" s="78"/>
      <c r="E71" s="22" t="s">
        <v>95</v>
      </c>
      <c r="F71" s="22">
        <f t="shared" ref="F71" si="34">F69</f>
        <v>10</v>
      </c>
      <c r="G71" s="65">
        <v>0.40339999999999998</v>
      </c>
      <c r="H71" s="66">
        <v>0.72060000000000002</v>
      </c>
      <c r="I71" s="56"/>
      <c r="J71" s="57">
        <f t="shared" si="1"/>
        <v>0.36429999999999996</v>
      </c>
      <c r="K71" s="58">
        <f t="shared" si="2"/>
        <v>0.68346666666666667</v>
      </c>
      <c r="L71" s="56"/>
      <c r="M71" s="62">
        <f t="shared" si="3"/>
        <v>0.19343333333333329</v>
      </c>
      <c r="N71" s="56">
        <f t="shared" si="4"/>
        <v>13.72718993333333</v>
      </c>
      <c r="O71" s="58">
        <f t="shared" si="5"/>
        <v>27.45437986666666</v>
      </c>
      <c r="P71" s="56">
        <f t="shared" si="6"/>
        <v>2.7454379866666661</v>
      </c>
      <c r="Q71" s="57"/>
      <c r="R71" s="56"/>
      <c r="S71" s="58"/>
      <c r="T71" s="56"/>
    </row>
    <row r="72" spans="4:20" ht="14.4" customHeight="1" x14ac:dyDescent="0.3">
      <c r="D72" s="76">
        <f>A42</f>
        <v>16</v>
      </c>
      <c r="E72" s="12" t="s">
        <v>96</v>
      </c>
      <c r="F72" s="12">
        <f>B42</f>
        <v>10</v>
      </c>
      <c r="G72" s="54">
        <v>0.38200000000000001</v>
      </c>
      <c r="H72" s="55">
        <v>0.78759999999999997</v>
      </c>
      <c r="I72" s="56"/>
      <c r="J72" s="57">
        <f t="shared" si="1"/>
        <v>0.34289999999999998</v>
      </c>
      <c r="K72" s="58">
        <f t="shared" si="2"/>
        <v>0.75046666666666662</v>
      </c>
      <c r="L72" s="56"/>
      <c r="M72" s="62">
        <f t="shared" si="3"/>
        <v>0.15528333333333333</v>
      </c>
      <c r="N72" s="56">
        <f t="shared" si="4"/>
        <v>11.019837033333332</v>
      </c>
      <c r="O72" s="58">
        <f t="shared" si="5"/>
        <v>22.039674066666663</v>
      </c>
      <c r="P72" s="56">
        <f t="shared" si="6"/>
        <v>2.2039674066666661</v>
      </c>
      <c r="Q72" s="57">
        <f>AVERAGE(P72:P74)</f>
        <v>1.9332321166666666</v>
      </c>
      <c r="R72" s="56">
        <f>STDEV(P72:P74)</f>
        <v>0.38384324647051954</v>
      </c>
      <c r="S72" s="58">
        <f>R72/Q72*100</f>
        <v>19.855000502079019</v>
      </c>
      <c r="T72" s="56"/>
    </row>
    <row r="73" spans="4:20" ht="14.4" customHeight="1" x14ac:dyDescent="0.3">
      <c r="D73" s="77"/>
      <c r="E73" s="17" t="s">
        <v>97</v>
      </c>
      <c r="F73" s="17">
        <f t="shared" ref="F73" si="35">F72</f>
        <v>10</v>
      </c>
      <c r="G73" s="57">
        <v>0.3705</v>
      </c>
      <c r="H73" s="58">
        <v>0.77039999999999997</v>
      </c>
      <c r="I73" s="56"/>
      <c r="J73" s="57">
        <f t="shared" si="1"/>
        <v>0.33139999999999997</v>
      </c>
      <c r="K73" s="58">
        <f t="shared" si="2"/>
        <v>0.73326666666666662</v>
      </c>
      <c r="L73" s="56"/>
      <c r="M73" s="62">
        <f t="shared" si="3"/>
        <v>0.14808333333333332</v>
      </c>
      <c r="N73" s="56">
        <f t="shared" si="4"/>
        <v>10.508881833333332</v>
      </c>
      <c r="O73" s="58">
        <f t="shared" si="5"/>
        <v>21.017763666666664</v>
      </c>
      <c r="P73" s="56">
        <f t="shared" si="6"/>
        <v>2.1017763666666665</v>
      </c>
      <c r="Q73" s="57"/>
      <c r="R73" s="56"/>
      <c r="S73" s="58"/>
      <c r="T73" s="56"/>
    </row>
    <row r="74" spans="4:20" ht="14.4" customHeight="1" x14ac:dyDescent="0.3">
      <c r="D74" s="78"/>
      <c r="E74" s="22" t="s">
        <v>98</v>
      </c>
      <c r="F74" s="22">
        <f t="shared" ref="F74" si="36">F72</f>
        <v>10</v>
      </c>
      <c r="G74" s="65">
        <v>0.33250000000000002</v>
      </c>
      <c r="H74" s="66">
        <v>0.78969999999999996</v>
      </c>
      <c r="I74" s="56"/>
      <c r="J74" s="57">
        <f t="shared" si="1"/>
        <v>0.29339999999999999</v>
      </c>
      <c r="K74" s="58">
        <f t="shared" si="2"/>
        <v>0.75256666666666661</v>
      </c>
      <c r="L74" s="56"/>
      <c r="M74" s="62">
        <f t="shared" si="3"/>
        <v>0.10525833333333334</v>
      </c>
      <c r="N74" s="56">
        <f t="shared" si="4"/>
        <v>7.4697628833333329</v>
      </c>
      <c r="O74" s="58">
        <f t="shared" si="5"/>
        <v>14.939525766666666</v>
      </c>
      <c r="P74" s="56">
        <f t="shared" si="6"/>
        <v>1.4939525766666666</v>
      </c>
      <c r="Q74" s="57"/>
      <c r="R74" s="56"/>
      <c r="S74" s="58"/>
      <c r="T74" s="56"/>
    </row>
    <row r="75" spans="4:20" ht="14.4" customHeight="1" x14ac:dyDescent="0.3">
      <c r="D75" s="76">
        <f>A43</f>
        <v>17</v>
      </c>
      <c r="E75" s="12" t="s">
        <v>99</v>
      </c>
      <c r="F75" s="12">
        <f>B43</f>
        <v>10</v>
      </c>
      <c r="G75" s="54">
        <v>0.375</v>
      </c>
      <c r="H75" s="55">
        <v>0.75209999999999999</v>
      </c>
      <c r="I75" s="56"/>
      <c r="J75" s="57">
        <f t="shared" si="1"/>
        <v>0.33589999999999998</v>
      </c>
      <c r="K75" s="58">
        <f t="shared" si="2"/>
        <v>0.71496666666666664</v>
      </c>
      <c r="L75" s="56"/>
      <c r="M75" s="62">
        <f t="shared" si="3"/>
        <v>0.15715833333333332</v>
      </c>
      <c r="N75" s="56">
        <f t="shared" si="4"/>
        <v>11.152898283333331</v>
      </c>
      <c r="O75" s="58">
        <f t="shared" si="5"/>
        <v>22.305796566666661</v>
      </c>
      <c r="P75" s="56">
        <f t="shared" si="6"/>
        <v>2.230579656666666</v>
      </c>
      <c r="Q75" s="57">
        <f>AVERAGE(P75:P77)</f>
        <v>1.6459380933333332</v>
      </c>
      <c r="R75" s="56">
        <f>STDEV(P75:P77)</f>
        <v>0.51648920401908927</v>
      </c>
      <c r="S75" s="58">
        <f>R75/Q75*100</f>
        <v>31.379625157900186</v>
      </c>
      <c r="T75" s="56"/>
    </row>
    <row r="76" spans="4:20" ht="14.4" customHeight="1" x14ac:dyDescent="0.3">
      <c r="D76" s="77"/>
      <c r="E76" s="17" t="s">
        <v>100</v>
      </c>
      <c r="F76" s="17">
        <f t="shared" ref="F76" si="37">F75</f>
        <v>10</v>
      </c>
      <c r="G76" s="57">
        <v>0.30990000000000001</v>
      </c>
      <c r="H76" s="58">
        <v>0.76759999999999995</v>
      </c>
      <c r="I76" s="56"/>
      <c r="J76" s="57">
        <f t="shared" si="1"/>
        <v>0.27079999999999999</v>
      </c>
      <c r="K76" s="58">
        <f t="shared" si="2"/>
        <v>0.7304666666666666</v>
      </c>
      <c r="L76" s="56"/>
      <c r="M76" s="62">
        <f t="shared" si="3"/>
        <v>8.8183333333333336E-2</v>
      </c>
      <c r="N76" s="56">
        <f t="shared" si="4"/>
        <v>6.2580184333333326</v>
      </c>
      <c r="O76" s="58">
        <f t="shared" si="5"/>
        <v>12.516036866666665</v>
      </c>
      <c r="P76" s="56">
        <f t="shared" si="6"/>
        <v>1.2516036866666664</v>
      </c>
      <c r="Q76" s="57"/>
      <c r="R76" s="56"/>
      <c r="S76" s="58"/>
      <c r="T76" s="56"/>
    </row>
    <row r="77" spans="4:20" ht="14.4" customHeight="1" x14ac:dyDescent="0.3">
      <c r="D77" s="78"/>
      <c r="E77" s="22" t="s">
        <v>101</v>
      </c>
      <c r="F77" s="22">
        <f t="shared" ref="F77" si="38">F75</f>
        <v>10</v>
      </c>
      <c r="G77" s="65">
        <v>0.32150000000000001</v>
      </c>
      <c r="H77" s="66">
        <v>0.75649999999999995</v>
      </c>
      <c r="I77" s="56"/>
      <c r="J77" s="57">
        <f t="shared" si="1"/>
        <v>0.28239999999999998</v>
      </c>
      <c r="K77" s="58">
        <f t="shared" si="2"/>
        <v>0.7193666666666666</v>
      </c>
      <c r="L77" s="56"/>
      <c r="M77" s="62">
        <f t="shared" si="3"/>
        <v>0.10255833333333333</v>
      </c>
      <c r="N77" s="56">
        <f t="shared" si="4"/>
        <v>7.2781546833333328</v>
      </c>
      <c r="O77" s="58">
        <f t="shared" si="5"/>
        <v>14.556309366666666</v>
      </c>
      <c r="P77" s="56">
        <f t="shared" si="6"/>
        <v>1.4556309366666667</v>
      </c>
      <c r="Q77" s="57"/>
      <c r="R77" s="56"/>
      <c r="S77" s="58"/>
      <c r="T77" s="56"/>
    </row>
    <row r="78" spans="4:20" ht="14.4" customHeight="1" x14ac:dyDescent="0.3">
      <c r="D78" s="76">
        <f>A44</f>
        <v>18</v>
      </c>
      <c r="E78" s="12" t="s">
        <v>102</v>
      </c>
      <c r="F78" s="12">
        <f>B44</f>
        <v>10</v>
      </c>
      <c r="G78" s="54">
        <v>0.35759999999999997</v>
      </c>
      <c r="H78" s="55">
        <v>0.75829999999999997</v>
      </c>
      <c r="I78" s="56"/>
      <c r="J78" s="57">
        <f t="shared" si="1"/>
        <v>0.31849999999999995</v>
      </c>
      <c r="K78" s="58">
        <f t="shared" si="2"/>
        <v>0.72116666666666662</v>
      </c>
      <c r="L78" s="56"/>
      <c r="M78" s="62">
        <f t="shared" si="3"/>
        <v>0.13820833333333329</v>
      </c>
      <c r="N78" s="56">
        <f t="shared" si="4"/>
        <v>9.8080925833333303</v>
      </c>
      <c r="O78" s="58">
        <f t="shared" si="5"/>
        <v>19.616185166666661</v>
      </c>
      <c r="P78" s="56">
        <f t="shared" si="6"/>
        <v>1.961618516666666</v>
      </c>
      <c r="Q78" s="57">
        <f>AVERAGE(P78:P80)</f>
        <v>2.3638774599999999</v>
      </c>
      <c r="R78" s="56">
        <f>STDEV(P78:P80)</f>
        <v>0.38508559564401074</v>
      </c>
      <c r="S78" s="58">
        <f>R78/Q78*100</f>
        <v>16.290421232072273</v>
      </c>
      <c r="T78" s="56"/>
    </row>
    <row r="79" spans="4:20" ht="14.4" customHeight="1" x14ac:dyDescent="0.3">
      <c r="D79" s="77"/>
      <c r="E79" s="17" t="s">
        <v>103</v>
      </c>
      <c r="F79" s="17">
        <f t="shared" ref="F79" si="39">F78</f>
        <v>10</v>
      </c>
      <c r="G79" s="57">
        <v>0.40689999999999998</v>
      </c>
      <c r="H79" s="58">
        <v>0.73919999999999997</v>
      </c>
      <c r="I79" s="56"/>
      <c r="J79" s="57">
        <f t="shared" si="1"/>
        <v>0.36779999999999996</v>
      </c>
      <c r="K79" s="58">
        <f t="shared" si="2"/>
        <v>0.70206666666666662</v>
      </c>
      <c r="L79" s="56"/>
      <c r="M79" s="62">
        <f t="shared" si="3"/>
        <v>0.19228333333333331</v>
      </c>
      <c r="N79" s="56">
        <f t="shared" si="4"/>
        <v>13.64557903333333</v>
      </c>
      <c r="O79" s="58">
        <f t="shared" si="5"/>
        <v>27.291158066666661</v>
      </c>
      <c r="P79" s="56">
        <f t="shared" si="6"/>
        <v>2.7291158066666661</v>
      </c>
      <c r="Q79" s="57"/>
      <c r="R79" s="56"/>
      <c r="S79" s="58"/>
      <c r="T79" s="56"/>
    </row>
    <row r="80" spans="4:20" ht="14.4" customHeight="1" x14ac:dyDescent="0.3">
      <c r="D80" s="78"/>
      <c r="E80" s="22" t="s">
        <v>104</v>
      </c>
      <c r="F80" s="22">
        <f t="shared" ref="F80" si="40">F78</f>
        <v>10</v>
      </c>
      <c r="G80" s="65">
        <v>0.38590000000000002</v>
      </c>
      <c r="H80" s="66">
        <v>0.74770000000000003</v>
      </c>
      <c r="I80" s="56"/>
      <c r="J80" s="57">
        <f t="shared" si="1"/>
        <v>0.3468</v>
      </c>
      <c r="K80" s="58">
        <f t="shared" si="2"/>
        <v>0.71056666666666668</v>
      </c>
      <c r="L80" s="56"/>
      <c r="M80" s="62">
        <f t="shared" si="3"/>
        <v>0.16915833333333333</v>
      </c>
      <c r="N80" s="56">
        <f t="shared" si="4"/>
        <v>12.004490283333332</v>
      </c>
      <c r="O80" s="58">
        <f t="shared" si="5"/>
        <v>24.008980566666665</v>
      </c>
      <c r="P80" s="56">
        <f t="shared" si="6"/>
        <v>2.4008980566666667</v>
      </c>
      <c r="Q80" s="57"/>
      <c r="R80" s="56"/>
      <c r="S80" s="58"/>
      <c r="T80" s="56"/>
    </row>
    <row r="81" spans="4:20" ht="14.4" customHeight="1" x14ac:dyDescent="0.3">
      <c r="D81" s="76">
        <f>A45</f>
        <v>19</v>
      </c>
      <c r="E81" s="12" t="s">
        <v>105</v>
      </c>
      <c r="F81" s="12">
        <f>B45</f>
        <v>10</v>
      </c>
      <c r="G81" s="54">
        <v>0.3589</v>
      </c>
      <c r="H81" s="55">
        <v>0.71020000000000005</v>
      </c>
      <c r="I81" s="56"/>
      <c r="J81" s="57">
        <f t="shared" si="1"/>
        <v>0.31979999999999997</v>
      </c>
      <c r="K81" s="58">
        <f t="shared" si="2"/>
        <v>0.6730666666666667</v>
      </c>
      <c r="L81" s="56"/>
      <c r="M81" s="62">
        <f t="shared" si="3"/>
        <v>0.1515333333333333</v>
      </c>
      <c r="N81" s="56">
        <f t="shared" si="4"/>
        <v>10.75371453333333</v>
      </c>
      <c r="O81" s="58">
        <f t="shared" si="5"/>
        <v>21.50742906666666</v>
      </c>
      <c r="P81" s="56">
        <f t="shared" si="6"/>
        <v>2.1507429066666659</v>
      </c>
      <c r="Q81" s="57">
        <f>AVERAGE(P81:P83)</f>
        <v>2.3990056299999996</v>
      </c>
      <c r="R81" s="56">
        <f>STDEV(P81:P83)</f>
        <v>0.21506337724683336</v>
      </c>
      <c r="S81" s="58">
        <f>R81/Q81*100</f>
        <v>8.9646883090821845</v>
      </c>
      <c r="T81" s="56"/>
    </row>
    <row r="82" spans="4:20" ht="14.4" customHeight="1" x14ac:dyDescent="0.3">
      <c r="D82" s="77"/>
      <c r="E82" s="17" t="s">
        <v>106</v>
      </c>
      <c r="F82" s="17">
        <f t="shared" ref="F82" si="41">F81</f>
        <v>10</v>
      </c>
      <c r="G82" s="57">
        <v>0.3851</v>
      </c>
      <c r="H82" s="58">
        <v>0.71150000000000002</v>
      </c>
      <c r="I82" s="56"/>
      <c r="J82" s="57">
        <f t="shared" si="1"/>
        <v>0.34599999999999997</v>
      </c>
      <c r="K82" s="58">
        <f t="shared" si="2"/>
        <v>0.67436666666666667</v>
      </c>
      <c r="L82" s="56"/>
      <c r="M82" s="62">
        <f t="shared" si="3"/>
        <v>0.17740833333333331</v>
      </c>
      <c r="N82" s="56">
        <f t="shared" si="4"/>
        <v>12.589959783333331</v>
      </c>
      <c r="O82" s="58">
        <f t="shared" si="5"/>
        <v>25.179919566666662</v>
      </c>
      <c r="P82" s="56">
        <f t="shared" si="6"/>
        <v>2.5179919566666662</v>
      </c>
      <c r="Q82" s="57"/>
      <c r="R82" s="56"/>
      <c r="S82" s="58"/>
      <c r="T82" s="56"/>
    </row>
    <row r="83" spans="4:20" ht="14.4" customHeight="1" x14ac:dyDescent="0.3">
      <c r="D83" s="78"/>
      <c r="E83" s="22" t="s">
        <v>107</v>
      </c>
      <c r="F83" s="22">
        <f t="shared" ref="F83" si="42">F81</f>
        <v>10</v>
      </c>
      <c r="G83" s="65">
        <v>0.38640000000000002</v>
      </c>
      <c r="H83" s="66">
        <v>0.71379999999999999</v>
      </c>
      <c r="I83" s="56"/>
      <c r="J83" s="57">
        <f t="shared" si="1"/>
        <v>0.3473</v>
      </c>
      <c r="K83" s="58">
        <f t="shared" si="2"/>
        <v>0.67666666666666664</v>
      </c>
      <c r="L83" s="56"/>
      <c r="M83" s="62">
        <f t="shared" si="3"/>
        <v>0.17813333333333334</v>
      </c>
      <c r="N83" s="56">
        <f t="shared" si="4"/>
        <v>12.641410133333332</v>
      </c>
      <c r="O83" s="58">
        <f t="shared" si="5"/>
        <v>25.282820266666665</v>
      </c>
      <c r="P83" s="56">
        <f t="shared" si="6"/>
        <v>2.5282820266666666</v>
      </c>
      <c r="Q83" s="57"/>
      <c r="R83" s="56"/>
      <c r="S83" s="58"/>
      <c r="T83" s="56"/>
    </row>
    <row r="84" spans="4:20" ht="14.4" customHeight="1" x14ac:dyDescent="0.3">
      <c r="D84" s="76">
        <f>A46</f>
        <v>20</v>
      </c>
      <c r="E84" s="12" t="s">
        <v>108</v>
      </c>
      <c r="F84" s="12">
        <f>B46</f>
        <v>10</v>
      </c>
      <c r="G84" s="54">
        <v>0.4</v>
      </c>
      <c r="H84" s="55">
        <v>0.72199999999999998</v>
      </c>
      <c r="I84" s="56"/>
      <c r="J84" s="57">
        <f t="shared" si="1"/>
        <v>0.3609</v>
      </c>
      <c r="K84" s="58">
        <f t="shared" si="2"/>
        <v>0.68486666666666662</v>
      </c>
      <c r="L84" s="56"/>
      <c r="M84" s="62">
        <f t="shared" si="3"/>
        <v>0.18968333333333334</v>
      </c>
      <c r="N84" s="56">
        <f t="shared" si="4"/>
        <v>13.461067433333334</v>
      </c>
      <c r="O84" s="58">
        <f t="shared" si="5"/>
        <v>26.922134866666667</v>
      </c>
      <c r="P84" s="56">
        <f t="shared" si="6"/>
        <v>2.6922134866666667</v>
      </c>
      <c r="Q84" s="57">
        <f>AVERAGE(P84:P86)</f>
        <v>1.8289120966666665</v>
      </c>
      <c r="R84" s="56">
        <f>STDEV(P84:P86)</f>
        <v>0.75053272208177635</v>
      </c>
      <c r="S84" s="58">
        <f>R84/Q84*100</f>
        <v>41.03711290715831</v>
      </c>
      <c r="T84" s="56"/>
    </row>
    <row r="85" spans="4:20" ht="14.4" customHeight="1" x14ac:dyDescent="0.3">
      <c r="D85" s="77"/>
      <c r="E85" s="17" t="s">
        <v>109</v>
      </c>
      <c r="F85" s="17">
        <f t="shared" ref="F85" si="43">F84</f>
        <v>10</v>
      </c>
      <c r="G85" s="57">
        <v>0.31630000000000003</v>
      </c>
      <c r="H85" s="58">
        <v>0.77070000000000005</v>
      </c>
      <c r="I85" s="56"/>
      <c r="J85" s="57">
        <f t="shared" si="1"/>
        <v>0.2772</v>
      </c>
      <c r="K85" s="58">
        <f t="shared" si="2"/>
        <v>0.7335666666666667</v>
      </c>
      <c r="L85" s="56"/>
      <c r="M85" s="62">
        <f t="shared" si="3"/>
        <v>9.3808333333333327E-2</v>
      </c>
      <c r="N85" s="56">
        <f t="shared" si="4"/>
        <v>6.6572021833333324</v>
      </c>
      <c r="O85" s="58">
        <f t="shared" si="5"/>
        <v>13.314404366666665</v>
      </c>
      <c r="P85" s="56">
        <f t="shared" si="6"/>
        <v>1.3314404366666666</v>
      </c>
      <c r="Q85" s="57"/>
      <c r="R85" s="56"/>
      <c r="S85" s="58"/>
      <c r="T85" s="56"/>
    </row>
    <row r="86" spans="4:20" ht="14.4" customHeight="1" x14ac:dyDescent="0.3">
      <c r="D86" s="78"/>
      <c r="E86" s="22" t="s">
        <v>110</v>
      </c>
      <c r="F86" s="22">
        <f t="shared" ref="F86" si="44">F84</f>
        <v>10</v>
      </c>
      <c r="G86" s="65">
        <v>0.32750000000000001</v>
      </c>
      <c r="H86" s="66">
        <v>0.77839999999999998</v>
      </c>
      <c r="I86" s="56"/>
      <c r="J86" s="57">
        <f t="shared" si="1"/>
        <v>0.28839999999999999</v>
      </c>
      <c r="K86" s="58">
        <f t="shared" si="2"/>
        <v>0.74126666666666663</v>
      </c>
      <c r="L86" s="56"/>
      <c r="M86" s="62">
        <f t="shared" si="3"/>
        <v>0.10308333333333333</v>
      </c>
      <c r="N86" s="56">
        <f t="shared" si="4"/>
        <v>7.3154118333333322</v>
      </c>
      <c r="O86" s="58">
        <f t="shared" si="5"/>
        <v>14.630823666666664</v>
      </c>
      <c r="P86" s="56">
        <f t="shared" si="6"/>
        <v>1.4630823666666664</v>
      </c>
      <c r="Q86" s="57"/>
      <c r="R86" s="56"/>
      <c r="S86" s="58"/>
      <c r="T86" s="56"/>
    </row>
    <row r="87" spans="4:20" ht="14.4" customHeight="1" x14ac:dyDescent="0.3">
      <c r="D87" s="76">
        <f>A47</f>
        <v>21</v>
      </c>
      <c r="E87" s="12" t="s">
        <v>111</v>
      </c>
      <c r="F87" s="12">
        <f>B47</f>
        <v>10</v>
      </c>
      <c r="G87" s="54">
        <v>0.33729999999999999</v>
      </c>
      <c r="H87" s="55">
        <v>0.77980000000000005</v>
      </c>
      <c r="I87" s="56"/>
      <c r="J87" s="57">
        <f t="shared" si="1"/>
        <v>0.29819999999999997</v>
      </c>
      <c r="K87" s="58">
        <f t="shared" si="2"/>
        <v>0.7426666666666667</v>
      </c>
      <c r="L87" s="56"/>
      <c r="M87" s="62">
        <f t="shared" si="3"/>
        <v>0.11253333333333329</v>
      </c>
      <c r="N87" s="56">
        <f t="shared" si="4"/>
        <v>7.9860405333333295</v>
      </c>
      <c r="O87" s="58">
        <f t="shared" si="5"/>
        <v>15.972081066666659</v>
      </c>
      <c r="P87" s="56">
        <f t="shared" si="6"/>
        <v>1.5972081066666659</v>
      </c>
      <c r="Q87" s="57">
        <f>AVERAGE(P87:P89)</f>
        <v>0.99565297999999969</v>
      </c>
      <c r="R87" s="56">
        <f>STDEV(P87:P89)</f>
        <v>0.78051795754062125</v>
      </c>
      <c r="S87" s="58">
        <f>R87/Q87*100</f>
        <v>78.392569822933851</v>
      </c>
      <c r="T87" s="56"/>
    </row>
    <row r="88" spans="4:20" ht="14.4" customHeight="1" x14ac:dyDescent="0.3">
      <c r="D88" s="77"/>
      <c r="E88" s="17" t="s">
        <v>112</v>
      </c>
      <c r="F88" s="17">
        <f t="shared" ref="F88:F97" si="45">F87</f>
        <v>10</v>
      </c>
      <c r="G88" s="57">
        <v>0.2397</v>
      </c>
      <c r="H88" s="58">
        <v>0.8075</v>
      </c>
      <c r="I88" s="56"/>
      <c r="J88" s="57">
        <f t="shared" si="1"/>
        <v>0.2006</v>
      </c>
      <c r="K88" s="58">
        <f t="shared" si="2"/>
        <v>0.77036666666666664</v>
      </c>
      <c r="L88" s="56"/>
      <c r="M88" s="62">
        <f t="shared" si="3"/>
        <v>8.0083333333333395E-3</v>
      </c>
      <c r="N88" s="56">
        <f t="shared" si="4"/>
        <v>0.56831938333333376</v>
      </c>
      <c r="O88" s="58">
        <f t="shared" si="5"/>
        <v>1.1366387666666675</v>
      </c>
      <c r="P88" s="56">
        <f t="shared" si="6"/>
        <v>0.11366387666666675</v>
      </c>
      <c r="Q88" s="57"/>
      <c r="R88" s="56"/>
      <c r="S88" s="58"/>
      <c r="T88" s="56"/>
    </row>
    <row r="89" spans="4:20" ht="14.4" customHeight="1" x14ac:dyDescent="0.3">
      <c r="D89" s="78"/>
      <c r="E89" s="22" t="s">
        <v>113</v>
      </c>
      <c r="F89" s="22">
        <f t="shared" ref="F89:F98" si="46">F87</f>
        <v>10</v>
      </c>
      <c r="G89" s="65">
        <v>0.30349999999999999</v>
      </c>
      <c r="H89" s="66">
        <v>0.73509999999999998</v>
      </c>
      <c r="I89" s="56"/>
      <c r="J89" s="57">
        <f t="shared" si="1"/>
        <v>0.26439999999999997</v>
      </c>
      <c r="K89" s="58">
        <f t="shared" si="2"/>
        <v>0.69796666666666662</v>
      </c>
      <c r="L89" s="56"/>
      <c r="M89" s="62">
        <f t="shared" si="3"/>
        <v>8.9908333333333312E-2</v>
      </c>
      <c r="N89" s="56">
        <f t="shared" si="4"/>
        <v>6.3804347833333317</v>
      </c>
      <c r="O89" s="58">
        <f t="shared" si="5"/>
        <v>12.760869566666663</v>
      </c>
      <c r="P89" s="56">
        <f t="shared" si="6"/>
        <v>1.2760869566666664</v>
      </c>
      <c r="Q89" s="57"/>
      <c r="R89" s="56"/>
      <c r="S89" s="58"/>
      <c r="T89" s="56"/>
    </row>
    <row r="90" spans="4:20" ht="14.4" customHeight="1" x14ac:dyDescent="0.3">
      <c r="D90" s="76">
        <f>A48</f>
        <v>22</v>
      </c>
      <c r="E90" s="12" t="s">
        <v>114</v>
      </c>
      <c r="F90" s="12">
        <f>B48</f>
        <v>10</v>
      </c>
      <c r="G90" s="54">
        <v>0.3619</v>
      </c>
      <c r="H90" s="55">
        <v>0.70750000000000002</v>
      </c>
      <c r="I90" s="56"/>
      <c r="J90" s="57">
        <f t="shared" si="1"/>
        <v>0.32279999999999998</v>
      </c>
      <c r="K90" s="58">
        <f t="shared" si="2"/>
        <v>0.67036666666666667</v>
      </c>
      <c r="L90" s="56"/>
      <c r="M90" s="62">
        <f t="shared" si="3"/>
        <v>0.15520833333333331</v>
      </c>
      <c r="N90" s="56">
        <f t="shared" si="4"/>
        <v>11.01451458333333</v>
      </c>
      <c r="O90" s="58">
        <f t="shared" si="5"/>
        <v>22.02902916666666</v>
      </c>
      <c r="P90" s="56">
        <f t="shared" si="6"/>
        <v>2.202902916666666</v>
      </c>
      <c r="Q90" s="57">
        <f>AVERAGE(P90:P92)</f>
        <v>2.1272058499999993</v>
      </c>
      <c r="R90" s="56">
        <f>STDEV(P90:P92)</f>
        <v>0.15859842560507803</v>
      </c>
      <c r="S90" s="58">
        <f>R90/Q90*100</f>
        <v>7.4557159385904317</v>
      </c>
      <c r="T90" s="56"/>
    </row>
    <row r="91" spans="4:20" ht="14.4" customHeight="1" x14ac:dyDescent="0.3">
      <c r="D91" s="77"/>
      <c r="E91" s="17" t="s">
        <v>115</v>
      </c>
      <c r="F91" s="17">
        <f t="shared" si="45"/>
        <v>10</v>
      </c>
      <c r="G91" s="57">
        <v>0.34089999999999998</v>
      </c>
      <c r="H91" s="58">
        <v>0.69620000000000004</v>
      </c>
      <c r="I91" s="56"/>
      <c r="J91" s="57">
        <f t="shared" ref="J91:J98" si="47">G91-$J$14</f>
        <v>0.30179999999999996</v>
      </c>
      <c r="K91" s="58">
        <f t="shared" ref="K91:K98" si="48">H91-$K$14</f>
        <v>0.65906666666666669</v>
      </c>
      <c r="L91" s="56"/>
      <c r="M91" s="62">
        <f t="shared" si="3"/>
        <v>0.13703333333333328</v>
      </c>
      <c r="N91" s="56">
        <f t="shared" si="4"/>
        <v>9.7247075333333299</v>
      </c>
      <c r="O91" s="58">
        <f t="shared" si="5"/>
        <v>19.44941506666666</v>
      </c>
      <c r="P91" s="56">
        <f t="shared" si="6"/>
        <v>1.944941506666666</v>
      </c>
      <c r="Q91" s="57"/>
      <c r="R91" s="56"/>
      <c r="S91" s="58"/>
      <c r="T91" s="56"/>
    </row>
    <row r="92" spans="4:20" ht="14.4" customHeight="1" x14ac:dyDescent="0.3">
      <c r="D92" s="78"/>
      <c r="E92" s="22" t="s">
        <v>116</v>
      </c>
      <c r="F92" s="22">
        <f t="shared" si="46"/>
        <v>10</v>
      </c>
      <c r="G92" s="65">
        <v>0.3599</v>
      </c>
      <c r="H92" s="66">
        <v>0.69079999999999997</v>
      </c>
      <c r="I92" s="56"/>
      <c r="J92" s="57">
        <f t="shared" si="47"/>
        <v>0.32079999999999997</v>
      </c>
      <c r="K92" s="58">
        <f t="shared" si="48"/>
        <v>0.65366666666666662</v>
      </c>
      <c r="L92" s="56"/>
      <c r="M92" s="62">
        <f t="shared" ref="M92:M98" si="49">J92-(0.25*K92)</f>
        <v>0.15738333333333332</v>
      </c>
      <c r="N92" s="56">
        <f t="shared" ref="N92:N98" si="50">M92*70.966</f>
        <v>11.168865633333331</v>
      </c>
      <c r="O92" s="58">
        <f t="shared" ref="O92:O98" si="51">N92*2</f>
        <v>22.337731266666662</v>
      </c>
      <c r="P92" s="56">
        <f t="shared" ref="P92:P98" si="52">O92/F92</f>
        <v>2.2337731266666663</v>
      </c>
      <c r="Q92" s="57"/>
      <c r="R92" s="56"/>
      <c r="S92" s="58"/>
      <c r="T92" s="56"/>
    </row>
    <row r="93" spans="4:20" ht="14.4" customHeight="1" x14ac:dyDescent="0.3">
      <c r="D93" s="76">
        <f>A49</f>
        <v>23</v>
      </c>
      <c r="E93" s="12" t="s">
        <v>117</v>
      </c>
      <c r="F93" s="12">
        <f>B49</f>
        <v>10</v>
      </c>
      <c r="G93" s="54">
        <v>0.36370000000000002</v>
      </c>
      <c r="H93" s="55">
        <v>0.75109999999999999</v>
      </c>
      <c r="I93" s="56"/>
      <c r="J93" s="57">
        <f t="shared" si="47"/>
        <v>0.3246</v>
      </c>
      <c r="K93" s="58">
        <f t="shared" si="48"/>
        <v>0.71396666666666664</v>
      </c>
      <c r="L93" s="56"/>
      <c r="M93" s="62">
        <f t="shared" si="49"/>
        <v>0.14610833333333334</v>
      </c>
      <c r="N93" s="56">
        <f t="shared" si="50"/>
        <v>10.368723983333332</v>
      </c>
      <c r="O93" s="58">
        <f t="shared" si="51"/>
        <v>20.737447966666664</v>
      </c>
      <c r="P93" s="56">
        <f t="shared" si="52"/>
        <v>2.0737447966666664</v>
      </c>
      <c r="Q93" s="57">
        <f>AVERAGE(P93:P95)</f>
        <v>2.2039674066666661</v>
      </c>
      <c r="R93" s="56">
        <f>STDEV(P93:P95)</f>
        <v>0.18058825262088499</v>
      </c>
      <c r="S93" s="58">
        <f>R93/Q93*100</f>
        <v>8.1937805466012321</v>
      </c>
      <c r="T93" s="56"/>
    </row>
    <row r="94" spans="4:20" ht="14.4" customHeight="1" x14ac:dyDescent="0.3">
      <c r="D94" s="77"/>
      <c r="E94" s="17" t="s">
        <v>118</v>
      </c>
      <c r="F94" s="17">
        <f t="shared" si="45"/>
        <v>10</v>
      </c>
      <c r="G94" s="57">
        <v>0.37209999999999999</v>
      </c>
      <c r="H94" s="58">
        <v>0.76939999999999997</v>
      </c>
      <c r="I94" s="56"/>
      <c r="J94" s="57">
        <f t="shared" si="47"/>
        <v>0.33299999999999996</v>
      </c>
      <c r="K94" s="58">
        <f t="shared" si="48"/>
        <v>0.73226666666666662</v>
      </c>
      <c r="L94" s="56"/>
      <c r="M94" s="62">
        <f t="shared" si="49"/>
        <v>0.14993333333333331</v>
      </c>
      <c r="N94" s="56">
        <f t="shared" si="50"/>
        <v>10.64016893333333</v>
      </c>
      <c r="O94" s="58">
        <f t="shared" si="51"/>
        <v>21.28033786666666</v>
      </c>
      <c r="P94" s="56">
        <f t="shared" si="52"/>
        <v>2.1280337866666659</v>
      </c>
      <c r="Q94" s="57"/>
      <c r="R94" s="56"/>
      <c r="S94" s="58"/>
      <c r="T94" s="56"/>
    </row>
    <row r="95" spans="4:20" ht="14.4" customHeight="1" x14ac:dyDescent="0.3">
      <c r="D95" s="78"/>
      <c r="E95" s="22" t="s">
        <v>119</v>
      </c>
      <c r="F95" s="22">
        <f t="shared" si="46"/>
        <v>10</v>
      </c>
      <c r="G95" s="65">
        <v>0.38879999999999998</v>
      </c>
      <c r="H95" s="66">
        <v>0.75670000000000004</v>
      </c>
      <c r="I95" s="56"/>
      <c r="J95" s="57">
        <f t="shared" si="47"/>
        <v>0.34969999999999996</v>
      </c>
      <c r="K95" s="58">
        <f t="shared" si="48"/>
        <v>0.71956666666666669</v>
      </c>
      <c r="L95" s="56"/>
      <c r="M95" s="62">
        <f t="shared" si="49"/>
        <v>0.16980833333333328</v>
      </c>
      <c r="N95" s="56">
        <f t="shared" si="50"/>
        <v>12.050618183333329</v>
      </c>
      <c r="O95" s="58">
        <f t="shared" si="51"/>
        <v>24.101236366666658</v>
      </c>
      <c r="P95" s="56">
        <f t="shared" si="52"/>
        <v>2.4101236366666656</v>
      </c>
      <c r="Q95" s="57"/>
      <c r="R95" s="56"/>
      <c r="S95" s="58"/>
      <c r="T95" s="56"/>
    </row>
    <row r="96" spans="4:20" ht="14.4" customHeight="1" x14ac:dyDescent="0.3">
      <c r="D96" s="76">
        <f>A50</f>
        <v>24</v>
      </c>
      <c r="E96" s="12" t="s">
        <v>120</v>
      </c>
      <c r="F96" s="12">
        <f>B50</f>
        <v>10</v>
      </c>
      <c r="G96" s="54">
        <v>0.36720000000000003</v>
      </c>
      <c r="H96" s="55">
        <v>0.70199999999999996</v>
      </c>
      <c r="I96" s="56"/>
      <c r="J96" s="57">
        <f t="shared" si="47"/>
        <v>0.3281</v>
      </c>
      <c r="K96" s="58">
        <f t="shared" si="48"/>
        <v>0.66486666666666661</v>
      </c>
      <c r="L96" s="56"/>
      <c r="M96" s="62">
        <f t="shared" si="49"/>
        <v>0.16188333333333335</v>
      </c>
      <c r="N96" s="56">
        <f t="shared" si="50"/>
        <v>11.488212633333333</v>
      </c>
      <c r="O96" s="58">
        <f t="shared" si="51"/>
        <v>22.976425266666666</v>
      </c>
      <c r="P96" s="56">
        <f t="shared" si="52"/>
        <v>2.2976425266666665</v>
      </c>
      <c r="Q96" s="57">
        <f>AVERAGE(P96:P98)</f>
        <v>2.1721509833333328</v>
      </c>
      <c r="R96" s="56">
        <f>STDEV(P96:P98)</f>
        <v>0.23950692070772506</v>
      </c>
      <c r="S96" s="58">
        <f>R96/Q96*100</f>
        <v>11.026255658351303</v>
      </c>
      <c r="T96" s="56"/>
    </row>
    <row r="97" spans="4:20" ht="14.4" customHeight="1" x14ac:dyDescent="0.3">
      <c r="D97" s="77"/>
      <c r="E97" s="17" t="s">
        <v>121</v>
      </c>
      <c r="F97" s="17">
        <f t="shared" si="45"/>
        <v>10</v>
      </c>
      <c r="G97" s="57">
        <v>0.36580000000000001</v>
      </c>
      <c r="H97" s="58">
        <v>0.68930000000000002</v>
      </c>
      <c r="I97" s="56"/>
      <c r="J97" s="57">
        <f t="shared" si="47"/>
        <v>0.32669999999999999</v>
      </c>
      <c r="K97" s="58">
        <f t="shared" si="48"/>
        <v>0.65216666666666667</v>
      </c>
      <c r="L97" s="56"/>
      <c r="M97" s="62">
        <f t="shared" si="49"/>
        <v>0.16365833333333332</v>
      </c>
      <c r="N97" s="56">
        <f t="shared" si="50"/>
        <v>11.614177283333332</v>
      </c>
      <c r="O97" s="58">
        <f t="shared" si="51"/>
        <v>23.228354566666663</v>
      </c>
      <c r="P97" s="56">
        <f t="shared" si="52"/>
        <v>2.3228354566666662</v>
      </c>
      <c r="Q97" s="57"/>
      <c r="R97" s="56"/>
      <c r="S97" s="58"/>
      <c r="T97" s="56"/>
    </row>
    <row r="98" spans="4:20" ht="14.4" customHeight="1" x14ac:dyDescent="0.3">
      <c r="D98" s="78"/>
      <c r="E98" s="22" t="s">
        <v>122</v>
      </c>
      <c r="F98" s="22">
        <f t="shared" si="46"/>
        <v>10</v>
      </c>
      <c r="G98" s="65">
        <v>0.33329999999999999</v>
      </c>
      <c r="H98" s="66">
        <v>0.67959999999999998</v>
      </c>
      <c r="I98" s="56"/>
      <c r="J98" s="65">
        <f t="shared" si="47"/>
        <v>0.29419999999999996</v>
      </c>
      <c r="K98" s="58">
        <f t="shared" si="48"/>
        <v>0.64246666666666663</v>
      </c>
      <c r="L98" s="56"/>
      <c r="M98" s="69">
        <f t="shared" si="49"/>
        <v>0.1335833333333333</v>
      </c>
      <c r="N98" s="56">
        <f t="shared" si="50"/>
        <v>9.47987483333333</v>
      </c>
      <c r="O98" s="58">
        <f t="shared" si="51"/>
        <v>18.95974966666666</v>
      </c>
      <c r="P98" s="70">
        <f t="shared" si="52"/>
        <v>1.8959749666666661</v>
      </c>
      <c r="Q98" s="65"/>
      <c r="R98" s="70"/>
      <c r="S98" s="66"/>
      <c r="T98" s="56"/>
    </row>
    <row r="99" spans="4:20" x14ac:dyDescent="0.3">
      <c r="N99" s="35"/>
    </row>
  </sheetData>
  <mergeCells count="31">
    <mergeCell ref="D96:D98"/>
    <mergeCell ref="D78:D80"/>
    <mergeCell ref="D81:D83"/>
    <mergeCell ref="D84:D86"/>
    <mergeCell ref="D87:D89"/>
    <mergeCell ref="D90:D92"/>
    <mergeCell ref="D93:D95"/>
    <mergeCell ref="D60:D62"/>
    <mergeCell ref="D63:D65"/>
    <mergeCell ref="D66:D68"/>
    <mergeCell ref="D69:D71"/>
    <mergeCell ref="D72:D74"/>
    <mergeCell ref="D75:D77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E3DB-5B5B-4D54-8DE7-74BE1C00A338}">
  <dimension ref="A1:X99"/>
  <sheetViews>
    <sheetView zoomScale="80" zoomScaleNormal="80" workbookViewId="0">
      <selection activeCell="H24" sqref="H24"/>
    </sheetView>
  </sheetViews>
  <sheetFormatPr defaultColWidth="8.88671875" defaultRowHeight="14.4" x14ac:dyDescent="0.3"/>
  <cols>
    <col min="1" max="1" width="10.5546875" bestFit="1" customWidth="1"/>
    <col min="2" max="2" width="9.109375" bestFit="1" customWidth="1"/>
    <col min="4" max="4" width="9.44140625" customWidth="1"/>
    <col min="5" max="5" width="10" customWidth="1"/>
    <col min="6" max="6" width="11.6640625" customWidth="1"/>
    <col min="7" max="7" width="12.5546875" customWidth="1"/>
    <col min="8" max="8" width="12.6640625" customWidth="1"/>
    <col min="10" max="11" width="9" customWidth="1"/>
    <col min="12" max="12" width="11.6640625" customWidth="1"/>
    <col min="13" max="13" width="9" customWidth="1"/>
    <col min="14" max="14" width="11.6640625" bestFit="1" customWidth="1"/>
    <col min="15" max="15" width="9" customWidth="1"/>
    <col min="16" max="16" width="9" bestFit="1" customWidth="1"/>
    <col min="17" max="17" width="10.88671875" customWidth="1"/>
    <col min="18" max="18" width="10.6640625" customWidth="1"/>
    <col min="19" max="19" width="9" bestFit="1" customWidth="1"/>
    <col min="20" max="20" width="9.5546875" bestFit="1" customWidth="1"/>
    <col min="21" max="21" width="9.5546875" customWidth="1"/>
  </cols>
  <sheetData>
    <row r="1" spans="5:17" x14ac:dyDescent="0.3">
      <c r="E1" s="79" t="s">
        <v>0</v>
      </c>
      <c r="F1" s="79"/>
      <c r="G1" s="79"/>
    </row>
    <row r="2" spans="5:17" x14ac:dyDescent="0.3">
      <c r="E2" s="79"/>
      <c r="F2" s="79"/>
      <c r="G2" s="79"/>
    </row>
    <row r="4" spans="5:17" ht="28.5" customHeight="1" x14ac:dyDescent="0.3">
      <c r="E4" s="1"/>
      <c r="F4" s="80" t="s">
        <v>1</v>
      </c>
      <c r="G4" s="81"/>
      <c r="I4" s="1"/>
      <c r="J4" s="80" t="s">
        <v>1</v>
      </c>
      <c r="K4" s="81"/>
      <c r="L4" s="2"/>
      <c r="M4" s="71" t="s">
        <v>2</v>
      </c>
      <c r="N4" s="72"/>
      <c r="O4" s="2"/>
      <c r="P4" s="82" t="s">
        <v>3</v>
      </c>
      <c r="Q4" s="83"/>
    </row>
    <row r="5" spans="5:17" ht="17.25" customHeight="1" x14ac:dyDescent="0.3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2" t="s">
        <v>1</v>
      </c>
      <c r="Q5" s="83"/>
    </row>
    <row r="6" spans="5:17" x14ac:dyDescent="0.3">
      <c r="E6" s="11" t="s">
        <v>8</v>
      </c>
      <c r="F6">
        <v>4.2000000000000003E-2</v>
      </c>
      <c r="G6">
        <v>3.8100000000000002E-2</v>
      </c>
      <c r="I6" s="13">
        <v>12.5</v>
      </c>
      <c r="J6" s="14">
        <f>AVERAGE(F9:F11)</f>
        <v>0.26476666666666665</v>
      </c>
      <c r="K6" s="15">
        <f>AVERAGE(G9:G11)</f>
        <v>3.6366666666666665E-2</v>
      </c>
      <c r="M6" s="14">
        <f>J6-$J$14</f>
        <v>0.22566666666666665</v>
      </c>
      <c r="N6" s="15">
        <f>K6-$K$14</f>
        <v>-7.666666666666655E-4</v>
      </c>
      <c r="P6" s="1" t="s">
        <v>5</v>
      </c>
      <c r="Q6" s="7" t="s">
        <v>7</v>
      </c>
    </row>
    <row r="7" spans="5:17" x14ac:dyDescent="0.3">
      <c r="E7" s="16" t="s">
        <v>9</v>
      </c>
      <c r="F7">
        <v>3.5799999999999998E-2</v>
      </c>
      <c r="G7">
        <v>3.49E-2</v>
      </c>
      <c r="I7" s="18">
        <v>25</v>
      </c>
      <c r="J7" s="19">
        <f>AVERAGE(F12:F14)</f>
        <v>0.56596666666666673</v>
      </c>
      <c r="K7" s="20">
        <f>AVERAGE(G12:G14)</f>
        <v>3.6399999999999995E-2</v>
      </c>
      <c r="M7" s="19">
        <f>J7-$J$14</f>
        <v>0.52686666666666671</v>
      </c>
      <c r="N7" s="20">
        <f>K7-$K$14</f>
        <v>-7.3333333333333584E-4</v>
      </c>
      <c r="P7" s="17">
        <f>M6</f>
        <v>0.22566666666666665</v>
      </c>
      <c r="Q7" s="12">
        <v>12.5</v>
      </c>
    </row>
    <row r="8" spans="5:17" x14ac:dyDescent="0.3">
      <c r="E8" s="21" t="s">
        <v>10</v>
      </c>
      <c r="F8">
        <v>3.95E-2</v>
      </c>
      <c r="G8">
        <v>3.8399999999999997E-2</v>
      </c>
      <c r="I8" s="18">
        <v>50</v>
      </c>
      <c r="J8" s="19">
        <f>AVERAGE(F15:F17)</f>
        <v>1.1274333333333333</v>
      </c>
      <c r="K8" s="20">
        <f>AVERAGE(G15:G17)</f>
        <v>3.7200000000000004E-2</v>
      </c>
      <c r="M8" s="19">
        <f>J8-$J$14</f>
        <v>1.0883333333333334</v>
      </c>
      <c r="N8" s="20">
        <f>K8-$K$14</f>
        <v>6.6666666666673202E-5</v>
      </c>
      <c r="P8" s="17">
        <f>M7</f>
        <v>0.52686666666666671</v>
      </c>
      <c r="Q8" s="17">
        <v>25</v>
      </c>
    </row>
    <row r="9" spans="5:17" x14ac:dyDescent="0.3">
      <c r="E9" s="11" t="s">
        <v>11</v>
      </c>
      <c r="F9">
        <v>0.31159999999999999</v>
      </c>
      <c r="G9">
        <v>3.56E-2</v>
      </c>
      <c r="I9" s="18">
        <v>100</v>
      </c>
      <c r="J9" s="19">
        <f>AVERAGE(F18:F20)</f>
        <v>1.7840999999999998</v>
      </c>
      <c r="K9" s="20">
        <f>AVERAGE(G18:G20)</f>
        <v>3.833333333333333E-2</v>
      </c>
      <c r="M9" s="19">
        <f>J9-$J$14</f>
        <v>1.7449999999999999</v>
      </c>
      <c r="N9" s="20">
        <f>K9-$K$14</f>
        <v>1.1999999999999997E-3</v>
      </c>
      <c r="P9" s="17">
        <f>M8</f>
        <v>1.0883333333333334</v>
      </c>
      <c r="Q9" s="17">
        <v>50</v>
      </c>
    </row>
    <row r="10" spans="5:17" x14ac:dyDescent="0.3">
      <c r="E10" s="16" t="s">
        <v>12</v>
      </c>
      <c r="F10">
        <v>0.17879999999999999</v>
      </c>
      <c r="G10">
        <v>3.6999999999999998E-2</v>
      </c>
      <c r="I10" s="23">
        <v>250</v>
      </c>
      <c r="J10" s="24">
        <f>AVERAGE(F21:F23)</f>
        <v>3.8068999999999997</v>
      </c>
      <c r="K10" s="25">
        <f>AVERAGE(G21:G23)</f>
        <v>3.5266666666666668E-2</v>
      </c>
      <c r="M10" s="19">
        <f>J10-$J$14</f>
        <v>3.7677999999999998</v>
      </c>
      <c r="N10" s="20">
        <f>K10-$K$14</f>
        <v>-1.8666666666666623E-3</v>
      </c>
      <c r="P10" s="17">
        <f>M9</f>
        <v>1.7449999999999999</v>
      </c>
      <c r="Q10" s="17">
        <v>100</v>
      </c>
    </row>
    <row r="11" spans="5:17" x14ac:dyDescent="0.3">
      <c r="E11" s="21" t="s">
        <v>13</v>
      </c>
      <c r="F11">
        <v>0.3039</v>
      </c>
      <c r="G11">
        <v>3.6499999999999998E-2</v>
      </c>
      <c r="I11" s="26" t="s">
        <v>14</v>
      </c>
      <c r="J11" s="13">
        <f t="shared" ref="J11:K13" si="0">F6</f>
        <v>4.2000000000000003E-2</v>
      </c>
      <c r="K11" s="27">
        <f t="shared" si="0"/>
        <v>3.8100000000000002E-2</v>
      </c>
      <c r="M11" s="23"/>
      <c r="N11" s="28"/>
      <c r="P11" s="22">
        <f>M10</f>
        <v>3.7677999999999998</v>
      </c>
      <c r="Q11" s="22">
        <v>250</v>
      </c>
    </row>
    <row r="12" spans="5:17" x14ac:dyDescent="0.3">
      <c r="E12" s="11" t="s">
        <v>15</v>
      </c>
      <c r="F12">
        <v>0.55330000000000001</v>
      </c>
      <c r="G12">
        <v>3.5499999999999997E-2</v>
      </c>
      <c r="I12" s="29" t="s">
        <v>14</v>
      </c>
      <c r="J12" s="18">
        <f t="shared" si="0"/>
        <v>3.5799999999999998E-2</v>
      </c>
      <c r="K12" s="30">
        <f t="shared" si="0"/>
        <v>3.49E-2</v>
      </c>
    </row>
    <row r="13" spans="5:17" x14ac:dyDescent="0.3">
      <c r="E13" s="16" t="s">
        <v>16</v>
      </c>
      <c r="F13">
        <v>0.54720000000000002</v>
      </c>
      <c r="G13">
        <v>3.7400000000000003E-2</v>
      </c>
      <c r="I13" s="31" t="s">
        <v>14</v>
      </c>
      <c r="J13" s="23">
        <f t="shared" si="0"/>
        <v>3.95E-2</v>
      </c>
      <c r="K13" s="28">
        <f t="shared" si="0"/>
        <v>3.8399999999999997E-2</v>
      </c>
    </row>
    <row r="14" spans="5:17" x14ac:dyDescent="0.3">
      <c r="E14" s="21" t="s">
        <v>17</v>
      </c>
      <c r="F14">
        <v>0.59740000000000004</v>
      </c>
      <c r="G14">
        <v>3.6299999999999999E-2</v>
      </c>
      <c r="I14" s="32" t="s">
        <v>18</v>
      </c>
      <c r="J14" s="33">
        <f>AVERAGE(J11:J13)</f>
        <v>3.9100000000000003E-2</v>
      </c>
      <c r="K14" s="34">
        <f>AVERAGE(K11:K13)</f>
        <v>3.7133333333333331E-2</v>
      </c>
    </row>
    <row r="15" spans="5:17" x14ac:dyDescent="0.3">
      <c r="E15" s="11" t="s">
        <v>19</v>
      </c>
      <c r="F15">
        <v>1.2909999999999999</v>
      </c>
      <c r="G15">
        <v>3.8300000000000001E-2</v>
      </c>
      <c r="M15" s="13" t="s">
        <v>20</v>
      </c>
      <c r="N15" s="35"/>
      <c r="O15" s="27"/>
    </row>
    <row r="16" spans="5:17" x14ac:dyDescent="0.3">
      <c r="E16" s="16" t="s">
        <v>21</v>
      </c>
      <c r="F16">
        <v>1.0270999999999999</v>
      </c>
      <c r="G16">
        <v>3.6799999999999999E-2</v>
      </c>
      <c r="M16" s="18" t="s">
        <v>22</v>
      </c>
      <c r="O16" s="30"/>
    </row>
    <row r="17" spans="1:24" x14ac:dyDescent="0.3">
      <c r="E17" s="21" t="s">
        <v>23</v>
      </c>
      <c r="F17">
        <v>1.0642</v>
      </c>
      <c r="G17">
        <v>3.6499999999999998E-2</v>
      </c>
      <c r="M17" s="23" t="s">
        <v>24</v>
      </c>
      <c r="N17" s="36"/>
      <c r="O17" s="28"/>
    </row>
    <row r="18" spans="1:24" x14ac:dyDescent="0.3">
      <c r="E18" s="11" t="s">
        <v>25</v>
      </c>
      <c r="F18">
        <v>2.1677</v>
      </c>
      <c r="G18">
        <v>4.1599999999999998E-2</v>
      </c>
      <c r="I18" s="82" t="s">
        <v>26</v>
      </c>
      <c r="J18" s="84"/>
      <c r="K18" s="83"/>
      <c r="W18" s="37"/>
      <c r="X18" s="37"/>
    </row>
    <row r="19" spans="1:24" ht="15.6" x14ac:dyDescent="0.3">
      <c r="E19" s="16" t="s">
        <v>27</v>
      </c>
      <c r="F19">
        <v>1.1813</v>
      </c>
      <c r="G19">
        <v>3.78E-2</v>
      </c>
      <c r="I19" s="38" t="s">
        <v>28</v>
      </c>
      <c r="J19" s="36"/>
      <c r="K19" s="28"/>
    </row>
    <row r="20" spans="1:24" x14ac:dyDescent="0.3">
      <c r="E20" s="21" t="s">
        <v>29</v>
      </c>
      <c r="F20">
        <v>2.0032999999999999</v>
      </c>
      <c r="G20">
        <v>3.56E-2</v>
      </c>
      <c r="U20" s="37"/>
      <c r="V20" s="37"/>
    </row>
    <row r="21" spans="1:24" x14ac:dyDescent="0.3">
      <c r="E21" s="11" t="s">
        <v>30</v>
      </c>
      <c r="F21">
        <v>3.8005</v>
      </c>
      <c r="G21">
        <v>3.4299999999999997E-2</v>
      </c>
      <c r="U21" s="37"/>
      <c r="V21" s="37"/>
    </row>
    <row r="22" spans="1:24" x14ac:dyDescent="0.3">
      <c r="E22" s="16" t="s">
        <v>31</v>
      </c>
      <c r="F22" s="39" t="s">
        <v>123</v>
      </c>
      <c r="G22">
        <v>3.4799999999999998E-2</v>
      </c>
      <c r="U22" s="37"/>
      <c r="V22" s="37"/>
    </row>
    <row r="23" spans="1:24" x14ac:dyDescent="0.3">
      <c r="E23" s="21" t="s">
        <v>32</v>
      </c>
      <c r="F23">
        <v>3.8132999999999999</v>
      </c>
      <c r="G23">
        <v>3.6700000000000003E-2</v>
      </c>
      <c r="U23" s="37"/>
      <c r="V23" s="37"/>
    </row>
    <row r="24" spans="1:24" x14ac:dyDescent="0.3">
      <c r="E24" s="39"/>
      <c r="V24" s="37"/>
      <c r="W24" s="37"/>
    </row>
    <row r="25" spans="1:24" ht="31.5" customHeight="1" x14ac:dyDescent="0.3">
      <c r="A25" s="85" t="s">
        <v>33</v>
      </c>
      <c r="B25" s="86"/>
      <c r="J25" s="36"/>
      <c r="K25" s="36"/>
      <c r="M25" s="73"/>
      <c r="N25" s="41" t="s">
        <v>34</v>
      </c>
      <c r="O25" s="42" t="s">
        <v>124</v>
      </c>
      <c r="P25" s="75" t="s">
        <v>35</v>
      </c>
      <c r="Q25" s="71" t="s">
        <v>36</v>
      </c>
      <c r="R25" s="75" t="s">
        <v>37</v>
      </c>
      <c r="S25" s="74" t="s">
        <v>37</v>
      </c>
      <c r="T25" s="72" t="s">
        <v>38</v>
      </c>
      <c r="U25" s="6" t="s">
        <v>36</v>
      </c>
      <c r="V25" s="37"/>
    </row>
    <row r="26" spans="1:24" ht="30.75" customHeight="1" x14ac:dyDescent="0.3">
      <c r="A26" s="45" t="s">
        <v>39</v>
      </c>
      <c r="B26" s="1" t="s">
        <v>40</v>
      </c>
      <c r="D26" s="46" t="s">
        <v>38</v>
      </c>
      <c r="E26" s="46" t="s">
        <v>41</v>
      </c>
      <c r="F26" s="47" t="s">
        <v>42</v>
      </c>
      <c r="G26" s="47" t="s">
        <v>5</v>
      </c>
      <c r="H26" s="47" t="s">
        <v>6</v>
      </c>
      <c r="I26" s="48"/>
      <c r="J26" s="49" t="s">
        <v>43</v>
      </c>
      <c r="K26" s="50" t="s">
        <v>44</v>
      </c>
      <c r="M26" s="47" t="s">
        <v>45</v>
      </c>
      <c r="N26" s="51" t="s">
        <v>46</v>
      </c>
      <c r="O26" s="52" t="s">
        <v>47</v>
      </c>
      <c r="P26" s="53" t="s">
        <v>48</v>
      </c>
      <c r="Q26" s="71" t="s">
        <v>49</v>
      </c>
      <c r="R26" s="41" t="s">
        <v>49</v>
      </c>
      <c r="S26" s="74" t="s">
        <v>50</v>
      </c>
      <c r="T26" s="74"/>
      <c r="U26" s="6" t="s">
        <v>49</v>
      </c>
      <c r="V26" s="37"/>
    </row>
    <row r="27" spans="1:24" ht="15" customHeight="1" x14ac:dyDescent="0.3">
      <c r="A27" s="18">
        <v>1</v>
      </c>
      <c r="B27" s="30">
        <v>10</v>
      </c>
      <c r="D27" s="76">
        <f>A27</f>
        <v>1</v>
      </c>
      <c r="E27" s="12" t="s">
        <v>51</v>
      </c>
      <c r="F27" s="12">
        <f>B27</f>
        <v>10</v>
      </c>
      <c r="G27" s="54">
        <v>0.22420000000000001</v>
      </c>
      <c r="H27" s="55">
        <v>0.68049999999999999</v>
      </c>
      <c r="I27" s="56"/>
      <c r="J27" s="57">
        <f t="shared" ref="J27:J90" si="1">G27-$J$14</f>
        <v>0.18510000000000001</v>
      </c>
      <c r="K27" s="58">
        <f t="shared" ref="K27:K90" si="2">H27-$K$14</f>
        <v>0.64336666666666664</v>
      </c>
      <c r="L27" s="56"/>
      <c r="M27" s="59">
        <f>J27-(0.25*K27)</f>
        <v>2.4258333333333354E-2</v>
      </c>
      <c r="N27" s="56">
        <f>M27*70.966</f>
        <v>1.7215168833333347</v>
      </c>
      <c r="O27" s="58">
        <f>N27*2</f>
        <v>3.4430337666666695</v>
      </c>
      <c r="P27" s="56">
        <f>O27/F27</f>
        <v>0.34430337666666694</v>
      </c>
      <c r="Q27" s="57">
        <f>AVERAGE(P27:P29)</f>
        <v>1.3021078233333332</v>
      </c>
      <c r="R27" s="56">
        <f>STDEV(P27:P29)</f>
        <v>0.84693129346375728</v>
      </c>
      <c r="S27" s="58">
        <f>R27/Q27*100</f>
        <v>65.043099986578227</v>
      </c>
      <c r="T27" s="60">
        <f>D27</f>
        <v>1</v>
      </c>
      <c r="U27" s="61">
        <f>Q27</f>
        <v>1.3021078233333332</v>
      </c>
      <c r="V27" s="37"/>
    </row>
    <row r="28" spans="1:24" ht="14.4" customHeight="1" x14ac:dyDescent="0.3">
      <c r="A28" s="18">
        <v>2</v>
      </c>
      <c r="B28" s="30">
        <v>10</v>
      </c>
      <c r="D28" s="77"/>
      <c r="E28" s="17" t="s">
        <v>52</v>
      </c>
      <c r="F28" s="17">
        <f>F27</f>
        <v>10</v>
      </c>
      <c r="G28" s="57">
        <v>0.32040000000000002</v>
      </c>
      <c r="H28" s="58">
        <v>0.61219999999999997</v>
      </c>
      <c r="I28" s="56"/>
      <c r="J28" s="57">
        <f t="shared" si="1"/>
        <v>0.28129999999999999</v>
      </c>
      <c r="K28" s="58">
        <f t="shared" si="2"/>
        <v>0.57506666666666661</v>
      </c>
      <c r="L28" s="56"/>
      <c r="M28" s="62">
        <f t="shared" ref="M28:M91" si="3">J28-(0.25*K28)</f>
        <v>0.13753333333333334</v>
      </c>
      <c r="N28" s="56">
        <f t="shared" ref="N28:N91" si="4">M28*70.966</f>
        <v>9.7601905333333328</v>
      </c>
      <c r="O28" s="58">
        <f t="shared" ref="O28:O91" si="5">N28*2</f>
        <v>19.520381066666666</v>
      </c>
      <c r="P28" s="56">
        <f t="shared" ref="P28:P91" si="6">O28/F28</f>
        <v>1.9520381066666666</v>
      </c>
      <c r="Q28" s="57"/>
      <c r="R28" s="56"/>
      <c r="S28" s="58"/>
      <c r="T28" s="63">
        <f>D30</f>
        <v>2</v>
      </c>
      <c r="U28" s="64">
        <f>Q30</f>
        <v>2.2033760233333326</v>
      </c>
    </row>
    <row r="29" spans="1:24" ht="14.4" customHeight="1" x14ac:dyDescent="0.3">
      <c r="A29" s="18">
        <v>3</v>
      </c>
      <c r="B29" s="30">
        <v>10</v>
      </c>
      <c r="D29" s="78"/>
      <c r="E29" s="22" t="s">
        <v>53</v>
      </c>
      <c r="F29" s="22">
        <f>F27</f>
        <v>10</v>
      </c>
      <c r="G29" s="65">
        <v>0.3019</v>
      </c>
      <c r="H29" s="66">
        <v>0.63460000000000005</v>
      </c>
      <c r="I29" s="56"/>
      <c r="J29" s="57">
        <f t="shared" si="1"/>
        <v>0.26279999999999998</v>
      </c>
      <c r="K29" s="58">
        <f t="shared" si="2"/>
        <v>0.5974666666666667</v>
      </c>
      <c r="L29" s="56"/>
      <c r="M29" s="62">
        <f t="shared" si="3"/>
        <v>0.1134333333333333</v>
      </c>
      <c r="N29" s="56">
        <f t="shared" si="4"/>
        <v>8.0499099333333302</v>
      </c>
      <c r="O29" s="58">
        <f t="shared" si="5"/>
        <v>16.09981986666666</v>
      </c>
      <c r="P29" s="56">
        <f t="shared" si="6"/>
        <v>1.609981986666666</v>
      </c>
      <c r="Q29" s="57"/>
      <c r="R29" s="56"/>
      <c r="S29" s="58"/>
      <c r="T29" s="63">
        <f>D33</f>
        <v>3</v>
      </c>
      <c r="U29" s="64">
        <f>Q33</f>
        <v>2.3020187633333333</v>
      </c>
    </row>
    <row r="30" spans="1:24" ht="14.4" customHeight="1" x14ac:dyDescent="0.3">
      <c r="A30" s="18">
        <v>4</v>
      </c>
      <c r="B30" s="30">
        <v>10</v>
      </c>
      <c r="D30" s="76">
        <f>A28</f>
        <v>2</v>
      </c>
      <c r="E30" s="12" t="s">
        <v>54</v>
      </c>
      <c r="F30" s="12">
        <f>B28</f>
        <v>10</v>
      </c>
      <c r="G30" s="54">
        <v>0.34560000000000002</v>
      </c>
      <c r="H30" s="55">
        <v>0.64859999999999995</v>
      </c>
      <c r="I30" s="56"/>
      <c r="J30" s="57">
        <f t="shared" si="1"/>
        <v>0.30649999999999999</v>
      </c>
      <c r="K30" s="58">
        <f t="shared" si="2"/>
        <v>0.6114666666666666</v>
      </c>
      <c r="L30" s="56"/>
      <c r="M30" s="62">
        <f t="shared" si="3"/>
        <v>0.15363333333333334</v>
      </c>
      <c r="N30" s="56">
        <f t="shared" si="4"/>
        <v>10.902743133333333</v>
      </c>
      <c r="O30" s="58">
        <f t="shared" si="5"/>
        <v>21.805486266666666</v>
      </c>
      <c r="P30" s="56">
        <f t="shared" si="6"/>
        <v>2.1805486266666665</v>
      </c>
      <c r="Q30" s="57">
        <f>AVERAGE(P30:P32)</f>
        <v>2.2033760233333326</v>
      </c>
      <c r="R30" s="56">
        <f>STDEV(P30:P32)</f>
        <v>0.27658772794727965</v>
      </c>
      <c r="S30" s="58">
        <f>R30/Q30*100</f>
        <v>12.55290631368719</v>
      </c>
      <c r="T30" s="63">
        <f>D36</f>
        <v>4</v>
      </c>
      <c r="U30" s="64">
        <f>Q36</f>
        <v>1.6137668399999996</v>
      </c>
    </row>
    <row r="31" spans="1:24" ht="14.4" customHeight="1" x14ac:dyDescent="0.3">
      <c r="A31" s="18">
        <v>5</v>
      </c>
      <c r="B31" s="30">
        <v>10</v>
      </c>
      <c r="D31" s="77"/>
      <c r="E31" s="17" t="s">
        <v>55</v>
      </c>
      <c r="F31" s="17">
        <f t="shared" ref="F31" si="7">F30</f>
        <v>10</v>
      </c>
      <c r="G31" s="57">
        <v>0.32819999999999999</v>
      </c>
      <c r="H31" s="58">
        <v>0.64710000000000001</v>
      </c>
      <c r="I31" s="56"/>
      <c r="J31" s="57">
        <f t="shared" si="1"/>
        <v>0.28909999999999997</v>
      </c>
      <c r="K31" s="58">
        <f t="shared" si="2"/>
        <v>0.60996666666666666</v>
      </c>
      <c r="L31" s="56"/>
      <c r="M31" s="62">
        <f t="shared" si="3"/>
        <v>0.1366083333333333</v>
      </c>
      <c r="N31" s="56">
        <f t="shared" si="4"/>
        <v>9.6945469833333302</v>
      </c>
      <c r="O31" s="58">
        <f t="shared" si="5"/>
        <v>19.38909396666666</v>
      </c>
      <c r="P31" s="56">
        <f t="shared" si="6"/>
        <v>1.938909396666666</v>
      </c>
      <c r="Q31" s="57"/>
      <c r="R31" s="56"/>
      <c r="S31" s="58"/>
      <c r="T31" s="63">
        <f>D39</f>
        <v>5</v>
      </c>
      <c r="U31" s="64">
        <f>Q39</f>
        <v>1.0577482299999996</v>
      </c>
    </row>
    <row r="32" spans="1:24" ht="14.4" customHeight="1" x14ac:dyDescent="0.3">
      <c r="A32" s="18">
        <v>6</v>
      </c>
      <c r="B32" s="30">
        <v>10</v>
      </c>
      <c r="D32" s="78"/>
      <c r="E32" s="22" t="s">
        <v>56</v>
      </c>
      <c r="F32" s="22">
        <f t="shared" ref="F32" si="8">F30</f>
        <v>10</v>
      </c>
      <c r="G32" s="65">
        <v>0.36899999999999999</v>
      </c>
      <c r="H32" s="66">
        <v>0.65480000000000005</v>
      </c>
      <c r="I32" s="56"/>
      <c r="J32" s="57">
        <f t="shared" si="1"/>
        <v>0.32989999999999997</v>
      </c>
      <c r="K32" s="58">
        <f t="shared" si="2"/>
        <v>0.6176666666666667</v>
      </c>
      <c r="L32" s="56"/>
      <c r="M32" s="62">
        <f t="shared" si="3"/>
        <v>0.1754833333333333</v>
      </c>
      <c r="N32" s="56">
        <f t="shared" si="4"/>
        <v>12.45335023333333</v>
      </c>
      <c r="O32" s="58">
        <f t="shared" si="5"/>
        <v>24.90670046666666</v>
      </c>
      <c r="P32" s="56">
        <f t="shared" si="6"/>
        <v>2.4906700466666658</v>
      </c>
      <c r="Q32" s="57"/>
      <c r="R32" s="56"/>
      <c r="S32" s="58"/>
      <c r="T32" s="63">
        <f>D42</f>
        <v>6</v>
      </c>
      <c r="U32" s="64">
        <f>Q42</f>
        <v>1.6788190066666662</v>
      </c>
    </row>
    <row r="33" spans="1:21" ht="14.4" customHeight="1" x14ac:dyDescent="0.3">
      <c r="A33" s="18">
        <v>7</v>
      </c>
      <c r="B33" s="30">
        <v>10</v>
      </c>
      <c r="D33" s="76">
        <f>A29</f>
        <v>3</v>
      </c>
      <c r="E33" s="12" t="s">
        <v>57</v>
      </c>
      <c r="F33" s="12">
        <f>B29</f>
        <v>10</v>
      </c>
      <c r="G33" s="54">
        <v>0.35880000000000001</v>
      </c>
      <c r="H33" s="55">
        <v>0.66449999999999998</v>
      </c>
      <c r="I33" s="56"/>
      <c r="J33" s="57">
        <f t="shared" si="1"/>
        <v>0.31969999999999998</v>
      </c>
      <c r="K33" s="58">
        <f t="shared" si="2"/>
        <v>0.62736666666666663</v>
      </c>
      <c r="L33" s="56"/>
      <c r="M33" s="62">
        <f t="shared" si="3"/>
        <v>0.16285833333333333</v>
      </c>
      <c r="N33" s="56">
        <f t="shared" si="4"/>
        <v>11.557404483333332</v>
      </c>
      <c r="O33" s="58">
        <f t="shared" si="5"/>
        <v>23.114808966666665</v>
      </c>
      <c r="P33" s="56">
        <f t="shared" si="6"/>
        <v>2.3114808966666667</v>
      </c>
      <c r="Q33" s="57">
        <f>AVERAGE(P33:P35)</f>
        <v>2.3020187633333333</v>
      </c>
      <c r="R33" s="56">
        <f>STDEV(P33:P35)</f>
        <v>7.1790039471379699E-2</v>
      </c>
      <c r="S33" s="58">
        <f>R33/Q33*100</f>
        <v>3.1185688238017399</v>
      </c>
      <c r="T33" s="63">
        <f>D45</f>
        <v>7</v>
      </c>
      <c r="U33" s="64">
        <f>Q45</f>
        <v>2.2822665600000001</v>
      </c>
    </row>
    <row r="34" spans="1:21" ht="14.4" customHeight="1" x14ac:dyDescent="0.3">
      <c r="A34" s="18">
        <v>8</v>
      </c>
      <c r="B34" s="30">
        <v>10</v>
      </c>
      <c r="D34" s="77"/>
      <c r="E34" s="17" t="s">
        <v>58</v>
      </c>
      <c r="F34" s="17">
        <f t="shared" ref="F34" si="9">F33</f>
        <v>10</v>
      </c>
      <c r="G34" s="57">
        <v>0.36130000000000001</v>
      </c>
      <c r="H34" s="58">
        <v>0.65839999999999999</v>
      </c>
      <c r="I34" s="56"/>
      <c r="J34" s="57">
        <f t="shared" si="1"/>
        <v>0.32219999999999999</v>
      </c>
      <c r="K34" s="58">
        <f t="shared" si="2"/>
        <v>0.62126666666666663</v>
      </c>
      <c r="L34" s="56"/>
      <c r="M34" s="62">
        <f t="shared" si="3"/>
        <v>0.16688333333333333</v>
      </c>
      <c r="N34" s="56">
        <f t="shared" si="4"/>
        <v>11.843042633333331</v>
      </c>
      <c r="O34" s="58">
        <f t="shared" si="5"/>
        <v>23.686085266666662</v>
      </c>
      <c r="P34" s="56">
        <f t="shared" si="6"/>
        <v>2.3686085266666663</v>
      </c>
      <c r="Q34" s="57"/>
      <c r="R34" s="56"/>
      <c r="S34" s="58"/>
      <c r="T34" s="63">
        <f>D48</f>
        <v>8</v>
      </c>
      <c r="U34" s="64">
        <f>Q48</f>
        <v>2.1300444899999995</v>
      </c>
    </row>
    <row r="35" spans="1:21" ht="14.4" customHeight="1" x14ac:dyDescent="0.3">
      <c r="A35" s="18">
        <v>9</v>
      </c>
      <c r="B35" s="30">
        <v>10</v>
      </c>
      <c r="D35" s="78"/>
      <c r="E35" s="22" t="s">
        <v>59</v>
      </c>
      <c r="F35" s="22">
        <f t="shared" ref="F35" si="10">F33</f>
        <v>10</v>
      </c>
      <c r="G35" s="65">
        <v>0.35639999999999999</v>
      </c>
      <c r="H35" s="66">
        <v>0.67900000000000005</v>
      </c>
      <c r="I35" s="56"/>
      <c r="J35" s="57">
        <f t="shared" si="1"/>
        <v>0.31729999999999997</v>
      </c>
      <c r="K35" s="58">
        <f t="shared" si="2"/>
        <v>0.6418666666666667</v>
      </c>
      <c r="L35" s="56"/>
      <c r="M35" s="62">
        <f t="shared" si="3"/>
        <v>0.1568333333333333</v>
      </c>
      <c r="N35" s="56">
        <f t="shared" si="4"/>
        <v>11.12983433333333</v>
      </c>
      <c r="O35" s="58">
        <f t="shared" si="5"/>
        <v>22.259668666666659</v>
      </c>
      <c r="P35" s="56">
        <f t="shared" si="6"/>
        <v>2.2259668666666661</v>
      </c>
      <c r="Q35" s="57"/>
      <c r="R35" s="56"/>
      <c r="S35" s="58"/>
      <c r="T35" s="63">
        <f>D51</f>
        <v>9</v>
      </c>
      <c r="U35" s="64">
        <f>Q51</f>
        <v>1.9344148833333328</v>
      </c>
    </row>
    <row r="36" spans="1:21" ht="14.4" customHeight="1" x14ac:dyDescent="0.3">
      <c r="A36" s="18">
        <v>10</v>
      </c>
      <c r="B36" s="30">
        <v>10</v>
      </c>
      <c r="D36" s="76">
        <f>A30</f>
        <v>4</v>
      </c>
      <c r="E36" s="12" t="s">
        <v>60</v>
      </c>
      <c r="F36" s="12">
        <f>B30</f>
        <v>10</v>
      </c>
      <c r="G36" s="54">
        <v>0.28100000000000003</v>
      </c>
      <c r="H36" s="55">
        <v>0.62529999999999997</v>
      </c>
      <c r="I36" s="56"/>
      <c r="J36" s="57">
        <f t="shared" si="1"/>
        <v>0.24190000000000003</v>
      </c>
      <c r="K36" s="58">
        <f t="shared" si="2"/>
        <v>0.58816666666666662</v>
      </c>
      <c r="L36" s="56"/>
      <c r="M36" s="62">
        <f t="shared" si="3"/>
        <v>9.4858333333333378E-2</v>
      </c>
      <c r="N36" s="56">
        <f t="shared" si="4"/>
        <v>6.7317164833333356</v>
      </c>
      <c r="O36" s="58">
        <f t="shared" si="5"/>
        <v>13.463432966666671</v>
      </c>
      <c r="P36" s="56">
        <f t="shared" si="6"/>
        <v>1.3463432966666671</v>
      </c>
      <c r="Q36" s="57">
        <f>AVERAGE(P36:P38)</f>
        <v>1.6137668399999996</v>
      </c>
      <c r="R36" s="56">
        <f>STDEV(P36:P38)</f>
        <v>0.27724017868083684</v>
      </c>
      <c r="S36" s="58">
        <f>R36/Q36*100</f>
        <v>17.179692369985549</v>
      </c>
      <c r="T36" s="63">
        <f>D54</f>
        <v>10</v>
      </c>
      <c r="U36" s="64">
        <f>Q54</f>
        <v>1.6266589966666665</v>
      </c>
    </row>
    <row r="37" spans="1:21" ht="14.4" customHeight="1" x14ac:dyDescent="0.3">
      <c r="A37" s="18">
        <v>11</v>
      </c>
      <c r="B37" s="30">
        <v>10</v>
      </c>
      <c r="D37" s="77"/>
      <c r="E37" s="17" t="s">
        <v>61</v>
      </c>
      <c r="F37" s="17">
        <f t="shared" ref="F37" si="11">F36</f>
        <v>10</v>
      </c>
      <c r="G37" s="57">
        <v>0.29089999999999999</v>
      </c>
      <c r="H37" s="58">
        <v>0.5948</v>
      </c>
      <c r="I37" s="56"/>
      <c r="J37" s="57">
        <f t="shared" si="1"/>
        <v>0.25179999999999997</v>
      </c>
      <c r="K37" s="58">
        <f t="shared" si="2"/>
        <v>0.55766666666666664</v>
      </c>
      <c r="L37" s="56"/>
      <c r="M37" s="62">
        <f t="shared" si="3"/>
        <v>0.11238333333333331</v>
      </c>
      <c r="N37" s="56">
        <f t="shared" si="4"/>
        <v>7.9753956333333305</v>
      </c>
      <c r="O37" s="58">
        <f t="shared" si="5"/>
        <v>15.950791266666661</v>
      </c>
      <c r="P37" s="56">
        <f t="shared" si="6"/>
        <v>1.5950791266666662</v>
      </c>
      <c r="Q37" s="57"/>
      <c r="R37" s="56"/>
      <c r="S37" s="58"/>
      <c r="T37" s="63">
        <f>D57</f>
        <v>11</v>
      </c>
      <c r="U37" s="64">
        <f>Q57</f>
        <v>0.13483539999999991</v>
      </c>
    </row>
    <row r="38" spans="1:21" ht="14.4" customHeight="1" x14ac:dyDescent="0.3">
      <c r="A38" s="18">
        <v>12</v>
      </c>
      <c r="B38" s="30">
        <v>10</v>
      </c>
      <c r="D38" s="78"/>
      <c r="E38" s="22" t="s">
        <v>62</v>
      </c>
      <c r="F38" s="22">
        <f t="shared" ref="F38" si="12">F36</f>
        <v>10</v>
      </c>
      <c r="G38" s="65">
        <v>0.31359999999999999</v>
      </c>
      <c r="H38" s="66">
        <v>0.59970000000000001</v>
      </c>
      <c r="I38" s="56"/>
      <c r="J38" s="57">
        <f t="shared" si="1"/>
        <v>0.27449999999999997</v>
      </c>
      <c r="K38" s="58">
        <f t="shared" si="2"/>
        <v>0.56256666666666666</v>
      </c>
      <c r="L38" s="56"/>
      <c r="M38" s="62">
        <f t="shared" si="3"/>
        <v>0.1338583333333333</v>
      </c>
      <c r="N38" s="56">
        <f t="shared" si="4"/>
        <v>9.4993904833333307</v>
      </c>
      <c r="O38" s="58">
        <f t="shared" si="5"/>
        <v>18.998780966666661</v>
      </c>
      <c r="P38" s="56">
        <f t="shared" si="6"/>
        <v>1.8998780966666662</v>
      </c>
      <c r="Q38" s="57"/>
      <c r="R38" s="56"/>
      <c r="S38" s="58"/>
      <c r="T38" s="63">
        <f>D60</f>
        <v>12</v>
      </c>
      <c r="U38" s="64">
        <f>Q60</f>
        <v>0.13010433333333329</v>
      </c>
    </row>
    <row r="39" spans="1:21" ht="14.4" customHeight="1" x14ac:dyDescent="0.3">
      <c r="A39" s="18">
        <v>13</v>
      </c>
      <c r="B39" s="30">
        <v>10</v>
      </c>
      <c r="D39" s="76">
        <f>A31</f>
        <v>5</v>
      </c>
      <c r="E39" s="12" t="s">
        <v>63</v>
      </c>
      <c r="F39" s="12">
        <f>B31</f>
        <v>10</v>
      </c>
      <c r="G39" s="54">
        <v>0.29799999999999999</v>
      </c>
      <c r="H39" s="55">
        <v>0.61119999999999997</v>
      </c>
      <c r="I39" s="56"/>
      <c r="J39" s="57">
        <f t="shared" si="1"/>
        <v>0.25889999999999996</v>
      </c>
      <c r="K39" s="58">
        <f t="shared" si="2"/>
        <v>0.57406666666666661</v>
      </c>
      <c r="L39" s="56"/>
      <c r="M39" s="62">
        <f t="shared" si="3"/>
        <v>0.11538333333333331</v>
      </c>
      <c r="N39" s="56">
        <f t="shared" si="4"/>
        <v>8.1882936333333305</v>
      </c>
      <c r="O39" s="58">
        <f t="shared" si="5"/>
        <v>16.376587266666661</v>
      </c>
      <c r="P39" s="56">
        <f t="shared" si="6"/>
        <v>1.637658726666666</v>
      </c>
      <c r="Q39" s="57">
        <f>AVERAGE(P39:P41)</f>
        <v>1.0577482299999996</v>
      </c>
      <c r="R39" s="56">
        <f>STDEV(P39:P41)</f>
        <v>0.90050138045091344</v>
      </c>
      <c r="S39" s="58">
        <f>R39/Q39*100</f>
        <v>85.133811138678411</v>
      </c>
      <c r="T39" s="63">
        <f>D63</f>
        <v>13</v>
      </c>
      <c r="U39" s="64">
        <f>Q63</f>
        <v>1.5554564433333331</v>
      </c>
    </row>
    <row r="40" spans="1:21" ht="14.4" customHeight="1" x14ac:dyDescent="0.3">
      <c r="A40" s="18">
        <v>14</v>
      </c>
      <c r="B40" s="30">
        <v>10</v>
      </c>
      <c r="D40" s="77"/>
      <c r="E40" s="17" t="s">
        <v>64</v>
      </c>
      <c r="F40" s="17">
        <f t="shared" ref="F40" si="13">F39</f>
        <v>10</v>
      </c>
      <c r="G40" s="57">
        <v>0.20399999999999999</v>
      </c>
      <c r="H40" s="58">
        <v>0.69099999999999995</v>
      </c>
      <c r="I40" s="56"/>
      <c r="J40" s="57">
        <f t="shared" si="1"/>
        <v>0.16489999999999999</v>
      </c>
      <c r="K40" s="58">
        <f t="shared" si="2"/>
        <v>0.6538666666666666</v>
      </c>
      <c r="L40" s="56"/>
      <c r="M40" s="62">
        <f t="shared" si="3"/>
        <v>1.433333333333342E-3</v>
      </c>
      <c r="N40" s="56">
        <f t="shared" si="4"/>
        <v>0.10171793333333394</v>
      </c>
      <c r="O40" s="58">
        <f t="shared" si="5"/>
        <v>0.20343586666666788</v>
      </c>
      <c r="P40" s="56">
        <f t="shared" si="6"/>
        <v>2.0343586666666788E-2</v>
      </c>
      <c r="Q40" s="57"/>
      <c r="R40" s="56"/>
      <c r="S40" s="58"/>
      <c r="T40" s="63">
        <f>D66</f>
        <v>14</v>
      </c>
      <c r="U40" s="64">
        <f>Q66</f>
        <v>2.29894357</v>
      </c>
    </row>
    <row r="41" spans="1:21" ht="14.4" customHeight="1" x14ac:dyDescent="0.3">
      <c r="A41" s="18">
        <v>15</v>
      </c>
      <c r="B41" s="30">
        <v>10</v>
      </c>
      <c r="D41" s="78"/>
      <c r="E41" s="22" t="s">
        <v>65</v>
      </c>
      <c r="F41" s="22">
        <f t="shared" ref="F41" si="14">F39</f>
        <v>10</v>
      </c>
      <c r="G41" s="65">
        <v>0.28799999999999998</v>
      </c>
      <c r="H41" s="66">
        <v>0.60570000000000002</v>
      </c>
      <c r="I41" s="56"/>
      <c r="J41" s="57">
        <f t="shared" si="1"/>
        <v>0.24889999999999998</v>
      </c>
      <c r="K41" s="58">
        <f t="shared" si="2"/>
        <v>0.56856666666666666</v>
      </c>
      <c r="L41" s="56"/>
      <c r="M41" s="62">
        <f t="shared" si="3"/>
        <v>0.10675833333333332</v>
      </c>
      <c r="N41" s="56">
        <f t="shared" si="4"/>
        <v>7.5762118833333316</v>
      </c>
      <c r="O41" s="58">
        <f t="shared" si="5"/>
        <v>15.152423766666663</v>
      </c>
      <c r="P41" s="56">
        <f t="shared" si="6"/>
        <v>1.5152423766666663</v>
      </c>
      <c r="Q41" s="57"/>
      <c r="R41" s="56"/>
      <c r="S41" s="58"/>
      <c r="T41" s="63">
        <f>D69</f>
        <v>15</v>
      </c>
      <c r="U41" s="64">
        <f>Q69</f>
        <v>2.3113626199999993</v>
      </c>
    </row>
    <row r="42" spans="1:21" ht="14.4" customHeight="1" x14ac:dyDescent="0.3">
      <c r="A42" s="18">
        <v>16</v>
      </c>
      <c r="B42" s="30">
        <v>10</v>
      </c>
      <c r="D42" s="76">
        <f>A32</f>
        <v>6</v>
      </c>
      <c r="E42" s="12" t="s">
        <v>66</v>
      </c>
      <c r="F42" s="12">
        <f>B32</f>
        <v>10</v>
      </c>
      <c r="G42" s="54">
        <v>0.33489999999999998</v>
      </c>
      <c r="H42" s="55">
        <v>0.79159999999999997</v>
      </c>
      <c r="I42" s="56"/>
      <c r="J42" s="57">
        <f t="shared" si="1"/>
        <v>0.29579999999999995</v>
      </c>
      <c r="K42" s="58">
        <f t="shared" si="2"/>
        <v>0.75446666666666662</v>
      </c>
      <c r="L42" s="56"/>
      <c r="M42" s="62">
        <f t="shared" si="3"/>
        <v>0.1071833333333333</v>
      </c>
      <c r="N42" s="56">
        <f t="shared" si="4"/>
        <v>7.6063724333333305</v>
      </c>
      <c r="O42" s="58">
        <f t="shared" si="5"/>
        <v>15.212744866666661</v>
      </c>
      <c r="P42" s="56">
        <f t="shared" si="6"/>
        <v>1.5212744866666661</v>
      </c>
      <c r="Q42" s="57">
        <f>AVERAGE(P42:P44)</f>
        <v>1.6788190066666662</v>
      </c>
      <c r="R42" s="56">
        <f>STDEV(P42:P44)</f>
        <v>0.6426981241977695</v>
      </c>
      <c r="S42" s="58">
        <f>R42/Q42*100</f>
        <v>38.28275243761157</v>
      </c>
      <c r="T42" s="63">
        <f>D72</f>
        <v>16</v>
      </c>
      <c r="U42" s="64">
        <f>Q72</f>
        <v>1.9332321166666666</v>
      </c>
    </row>
    <row r="43" spans="1:21" ht="14.4" customHeight="1" x14ac:dyDescent="0.3">
      <c r="A43" s="18">
        <v>17</v>
      </c>
      <c r="B43" s="30">
        <v>10</v>
      </c>
      <c r="D43" s="77"/>
      <c r="E43" s="17" t="s">
        <v>67</v>
      </c>
      <c r="F43" s="17">
        <f t="shared" ref="F43" si="15">F42</f>
        <v>10</v>
      </c>
      <c r="G43" s="57">
        <v>0.38379999999999997</v>
      </c>
      <c r="H43" s="58">
        <v>0.74360000000000004</v>
      </c>
      <c r="I43" s="56"/>
      <c r="J43" s="57">
        <f t="shared" si="1"/>
        <v>0.34469999999999995</v>
      </c>
      <c r="K43" s="58">
        <f t="shared" si="2"/>
        <v>0.70646666666666669</v>
      </c>
      <c r="L43" s="56"/>
      <c r="M43" s="62">
        <f t="shared" si="3"/>
        <v>0.16808333333333328</v>
      </c>
      <c r="N43" s="56">
        <f t="shared" si="4"/>
        <v>11.928201833333329</v>
      </c>
      <c r="O43" s="58">
        <f t="shared" si="5"/>
        <v>23.856403666666658</v>
      </c>
      <c r="P43" s="56">
        <f t="shared" si="6"/>
        <v>2.3856403666666659</v>
      </c>
      <c r="Q43" s="57"/>
      <c r="R43" s="56"/>
      <c r="S43" s="58"/>
      <c r="T43" s="63">
        <f>D75</f>
        <v>17</v>
      </c>
      <c r="U43" s="64">
        <f>Q75</f>
        <v>1.6459380933333332</v>
      </c>
    </row>
    <row r="44" spans="1:21" ht="14.4" customHeight="1" x14ac:dyDescent="0.3">
      <c r="A44" s="18">
        <v>18</v>
      </c>
      <c r="B44" s="30">
        <v>10</v>
      </c>
      <c r="D44" s="78"/>
      <c r="E44" s="22" t="s">
        <v>68</v>
      </c>
      <c r="F44" s="22">
        <f t="shared" ref="F44" si="16">F42</f>
        <v>10</v>
      </c>
      <c r="G44" s="65">
        <v>0.30120000000000002</v>
      </c>
      <c r="H44" s="66">
        <v>0.76719999999999999</v>
      </c>
      <c r="I44" s="56"/>
      <c r="J44" s="57">
        <f t="shared" si="1"/>
        <v>0.2621</v>
      </c>
      <c r="K44" s="58">
        <f t="shared" si="2"/>
        <v>0.73006666666666664</v>
      </c>
      <c r="L44" s="56"/>
      <c r="M44" s="62">
        <f t="shared" si="3"/>
        <v>7.9583333333333339E-2</v>
      </c>
      <c r="N44" s="56">
        <f t="shared" si="4"/>
        <v>5.647710833333333</v>
      </c>
      <c r="O44" s="58">
        <f t="shared" si="5"/>
        <v>11.295421666666666</v>
      </c>
      <c r="P44" s="56">
        <f t="shared" si="6"/>
        <v>1.1295421666666665</v>
      </c>
      <c r="Q44" s="57"/>
      <c r="R44" s="56"/>
      <c r="S44" s="58"/>
      <c r="T44" s="63">
        <f>D78</f>
        <v>18</v>
      </c>
      <c r="U44" s="64">
        <f>Q78</f>
        <v>2.3638774599999999</v>
      </c>
    </row>
    <row r="45" spans="1:21" ht="14.4" customHeight="1" x14ac:dyDescent="0.3">
      <c r="A45" s="18">
        <v>19</v>
      </c>
      <c r="B45" s="30">
        <v>10</v>
      </c>
      <c r="D45" s="76">
        <f>A33</f>
        <v>7</v>
      </c>
      <c r="E45" s="12" t="s">
        <v>69</v>
      </c>
      <c r="F45" s="12">
        <f>B33</f>
        <v>10</v>
      </c>
      <c r="G45" s="54">
        <v>0.38040000000000002</v>
      </c>
      <c r="H45" s="55">
        <v>0.68089999999999995</v>
      </c>
      <c r="I45" s="56"/>
      <c r="J45" s="57">
        <f t="shared" si="1"/>
        <v>0.34129999999999999</v>
      </c>
      <c r="K45" s="58">
        <f t="shared" si="2"/>
        <v>0.6437666666666666</v>
      </c>
      <c r="L45" s="56"/>
      <c r="M45" s="62">
        <f t="shared" si="3"/>
        <v>0.18035833333333334</v>
      </c>
      <c r="N45" s="56">
        <f t="shared" si="4"/>
        <v>12.799309483333333</v>
      </c>
      <c r="O45" s="58">
        <f t="shared" si="5"/>
        <v>25.598618966666667</v>
      </c>
      <c r="P45" s="56">
        <f t="shared" si="6"/>
        <v>2.5598618966666669</v>
      </c>
      <c r="Q45" s="57">
        <f>AVERAGE(P45:P47)</f>
        <v>2.2822665600000001</v>
      </c>
      <c r="R45" s="56">
        <f>STDEV(P45:P47)</f>
        <v>0.28145654490293848</v>
      </c>
      <c r="S45" s="58">
        <f>R45/Q45*100</f>
        <v>12.33232567290205</v>
      </c>
      <c r="T45" s="63">
        <f>D81</f>
        <v>19</v>
      </c>
      <c r="U45" s="64">
        <f>Q81</f>
        <v>2.3990056299999996</v>
      </c>
    </row>
    <row r="46" spans="1:21" ht="14.4" customHeight="1" x14ac:dyDescent="0.3">
      <c r="A46" s="18">
        <v>20</v>
      </c>
      <c r="B46" s="30">
        <v>10</v>
      </c>
      <c r="D46" s="77"/>
      <c r="E46" s="17" t="s">
        <v>70</v>
      </c>
      <c r="F46" s="17">
        <f t="shared" ref="F46" si="17">F45</f>
        <v>10</v>
      </c>
      <c r="G46" s="57">
        <v>0.3468</v>
      </c>
      <c r="H46" s="58">
        <v>0.70509999999999995</v>
      </c>
      <c r="I46" s="56"/>
      <c r="J46" s="57">
        <f t="shared" si="1"/>
        <v>0.30769999999999997</v>
      </c>
      <c r="K46" s="58">
        <f t="shared" si="2"/>
        <v>0.6679666666666666</v>
      </c>
      <c r="L46" s="56"/>
      <c r="M46" s="62">
        <f t="shared" si="3"/>
        <v>0.14070833333333332</v>
      </c>
      <c r="N46" s="56">
        <f t="shared" si="4"/>
        <v>9.985507583333332</v>
      </c>
      <c r="O46" s="58">
        <f t="shared" si="5"/>
        <v>19.971015166666664</v>
      </c>
      <c r="P46" s="56">
        <f t="shared" si="6"/>
        <v>1.9971015166666664</v>
      </c>
      <c r="Q46" s="57"/>
      <c r="R46" s="56"/>
      <c r="S46" s="58"/>
      <c r="T46" s="63">
        <f>D84</f>
        <v>20</v>
      </c>
      <c r="U46" s="64">
        <f>Q84</f>
        <v>1.8289120966666665</v>
      </c>
    </row>
    <row r="47" spans="1:21" ht="14.4" customHeight="1" x14ac:dyDescent="0.3">
      <c r="A47" s="18">
        <v>21</v>
      </c>
      <c r="B47" s="30">
        <v>10</v>
      </c>
      <c r="D47" s="78"/>
      <c r="E47" s="22" t="s">
        <v>71</v>
      </c>
      <c r="F47" s="22">
        <f t="shared" ref="F47" si="18">F45</f>
        <v>10</v>
      </c>
      <c r="G47" s="65">
        <v>0.36020000000000002</v>
      </c>
      <c r="H47" s="66">
        <v>0.67620000000000002</v>
      </c>
      <c r="I47" s="56"/>
      <c r="J47" s="57">
        <f t="shared" si="1"/>
        <v>0.3211</v>
      </c>
      <c r="K47" s="58">
        <f t="shared" si="2"/>
        <v>0.63906666666666667</v>
      </c>
      <c r="L47" s="56"/>
      <c r="M47" s="62">
        <f t="shared" si="3"/>
        <v>0.16133333333333333</v>
      </c>
      <c r="N47" s="56">
        <f t="shared" si="4"/>
        <v>11.449181333333332</v>
      </c>
      <c r="O47" s="58">
        <f t="shared" si="5"/>
        <v>22.898362666666664</v>
      </c>
      <c r="P47" s="56">
        <f t="shared" si="6"/>
        <v>2.2898362666666663</v>
      </c>
      <c r="Q47" s="57"/>
      <c r="R47" s="56"/>
      <c r="S47" s="58"/>
      <c r="T47" s="63">
        <f>D87</f>
        <v>21</v>
      </c>
      <c r="U47" s="64">
        <f>Q87</f>
        <v>0.99565297999999969</v>
      </c>
    </row>
    <row r="48" spans="1:21" ht="14.4" customHeight="1" x14ac:dyDescent="0.3">
      <c r="A48" s="18">
        <v>22</v>
      </c>
      <c r="B48" s="30">
        <v>10</v>
      </c>
      <c r="D48" s="76">
        <f>A34</f>
        <v>8</v>
      </c>
      <c r="E48" s="12" t="s">
        <v>72</v>
      </c>
      <c r="F48" s="12">
        <f>B34</f>
        <v>10</v>
      </c>
      <c r="G48" s="54">
        <v>0.38429999999999997</v>
      </c>
      <c r="H48" s="55">
        <v>0.72040000000000004</v>
      </c>
      <c r="I48" s="56"/>
      <c r="J48" s="57">
        <f t="shared" si="1"/>
        <v>0.34519999999999995</v>
      </c>
      <c r="K48" s="58">
        <f t="shared" si="2"/>
        <v>0.68326666666666669</v>
      </c>
      <c r="L48" s="56"/>
      <c r="M48" s="62">
        <f t="shared" si="3"/>
        <v>0.17438333333333328</v>
      </c>
      <c r="N48" s="56">
        <f t="shared" si="4"/>
        <v>12.375287633333329</v>
      </c>
      <c r="O48" s="58">
        <f t="shared" si="5"/>
        <v>24.750575266666658</v>
      </c>
      <c r="P48" s="56">
        <f t="shared" si="6"/>
        <v>2.4750575266666659</v>
      </c>
      <c r="Q48" s="57">
        <f>AVERAGE(P48:P50)</f>
        <v>2.1300444899999995</v>
      </c>
      <c r="R48" s="56">
        <f>STDEV(P48:P50)</f>
        <v>0.34560593792103367</v>
      </c>
      <c r="S48" s="58">
        <f>R48/Q48*100</f>
        <v>16.225291985381666</v>
      </c>
      <c r="T48" s="63">
        <f>D90</f>
        <v>22</v>
      </c>
      <c r="U48" s="64">
        <f>Q90</f>
        <v>2.1272058499999993</v>
      </c>
    </row>
    <row r="49" spans="1:22" ht="14.4" customHeight="1" x14ac:dyDescent="0.3">
      <c r="A49" s="18">
        <v>23</v>
      </c>
      <c r="B49" s="30">
        <v>10</v>
      </c>
      <c r="D49" s="77"/>
      <c r="E49" s="17" t="s">
        <v>73</v>
      </c>
      <c r="F49" s="17">
        <f t="shared" ref="F49" si="19">F48</f>
        <v>10</v>
      </c>
      <c r="G49" s="57">
        <v>0.3412</v>
      </c>
      <c r="H49" s="58">
        <v>0.74280000000000002</v>
      </c>
      <c r="I49" s="56"/>
      <c r="J49" s="57">
        <f t="shared" si="1"/>
        <v>0.30209999999999998</v>
      </c>
      <c r="K49" s="58">
        <f t="shared" si="2"/>
        <v>0.70566666666666666</v>
      </c>
      <c r="L49" s="56"/>
      <c r="M49" s="62">
        <f t="shared" si="3"/>
        <v>0.12568333333333331</v>
      </c>
      <c r="N49" s="56">
        <f t="shared" si="4"/>
        <v>8.9192434333333317</v>
      </c>
      <c r="O49" s="58">
        <f t="shared" si="5"/>
        <v>17.838486866666663</v>
      </c>
      <c r="P49" s="56">
        <f t="shared" si="6"/>
        <v>1.7838486866666663</v>
      </c>
      <c r="Q49" s="57"/>
      <c r="R49" s="56"/>
      <c r="S49" s="58"/>
      <c r="T49" s="63">
        <f>D93</f>
        <v>23</v>
      </c>
      <c r="U49" s="64">
        <f>Q93</f>
        <v>2.2039674066666661</v>
      </c>
    </row>
    <row r="50" spans="1:22" ht="14.4" customHeight="1" x14ac:dyDescent="0.3">
      <c r="A50" s="23">
        <v>24</v>
      </c>
      <c r="B50" s="30">
        <v>10</v>
      </c>
      <c r="D50" s="78"/>
      <c r="E50" s="22" t="s">
        <v>74</v>
      </c>
      <c r="F50" s="22">
        <f t="shared" ref="F50" si="20">F48</f>
        <v>10</v>
      </c>
      <c r="G50" s="65">
        <v>0.35870000000000002</v>
      </c>
      <c r="H50" s="66">
        <v>0.71489999999999998</v>
      </c>
      <c r="I50" s="56"/>
      <c r="J50" s="57">
        <f t="shared" si="1"/>
        <v>0.3196</v>
      </c>
      <c r="K50" s="58">
        <f t="shared" si="2"/>
        <v>0.67776666666666663</v>
      </c>
      <c r="L50" s="56"/>
      <c r="M50" s="62">
        <f t="shared" si="3"/>
        <v>0.15015833333333334</v>
      </c>
      <c r="N50" s="56">
        <f t="shared" si="4"/>
        <v>10.656136283333332</v>
      </c>
      <c r="O50" s="58">
        <f t="shared" si="5"/>
        <v>21.312272566666664</v>
      </c>
      <c r="P50" s="56">
        <f t="shared" si="6"/>
        <v>2.1312272566666666</v>
      </c>
      <c r="Q50" s="57"/>
      <c r="R50" s="56"/>
      <c r="S50" s="58"/>
      <c r="T50" s="67">
        <f>D96</f>
        <v>24</v>
      </c>
      <c r="U50" s="68">
        <f>Q96</f>
        <v>2.1721509833333328</v>
      </c>
    </row>
    <row r="51" spans="1:22" ht="14.4" customHeight="1" x14ac:dyDescent="0.3">
      <c r="D51" s="76">
        <f>A35</f>
        <v>9</v>
      </c>
      <c r="E51" s="12" t="s">
        <v>75</v>
      </c>
      <c r="F51" s="12">
        <f>B35</f>
        <v>10</v>
      </c>
      <c r="G51" s="54">
        <v>0.36849999999999999</v>
      </c>
      <c r="H51" s="55">
        <v>0.69530000000000003</v>
      </c>
      <c r="I51" s="56"/>
      <c r="J51" s="57">
        <f t="shared" si="1"/>
        <v>0.32939999999999997</v>
      </c>
      <c r="K51" s="58">
        <f t="shared" si="2"/>
        <v>0.65816666666666668</v>
      </c>
      <c r="L51" s="56"/>
      <c r="M51" s="62">
        <f t="shared" si="3"/>
        <v>0.1648583333333333</v>
      </c>
      <c r="N51" s="56">
        <f t="shared" si="4"/>
        <v>11.69933648333333</v>
      </c>
      <c r="O51" s="58">
        <f t="shared" si="5"/>
        <v>23.398672966666659</v>
      </c>
      <c r="P51" s="56">
        <f t="shared" si="6"/>
        <v>2.3398672966666658</v>
      </c>
      <c r="Q51" s="57">
        <f>AVERAGE(P51:P53)</f>
        <v>1.9344148833333328</v>
      </c>
      <c r="R51" s="56">
        <f>STDEV(P51:P53)</f>
        <v>0.71582758465350282</v>
      </c>
      <c r="S51" s="58">
        <f>R51/Q51*100</f>
        <v>37.004863373466584</v>
      </c>
      <c r="T51" s="56"/>
      <c r="U51" s="56"/>
      <c r="V51" s="56"/>
    </row>
    <row r="52" spans="1:22" ht="14.4" customHeight="1" x14ac:dyDescent="0.3">
      <c r="D52" s="77"/>
      <c r="E52" s="17" t="s">
        <v>76</v>
      </c>
      <c r="F52" s="17">
        <f t="shared" ref="F52" si="21">F51</f>
        <v>10</v>
      </c>
      <c r="G52" s="57">
        <v>0.36259999999999998</v>
      </c>
      <c r="H52" s="58">
        <v>0.6673</v>
      </c>
      <c r="I52" s="56"/>
      <c r="J52" s="57">
        <f t="shared" si="1"/>
        <v>0.32349999999999995</v>
      </c>
      <c r="K52" s="58">
        <f t="shared" si="2"/>
        <v>0.63016666666666665</v>
      </c>
      <c r="L52" s="56"/>
      <c r="M52" s="62">
        <f t="shared" si="3"/>
        <v>0.16595833333333329</v>
      </c>
      <c r="N52" s="56">
        <f t="shared" si="4"/>
        <v>11.777399083333329</v>
      </c>
      <c r="O52" s="58">
        <f t="shared" si="5"/>
        <v>23.554798166666657</v>
      </c>
      <c r="P52" s="56">
        <f t="shared" si="6"/>
        <v>2.3554798166666657</v>
      </c>
      <c r="Q52" s="57"/>
      <c r="R52" s="56"/>
      <c r="S52" s="58"/>
      <c r="T52" s="56"/>
    </row>
    <row r="53" spans="1:22" ht="14.4" customHeight="1" x14ac:dyDescent="0.3">
      <c r="D53" s="78"/>
      <c r="E53" s="22" t="s">
        <v>77</v>
      </c>
      <c r="F53" s="22">
        <f t="shared" ref="F53" si="22">F51</f>
        <v>10</v>
      </c>
      <c r="G53" s="65">
        <v>0.2828</v>
      </c>
      <c r="H53" s="66">
        <v>0.69969999999999999</v>
      </c>
      <c r="I53" s="56"/>
      <c r="J53" s="57">
        <f t="shared" si="1"/>
        <v>0.2437</v>
      </c>
      <c r="K53" s="58">
        <f t="shared" si="2"/>
        <v>0.66256666666666664</v>
      </c>
      <c r="L53" s="56"/>
      <c r="M53" s="62">
        <f t="shared" si="3"/>
        <v>7.8058333333333341E-2</v>
      </c>
      <c r="N53" s="56">
        <f t="shared" si="4"/>
        <v>5.5394876833333333</v>
      </c>
      <c r="O53" s="58">
        <f t="shared" si="5"/>
        <v>11.078975366666667</v>
      </c>
      <c r="P53" s="56">
        <f t="shared" si="6"/>
        <v>1.1078975366666666</v>
      </c>
      <c r="Q53" s="57"/>
      <c r="R53" s="56"/>
      <c r="S53" s="58"/>
      <c r="T53" s="56"/>
    </row>
    <row r="54" spans="1:22" ht="14.4" customHeight="1" x14ac:dyDescent="0.3">
      <c r="D54" s="76">
        <f>A36</f>
        <v>10</v>
      </c>
      <c r="E54" s="12" t="s">
        <v>78</v>
      </c>
      <c r="F54" s="12">
        <f>B36</f>
        <v>10</v>
      </c>
      <c r="G54" s="54">
        <v>0.31690000000000002</v>
      </c>
      <c r="H54" s="55">
        <v>0.77539999999999998</v>
      </c>
      <c r="I54" s="56"/>
      <c r="J54" s="57">
        <f t="shared" si="1"/>
        <v>0.27779999999999999</v>
      </c>
      <c r="K54" s="58">
        <f t="shared" si="2"/>
        <v>0.73826666666666663</v>
      </c>
      <c r="L54" s="56"/>
      <c r="M54" s="62">
        <f t="shared" si="3"/>
        <v>9.3233333333333335E-2</v>
      </c>
      <c r="N54" s="56">
        <f t="shared" si="4"/>
        <v>6.6163967333333327</v>
      </c>
      <c r="O54" s="58">
        <f t="shared" si="5"/>
        <v>13.232793466666665</v>
      </c>
      <c r="P54" s="56">
        <f t="shared" si="6"/>
        <v>1.3232793466666666</v>
      </c>
      <c r="Q54" s="57">
        <f>AVERAGE(P54:P56)</f>
        <v>1.6266589966666665</v>
      </c>
      <c r="R54" s="56">
        <f>STDEV(P54:P56)</f>
        <v>0.80199657470844432</v>
      </c>
      <c r="S54" s="58">
        <f>R54/Q54*100</f>
        <v>49.303300590467195</v>
      </c>
      <c r="T54" s="56"/>
    </row>
    <row r="55" spans="1:22" ht="14.4" customHeight="1" x14ac:dyDescent="0.3">
      <c r="D55" s="77"/>
      <c r="E55" s="17" t="s">
        <v>79</v>
      </c>
      <c r="F55" s="17">
        <f t="shared" ref="F55" si="23">F54</f>
        <v>10</v>
      </c>
      <c r="G55" s="57">
        <v>0.39300000000000002</v>
      </c>
      <c r="H55" s="58">
        <v>0.73799999999999999</v>
      </c>
      <c r="I55" s="56"/>
      <c r="J55" s="57">
        <f t="shared" si="1"/>
        <v>0.35389999999999999</v>
      </c>
      <c r="K55" s="58">
        <f t="shared" si="2"/>
        <v>0.70086666666666664</v>
      </c>
      <c r="L55" s="56"/>
      <c r="M55" s="62">
        <f t="shared" si="3"/>
        <v>0.17868333333333333</v>
      </c>
      <c r="N55" s="56">
        <f t="shared" si="4"/>
        <v>12.680441433333332</v>
      </c>
      <c r="O55" s="58">
        <f t="shared" si="5"/>
        <v>25.360882866666664</v>
      </c>
      <c r="P55" s="56">
        <f t="shared" si="6"/>
        <v>2.5360882866666663</v>
      </c>
      <c r="Q55" s="57"/>
      <c r="R55" s="56"/>
      <c r="S55" s="58"/>
      <c r="T55" s="56"/>
    </row>
    <row r="56" spans="1:22" ht="14.4" customHeight="1" x14ac:dyDescent="0.3">
      <c r="D56" s="78"/>
      <c r="E56" s="22" t="s">
        <v>80</v>
      </c>
      <c r="F56" s="22">
        <f t="shared" ref="F56" si="24">F54</f>
        <v>10</v>
      </c>
      <c r="G56" s="65">
        <v>0.3075</v>
      </c>
      <c r="H56" s="66">
        <v>0.82310000000000005</v>
      </c>
      <c r="I56" s="56"/>
      <c r="J56" s="57">
        <f t="shared" si="1"/>
        <v>0.26839999999999997</v>
      </c>
      <c r="K56" s="58">
        <f t="shared" si="2"/>
        <v>0.7859666666666667</v>
      </c>
      <c r="L56" s="56"/>
      <c r="M56" s="62">
        <f t="shared" si="3"/>
        <v>7.1908333333333296E-2</v>
      </c>
      <c r="N56" s="56">
        <f t="shared" si="4"/>
        <v>5.1030467833333306</v>
      </c>
      <c r="O56" s="58">
        <f t="shared" si="5"/>
        <v>10.206093566666661</v>
      </c>
      <c r="P56" s="56">
        <f t="shared" si="6"/>
        <v>1.0206093566666661</v>
      </c>
      <c r="Q56" s="57"/>
      <c r="R56" s="56"/>
      <c r="S56" s="58"/>
      <c r="T56" s="56"/>
    </row>
    <row r="57" spans="1:22" ht="14.4" customHeight="1" x14ac:dyDescent="0.3">
      <c r="D57" s="76">
        <f>A37</f>
        <v>11</v>
      </c>
      <c r="E57" s="12" t="s">
        <v>81</v>
      </c>
      <c r="F57" s="12">
        <f>B37</f>
        <v>10</v>
      </c>
      <c r="G57" s="54">
        <v>5.0999999999999997E-2</v>
      </c>
      <c r="H57" s="55">
        <v>4.8300000000000003E-2</v>
      </c>
      <c r="I57" s="56"/>
      <c r="J57" s="57">
        <f t="shared" si="1"/>
        <v>1.1899999999999994E-2</v>
      </c>
      <c r="K57" s="58">
        <f t="shared" si="2"/>
        <v>1.1166666666666672E-2</v>
      </c>
      <c r="L57" s="56"/>
      <c r="M57" s="62">
        <f t="shared" si="3"/>
        <v>9.1083333333333259E-3</v>
      </c>
      <c r="N57" s="56">
        <f t="shared" si="4"/>
        <v>0.64638198333333274</v>
      </c>
      <c r="O57" s="58">
        <f t="shared" si="5"/>
        <v>1.2927639666666655</v>
      </c>
      <c r="P57" s="56">
        <f t="shared" si="6"/>
        <v>0.12927639666666654</v>
      </c>
      <c r="Q57" s="57">
        <f>AVERAGE(P57:P59)</f>
        <v>0.13483539999999991</v>
      </c>
      <c r="R57" s="56">
        <f>STDEV(P57:P59)</f>
        <v>4.8175060588684033E-3</v>
      </c>
      <c r="S57" s="58">
        <f>R57/Q57*100</f>
        <v>3.5728792727046508</v>
      </c>
      <c r="T57" s="56"/>
    </row>
    <row r="58" spans="1:22" ht="14.4" customHeight="1" x14ac:dyDescent="0.3">
      <c r="D58" s="77"/>
      <c r="E58" s="17" t="s">
        <v>82</v>
      </c>
      <c r="F58" s="17">
        <f t="shared" ref="F58" si="25">F57</f>
        <v>10</v>
      </c>
      <c r="G58" s="57">
        <v>5.1799999999999999E-2</v>
      </c>
      <c r="H58" s="58">
        <v>4.9200000000000001E-2</v>
      </c>
      <c r="I58" s="56"/>
      <c r="J58" s="57">
        <f t="shared" si="1"/>
        <v>1.2699999999999996E-2</v>
      </c>
      <c r="K58" s="58">
        <f t="shared" si="2"/>
        <v>1.206666666666667E-2</v>
      </c>
      <c r="L58" s="56"/>
      <c r="M58" s="62">
        <f t="shared" si="3"/>
        <v>9.6833333333333285E-3</v>
      </c>
      <c r="N58" s="56">
        <f t="shared" si="4"/>
        <v>0.68718743333333299</v>
      </c>
      <c r="O58" s="58">
        <f t="shared" si="5"/>
        <v>1.374374866666666</v>
      </c>
      <c r="P58" s="56">
        <f t="shared" si="6"/>
        <v>0.13743748666666661</v>
      </c>
      <c r="Q58" s="57"/>
      <c r="R58" s="56"/>
      <c r="S58" s="58"/>
      <c r="T58" s="56"/>
    </row>
    <row r="59" spans="1:22" ht="14.4" customHeight="1" x14ac:dyDescent="0.3">
      <c r="D59" s="78"/>
      <c r="E59" s="22" t="s">
        <v>83</v>
      </c>
      <c r="F59" s="22">
        <f t="shared" ref="F59" si="26">F57</f>
        <v>10</v>
      </c>
      <c r="G59" s="65">
        <v>5.1900000000000002E-2</v>
      </c>
      <c r="H59" s="66">
        <v>4.9500000000000002E-2</v>
      </c>
      <c r="I59" s="56"/>
      <c r="J59" s="57">
        <f t="shared" si="1"/>
        <v>1.2799999999999999E-2</v>
      </c>
      <c r="K59" s="58">
        <f t="shared" si="2"/>
        <v>1.2366666666666672E-2</v>
      </c>
      <c r="L59" s="56"/>
      <c r="M59" s="62">
        <f t="shared" si="3"/>
        <v>9.708333333333331E-3</v>
      </c>
      <c r="N59" s="56">
        <f t="shared" si="4"/>
        <v>0.68896158333333313</v>
      </c>
      <c r="O59" s="58">
        <f t="shared" si="5"/>
        <v>1.3779231666666663</v>
      </c>
      <c r="P59" s="56">
        <f t="shared" si="6"/>
        <v>0.13779231666666664</v>
      </c>
      <c r="Q59" s="57"/>
      <c r="R59" s="56"/>
      <c r="S59" s="58"/>
      <c r="T59" s="56"/>
    </row>
    <row r="60" spans="1:22" ht="14.4" customHeight="1" x14ac:dyDescent="0.3">
      <c r="D60" s="76">
        <f>A38</f>
        <v>12</v>
      </c>
      <c r="E60" s="12" t="s">
        <v>84</v>
      </c>
      <c r="F60" s="12">
        <f>B38</f>
        <v>10</v>
      </c>
      <c r="G60" s="54">
        <v>0.05</v>
      </c>
      <c r="H60" s="55">
        <v>4.7699999999999999E-2</v>
      </c>
      <c r="I60" s="56"/>
      <c r="J60" s="57">
        <f t="shared" si="1"/>
        <v>1.09E-2</v>
      </c>
      <c r="K60" s="58">
        <f t="shared" si="2"/>
        <v>1.0566666666666669E-2</v>
      </c>
      <c r="L60" s="56"/>
      <c r="M60" s="62">
        <f t="shared" si="3"/>
        <v>8.2583333333333328E-3</v>
      </c>
      <c r="N60" s="56">
        <f t="shared" si="4"/>
        <v>0.58606088333333328</v>
      </c>
      <c r="O60" s="58">
        <f t="shared" si="5"/>
        <v>1.1721217666666666</v>
      </c>
      <c r="P60" s="56">
        <f t="shared" si="6"/>
        <v>0.11721217666666665</v>
      </c>
      <c r="Q60" s="57">
        <f>AVERAGE(P60:P62)</f>
        <v>0.13010433333333329</v>
      </c>
      <c r="R60" s="56">
        <f>STDEV(P60:P62)</f>
        <v>1.1662703088119515E-2</v>
      </c>
      <c r="S60" s="58">
        <f>R60/Q60*100</f>
        <v>8.9641157902397719</v>
      </c>
      <c r="T60" s="56"/>
    </row>
    <row r="61" spans="1:22" ht="14.4" customHeight="1" x14ac:dyDescent="0.3">
      <c r="D61" s="77"/>
      <c r="E61" s="17" t="s">
        <v>85</v>
      </c>
      <c r="F61" s="17">
        <f t="shared" ref="F61" si="27">F60</f>
        <v>10</v>
      </c>
      <c r="G61" s="57">
        <v>5.1999999999999998E-2</v>
      </c>
      <c r="H61" s="58">
        <v>4.9299999999999997E-2</v>
      </c>
      <c r="I61" s="56"/>
      <c r="J61" s="57">
        <f t="shared" si="1"/>
        <v>1.2899999999999995E-2</v>
      </c>
      <c r="K61" s="58">
        <f t="shared" si="2"/>
        <v>1.2166666666666666E-2</v>
      </c>
      <c r="L61" s="56"/>
      <c r="M61" s="62">
        <f t="shared" si="3"/>
        <v>9.8583333333333283E-3</v>
      </c>
      <c r="N61" s="56">
        <f t="shared" si="4"/>
        <v>0.69960648333333297</v>
      </c>
      <c r="O61" s="58">
        <f t="shared" si="5"/>
        <v>1.3992129666666659</v>
      </c>
      <c r="P61" s="56">
        <f t="shared" si="6"/>
        <v>0.13992129666666658</v>
      </c>
      <c r="Q61" s="57"/>
      <c r="R61" s="56"/>
      <c r="S61" s="58"/>
      <c r="T61" s="56"/>
    </row>
    <row r="62" spans="1:22" ht="14.4" customHeight="1" x14ac:dyDescent="0.3">
      <c r="D62" s="78"/>
      <c r="E62" s="22" t="s">
        <v>86</v>
      </c>
      <c r="F62" s="22">
        <f t="shared" ref="F62" si="28">F60</f>
        <v>10</v>
      </c>
      <c r="G62" s="65">
        <v>5.1299999999999998E-2</v>
      </c>
      <c r="H62" s="66">
        <v>4.8399999999999999E-2</v>
      </c>
      <c r="I62" s="56"/>
      <c r="J62" s="57">
        <f t="shared" si="1"/>
        <v>1.2199999999999996E-2</v>
      </c>
      <c r="K62" s="58">
        <f t="shared" si="2"/>
        <v>1.1266666666666668E-2</v>
      </c>
      <c r="L62" s="56"/>
      <c r="M62" s="62">
        <f t="shared" si="3"/>
        <v>9.3833333333333286E-3</v>
      </c>
      <c r="N62" s="56">
        <f t="shared" si="4"/>
        <v>0.66589763333333296</v>
      </c>
      <c r="O62" s="58">
        <f t="shared" si="5"/>
        <v>1.3317952666666659</v>
      </c>
      <c r="P62" s="56">
        <f t="shared" si="6"/>
        <v>0.1331795266666666</v>
      </c>
      <c r="Q62" s="57"/>
      <c r="R62" s="56"/>
      <c r="S62" s="58"/>
      <c r="T62" s="56"/>
    </row>
    <row r="63" spans="1:22" ht="14.4" customHeight="1" x14ac:dyDescent="0.3">
      <c r="D63" s="76">
        <f>A39</f>
        <v>13</v>
      </c>
      <c r="E63" s="12" t="s">
        <v>87</v>
      </c>
      <c r="F63" s="12">
        <f>B39</f>
        <v>10</v>
      </c>
      <c r="G63" s="54">
        <v>0.30330000000000001</v>
      </c>
      <c r="H63" s="55">
        <v>0.67069999999999996</v>
      </c>
      <c r="I63" s="56"/>
      <c r="J63" s="57">
        <f t="shared" si="1"/>
        <v>0.26419999999999999</v>
      </c>
      <c r="K63" s="58">
        <f t="shared" si="2"/>
        <v>0.63356666666666661</v>
      </c>
      <c r="L63" s="56"/>
      <c r="M63" s="62">
        <f t="shared" si="3"/>
        <v>0.10580833333333334</v>
      </c>
      <c r="N63" s="56">
        <f t="shared" si="4"/>
        <v>7.5087941833333334</v>
      </c>
      <c r="O63" s="58">
        <f t="shared" si="5"/>
        <v>15.017588366666667</v>
      </c>
      <c r="P63" s="56">
        <f t="shared" si="6"/>
        <v>1.5017588366666668</v>
      </c>
      <c r="Q63" s="57">
        <f>AVERAGE(P63:P65)</f>
        <v>1.5554564433333331</v>
      </c>
      <c r="R63" s="56">
        <f>STDEV(P63:P65)</f>
        <v>0.21757107766186398</v>
      </c>
      <c r="S63" s="58">
        <f>R63/Q63*100</f>
        <v>13.987603355553343</v>
      </c>
      <c r="T63" s="56"/>
    </row>
    <row r="64" spans="1:22" ht="14.4" customHeight="1" x14ac:dyDescent="0.3">
      <c r="D64" s="77"/>
      <c r="E64" s="17" t="s">
        <v>88</v>
      </c>
      <c r="F64" s="17">
        <f t="shared" ref="F64" si="29">F63</f>
        <v>10</v>
      </c>
      <c r="G64" s="57">
        <v>0.32150000000000001</v>
      </c>
      <c r="H64" s="58">
        <v>0.66090000000000004</v>
      </c>
      <c r="I64" s="56"/>
      <c r="J64" s="57">
        <f t="shared" si="1"/>
        <v>0.28239999999999998</v>
      </c>
      <c r="K64" s="58">
        <f t="shared" si="2"/>
        <v>0.62376666666666669</v>
      </c>
      <c r="L64" s="56"/>
      <c r="M64" s="62">
        <f t="shared" si="3"/>
        <v>0.12645833333333331</v>
      </c>
      <c r="N64" s="56">
        <f t="shared" si="4"/>
        <v>8.9742420833333316</v>
      </c>
      <c r="O64" s="58">
        <f t="shared" si="5"/>
        <v>17.948484166666663</v>
      </c>
      <c r="P64" s="56">
        <f t="shared" si="6"/>
        <v>1.7948484166666663</v>
      </c>
      <c r="Q64" s="57"/>
      <c r="R64" s="56"/>
      <c r="S64" s="58"/>
      <c r="T64" s="56"/>
    </row>
    <row r="65" spans="4:20" ht="14.4" customHeight="1" x14ac:dyDescent="0.3">
      <c r="D65" s="78"/>
      <c r="E65" s="22" t="s">
        <v>89</v>
      </c>
      <c r="F65" s="22">
        <f t="shared" ref="F65" si="30">F63</f>
        <v>10</v>
      </c>
      <c r="G65" s="65">
        <v>0.29220000000000002</v>
      </c>
      <c r="H65" s="66">
        <v>0.66349999999999998</v>
      </c>
      <c r="I65" s="56"/>
      <c r="J65" s="57">
        <f t="shared" si="1"/>
        <v>0.25309999999999999</v>
      </c>
      <c r="K65" s="58">
        <f t="shared" si="2"/>
        <v>0.62636666666666663</v>
      </c>
      <c r="L65" s="56"/>
      <c r="M65" s="62">
        <f t="shared" si="3"/>
        <v>9.6508333333333335E-2</v>
      </c>
      <c r="N65" s="56">
        <f t="shared" si="4"/>
        <v>6.8488103833333325</v>
      </c>
      <c r="O65" s="58">
        <f t="shared" si="5"/>
        <v>13.697620766666665</v>
      </c>
      <c r="P65" s="56">
        <f t="shared" si="6"/>
        <v>1.3697620766666665</v>
      </c>
      <c r="Q65" s="57"/>
      <c r="R65" s="56"/>
      <c r="S65" s="58"/>
      <c r="T65" s="56"/>
    </row>
    <row r="66" spans="4:20" ht="14.4" customHeight="1" x14ac:dyDescent="0.3">
      <c r="D66" s="76">
        <f>A40</f>
        <v>14</v>
      </c>
      <c r="E66" s="12" t="s">
        <v>90</v>
      </c>
      <c r="F66" s="12">
        <f>B40</f>
        <v>10</v>
      </c>
      <c r="G66" s="54">
        <v>0.37469999999999998</v>
      </c>
      <c r="H66" s="55">
        <v>0.63749999999999996</v>
      </c>
      <c r="I66" s="56"/>
      <c r="J66" s="57">
        <f t="shared" si="1"/>
        <v>0.33559999999999995</v>
      </c>
      <c r="K66" s="58">
        <f t="shared" si="2"/>
        <v>0.6003666666666666</v>
      </c>
      <c r="L66" s="56"/>
      <c r="M66" s="62">
        <f t="shared" si="3"/>
        <v>0.1855083333333333</v>
      </c>
      <c r="N66" s="56">
        <f t="shared" si="4"/>
        <v>13.16478438333333</v>
      </c>
      <c r="O66" s="58">
        <f t="shared" si="5"/>
        <v>26.329568766666661</v>
      </c>
      <c r="P66" s="56">
        <f t="shared" si="6"/>
        <v>2.632956876666666</v>
      </c>
      <c r="Q66" s="57">
        <f>AVERAGE(P66:P68)</f>
        <v>2.29894357</v>
      </c>
      <c r="R66" s="56">
        <f>STDEV(P66:P68)</f>
        <v>0.30750013552127076</v>
      </c>
      <c r="S66" s="58">
        <f>R66/Q66*100</f>
        <v>13.375714808052933</v>
      </c>
      <c r="T66" s="56"/>
    </row>
    <row r="67" spans="4:20" ht="14.4" customHeight="1" x14ac:dyDescent="0.3">
      <c r="D67" s="77"/>
      <c r="E67" s="17" t="s">
        <v>91</v>
      </c>
      <c r="F67" s="17">
        <f t="shared" ref="F67" si="31">F66</f>
        <v>10</v>
      </c>
      <c r="G67" s="57">
        <v>0.34010000000000001</v>
      </c>
      <c r="H67" s="58">
        <v>0.6109</v>
      </c>
      <c r="I67" s="56"/>
      <c r="J67" s="57">
        <f t="shared" si="1"/>
        <v>0.30099999999999999</v>
      </c>
      <c r="K67" s="58">
        <f t="shared" si="2"/>
        <v>0.57376666666666665</v>
      </c>
      <c r="L67" s="56"/>
      <c r="M67" s="62">
        <f t="shared" si="3"/>
        <v>0.15755833333333333</v>
      </c>
      <c r="N67" s="56">
        <f t="shared" si="4"/>
        <v>11.181284683333333</v>
      </c>
      <c r="O67" s="58">
        <f t="shared" si="5"/>
        <v>22.362569366666666</v>
      </c>
      <c r="P67" s="56">
        <f t="shared" si="6"/>
        <v>2.2362569366666665</v>
      </c>
      <c r="Q67" s="57"/>
      <c r="R67" s="56"/>
      <c r="S67" s="58"/>
      <c r="T67" s="56"/>
    </row>
    <row r="68" spans="4:20" ht="14.4" customHeight="1" x14ac:dyDescent="0.3">
      <c r="D68" s="78"/>
      <c r="E68" s="22" t="s">
        <v>92</v>
      </c>
      <c r="F68" s="22">
        <f t="shared" ref="F68" si="32">F66</f>
        <v>10</v>
      </c>
      <c r="G68" s="65">
        <v>0.32540000000000002</v>
      </c>
      <c r="H68" s="66">
        <v>0.6109</v>
      </c>
      <c r="I68" s="56"/>
      <c r="J68" s="57">
        <f t="shared" si="1"/>
        <v>0.2863</v>
      </c>
      <c r="K68" s="58">
        <f t="shared" si="2"/>
        <v>0.57376666666666665</v>
      </c>
      <c r="L68" s="56"/>
      <c r="M68" s="62">
        <f t="shared" si="3"/>
        <v>0.14285833333333334</v>
      </c>
      <c r="N68" s="56">
        <f t="shared" si="4"/>
        <v>10.138084483333333</v>
      </c>
      <c r="O68" s="58">
        <f t="shared" si="5"/>
        <v>20.276168966666667</v>
      </c>
      <c r="P68" s="56">
        <f t="shared" si="6"/>
        <v>2.0276168966666668</v>
      </c>
      <c r="Q68" s="57"/>
      <c r="R68" s="56"/>
      <c r="S68" s="58"/>
      <c r="T68" s="56"/>
    </row>
    <row r="69" spans="4:20" ht="14.4" customHeight="1" x14ac:dyDescent="0.3">
      <c r="D69" s="76">
        <f>A41</f>
        <v>15</v>
      </c>
      <c r="E69" s="12" t="s">
        <v>93</v>
      </c>
      <c r="F69" s="12">
        <f>B41</f>
        <v>10</v>
      </c>
      <c r="G69" s="54">
        <v>0.3705</v>
      </c>
      <c r="H69" s="55">
        <v>0.75170000000000003</v>
      </c>
      <c r="I69" s="56"/>
      <c r="J69" s="57">
        <f t="shared" si="1"/>
        <v>0.33139999999999997</v>
      </c>
      <c r="K69" s="58">
        <f t="shared" si="2"/>
        <v>0.71456666666666668</v>
      </c>
      <c r="L69" s="56"/>
      <c r="M69" s="62">
        <f t="shared" si="3"/>
        <v>0.1527583333333333</v>
      </c>
      <c r="N69" s="56">
        <f t="shared" si="4"/>
        <v>10.840647883333331</v>
      </c>
      <c r="O69" s="58">
        <f t="shared" si="5"/>
        <v>21.681295766666661</v>
      </c>
      <c r="P69" s="56">
        <f t="shared" si="6"/>
        <v>2.1681295766666659</v>
      </c>
      <c r="Q69" s="57">
        <f>AVERAGE(P69:P71)</f>
        <v>2.3113626199999993</v>
      </c>
      <c r="R69" s="56">
        <f>STDEV(P69:P71)</f>
        <v>0.38309684525669124</v>
      </c>
      <c r="S69" s="58">
        <f>R69/Q69*100</f>
        <v>16.574502068251469</v>
      </c>
      <c r="T69" s="56"/>
    </row>
    <row r="70" spans="4:20" ht="14.4" customHeight="1" x14ac:dyDescent="0.3">
      <c r="D70" s="77"/>
      <c r="E70" s="17" t="s">
        <v>94</v>
      </c>
      <c r="F70" s="17">
        <f t="shared" ref="F70" si="33">F69</f>
        <v>10</v>
      </c>
      <c r="G70" s="57">
        <v>0.35199999999999998</v>
      </c>
      <c r="H70" s="58">
        <v>0.71930000000000005</v>
      </c>
      <c r="I70" s="56"/>
      <c r="J70" s="57">
        <f t="shared" si="1"/>
        <v>0.31289999999999996</v>
      </c>
      <c r="K70" s="58">
        <f t="shared" si="2"/>
        <v>0.6821666666666667</v>
      </c>
      <c r="L70" s="56"/>
      <c r="M70" s="62">
        <f t="shared" si="3"/>
        <v>0.14235833333333328</v>
      </c>
      <c r="N70" s="56">
        <f t="shared" si="4"/>
        <v>10.102601483333329</v>
      </c>
      <c r="O70" s="58">
        <f t="shared" si="5"/>
        <v>20.205202966666658</v>
      </c>
      <c r="P70" s="56">
        <f t="shared" si="6"/>
        <v>2.0205202966666658</v>
      </c>
      <c r="Q70" s="57"/>
      <c r="R70" s="56"/>
      <c r="S70" s="58"/>
      <c r="T70" s="56"/>
    </row>
    <row r="71" spans="4:20" ht="14.4" customHeight="1" x14ac:dyDescent="0.3">
      <c r="D71" s="78"/>
      <c r="E71" s="22" t="s">
        <v>95</v>
      </c>
      <c r="F71" s="22">
        <f t="shared" ref="F71" si="34">F69</f>
        <v>10</v>
      </c>
      <c r="G71" s="65">
        <v>0.40339999999999998</v>
      </c>
      <c r="H71" s="66">
        <v>0.72060000000000002</v>
      </c>
      <c r="I71" s="56"/>
      <c r="J71" s="57">
        <f t="shared" si="1"/>
        <v>0.36429999999999996</v>
      </c>
      <c r="K71" s="58">
        <f t="shared" si="2"/>
        <v>0.68346666666666667</v>
      </c>
      <c r="L71" s="56"/>
      <c r="M71" s="62">
        <f t="shared" si="3"/>
        <v>0.19343333333333329</v>
      </c>
      <c r="N71" s="56">
        <f t="shared" si="4"/>
        <v>13.72718993333333</v>
      </c>
      <c r="O71" s="58">
        <f t="shared" si="5"/>
        <v>27.45437986666666</v>
      </c>
      <c r="P71" s="56">
        <f t="shared" si="6"/>
        <v>2.7454379866666661</v>
      </c>
      <c r="Q71" s="57"/>
      <c r="R71" s="56"/>
      <c r="S71" s="58"/>
      <c r="T71" s="56"/>
    </row>
    <row r="72" spans="4:20" ht="14.4" customHeight="1" x14ac:dyDescent="0.3">
      <c r="D72" s="76">
        <f>A42</f>
        <v>16</v>
      </c>
      <c r="E72" s="12" t="s">
        <v>96</v>
      </c>
      <c r="F72" s="12">
        <f>B42</f>
        <v>10</v>
      </c>
      <c r="G72" s="54">
        <v>0.38200000000000001</v>
      </c>
      <c r="H72" s="55">
        <v>0.78759999999999997</v>
      </c>
      <c r="I72" s="56"/>
      <c r="J72" s="57">
        <f t="shared" si="1"/>
        <v>0.34289999999999998</v>
      </c>
      <c r="K72" s="58">
        <f t="shared" si="2"/>
        <v>0.75046666666666662</v>
      </c>
      <c r="L72" s="56"/>
      <c r="M72" s="62">
        <f t="shared" si="3"/>
        <v>0.15528333333333333</v>
      </c>
      <c r="N72" s="56">
        <f t="shared" si="4"/>
        <v>11.019837033333332</v>
      </c>
      <c r="O72" s="58">
        <f t="shared" si="5"/>
        <v>22.039674066666663</v>
      </c>
      <c r="P72" s="56">
        <f t="shared" si="6"/>
        <v>2.2039674066666661</v>
      </c>
      <c r="Q72" s="57">
        <f>AVERAGE(P72:P74)</f>
        <v>1.9332321166666666</v>
      </c>
      <c r="R72" s="56">
        <f>STDEV(P72:P74)</f>
        <v>0.38384324647051954</v>
      </c>
      <c r="S72" s="58">
        <f>R72/Q72*100</f>
        <v>19.855000502079019</v>
      </c>
      <c r="T72" s="56"/>
    </row>
    <row r="73" spans="4:20" ht="14.4" customHeight="1" x14ac:dyDescent="0.3">
      <c r="D73" s="77"/>
      <c r="E73" s="17" t="s">
        <v>97</v>
      </c>
      <c r="F73" s="17">
        <f t="shared" ref="F73" si="35">F72</f>
        <v>10</v>
      </c>
      <c r="G73" s="57">
        <v>0.3705</v>
      </c>
      <c r="H73" s="58">
        <v>0.77039999999999997</v>
      </c>
      <c r="I73" s="56"/>
      <c r="J73" s="57">
        <f t="shared" si="1"/>
        <v>0.33139999999999997</v>
      </c>
      <c r="K73" s="58">
        <f t="shared" si="2"/>
        <v>0.73326666666666662</v>
      </c>
      <c r="L73" s="56"/>
      <c r="M73" s="62">
        <f t="shared" si="3"/>
        <v>0.14808333333333332</v>
      </c>
      <c r="N73" s="56">
        <f t="shared" si="4"/>
        <v>10.508881833333332</v>
      </c>
      <c r="O73" s="58">
        <f t="shared" si="5"/>
        <v>21.017763666666664</v>
      </c>
      <c r="P73" s="56">
        <f t="shared" si="6"/>
        <v>2.1017763666666665</v>
      </c>
      <c r="Q73" s="57"/>
      <c r="R73" s="56"/>
      <c r="S73" s="58"/>
      <c r="T73" s="56"/>
    </row>
    <row r="74" spans="4:20" ht="14.4" customHeight="1" x14ac:dyDescent="0.3">
      <c r="D74" s="78"/>
      <c r="E74" s="22" t="s">
        <v>98</v>
      </c>
      <c r="F74" s="22">
        <f t="shared" ref="F74" si="36">F72</f>
        <v>10</v>
      </c>
      <c r="G74" s="65">
        <v>0.33250000000000002</v>
      </c>
      <c r="H74" s="66">
        <v>0.78969999999999996</v>
      </c>
      <c r="I74" s="56"/>
      <c r="J74" s="57">
        <f t="shared" si="1"/>
        <v>0.29339999999999999</v>
      </c>
      <c r="K74" s="58">
        <f t="shared" si="2"/>
        <v>0.75256666666666661</v>
      </c>
      <c r="L74" s="56"/>
      <c r="M74" s="62">
        <f t="shared" si="3"/>
        <v>0.10525833333333334</v>
      </c>
      <c r="N74" s="56">
        <f t="shared" si="4"/>
        <v>7.4697628833333329</v>
      </c>
      <c r="O74" s="58">
        <f t="shared" si="5"/>
        <v>14.939525766666666</v>
      </c>
      <c r="P74" s="56">
        <f t="shared" si="6"/>
        <v>1.4939525766666666</v>
      </c>
      <c r="Q74" s="57"/>
      <c r="R74" s="56"/>
      <c r="S74" s="58"/>
      <c r="T74" s="56"/>
    </row>
    <row r="75" spans="4:20" ht="14.4" customHeight="1" x14ac:dyDescent="0.3">
      <c r="D75" s="76">
        <f>A43</f>
        <v>17</v>
      </c>
      <c r="E75" s="12" t="s">
        <v>99</v>
      </c>
      <c r="F75" s="12">
        <f>B43</f>
        <v>10</v>
      </c>
      <c r="G75" s="54">
        <v>0.375</v>
      </c>
      <c r="H75" s="55">
        <v>0.75209999999999999</v>
      </c>
      <c r="I75" s="56"/>
      <c r="J75" s="57">
        <f t="shared" si="1"/>
        <v>0.33589999999999998</v>
      </c>
      <c r="K75" s="58">
        <f t="shared" si="2"/>
        <v>0.71496666666666664</v>
      </c>
      <c r="L75" s="56"/>
      <c r="M75" s="62">
        <f t="shared" si="3"/>
        <v>0.15715833333333332</v>
      </c>
      <c r="N75" s="56">
        <f t="shared" si="4"/>
        <v>11.152898283333331</v>
      </c>
      <c r="O75" s="58">
        <f t="shared" si="5"/>
        <v>22.305796566666661</v>
      </c>
      <c r="P75" s="56">
        <f t="shared" si="6"/>
        <v>2.230579656666666</v>
      </c>
      <c r="Q75" s="57">
        <f>AVERAGE(P75:P77)</f>
        <v>1.6459380933333332</v>
      </c>
      <c r="R75" s="56">
        <f>STDEV(P75:P77)</f>
        <v>0.51648920401908927</v>
      </c>
      <c r="S75" s="58">
        <f>R75/Q75*100</f>
        <v>31.379625157900186</v>
      </c>
      <c r="T75" s="56"/>
    </row>
    <row r="76" spans="4:20" ht="14.4" customHeight="1" x14ac:dyDescent="0.3">
      <c r="D76" s="77"/>
      <c r="E76" s="17" t="s">
        <v>100</v>
      </c>
      <c r="F76" s="17">
        <f t="shared" ref="F76" si="37">F75</f>
        <v>10</v>
      </c>
      <c r="G76" s="57">
        <v>0.30990000000000001</v>
      </c>
      <c r="H76" s="58">
        <v>0.76759999999999995</v>
      </c>
      <c r="I76" s="56"/>
      <c r="J76" s="57">
        <f t="shared" si="1"/>
        <v>0.27079999999999999</v>
      </c>
      <c r="K76" s="58">
        <f t="shared" si="2"/>
        <v>0.7304666666666666</v>
      </c>
      <c r="L76" s="56"/>
      <c r="M76" s="62">
        <f t="shared" si="3"/>
        <v>8.8183333333333336E-2</v>
      </c>
      <c r="N76" s="56">
        <f t="shared" si="4"/>
        <v>6.2580184333333326</v>
      </c>
      <c r="O76" s="58">
        <f t="shared" si="5"/>
        <v>12.516036866666665</v>
      </c>
      <c r="P76" s="56">
        <f t="shared" si="6"/>
        <v>1.2516036866666664</v>
      </c>
      <c r="Q76" s="57"/>
      <c r="R76" s="56"/>
      <c r="S76" s="58"/>
      <c r="T76" s="56"/>
    </row>
    <row r="77" spans="4:20" ht="14.4" customHeight="1" x14ac:dyDescent="0.3">
      <c r="D77" s="78"/>
      <c r="E77" s="22" t="s">
        <v>101</v>
      </c>
      <c r="F77" s="22">
        <f t="shared" ref="F77" si="38">F75</f>
        <v>10</v>
      </c>
      <c r="G77" s="65">
        <v>0.32150000000000001</v>
      </c>
      <c r="H77" s="66">
        <v>0.75649999999999995</v>
      </c>
      <c r="I77" s="56"/>
      <c r="J77" s="57">
        <f t="shared" si="1"/>
        <v>0.28239999999999998</v>
      </c>
      <c r="K77" s="58">
        <f t="shared" si="2"/>
        <v>0.7193666666666666</v>
      </c>
      <c r="L77" s="56"/>
      <c r="M77" s="62">
        <f t="shared" si="3"/>
        <v>0.10255833333333333</v>
      </c>
      <c r="N77" s="56">
        <f t="shared" si="4"/>
        <v>7.2781546833333328</v>
      </c>
      <c r="O77" s="58">
        <f t="shared" si="5"/>
        <v>14.556309366666666</v>
      </c>
      <c r="P77" s="56">
        <f t="shared" si="6"/>
        <v>1.4556309366666667</v>
      </c>
      <c r="Q77" s="57"/>
      <c r="R77" s="56"/>
      <c r="S77" s="58"/>
      <c r="T77" s="56"/>
    </row>
    <row r="78" spans="4:20" ht="14.4" customHeight="1" x14ac:dyDescent="0.3">
      <c r="D78" s="76">
        <f>A44</f>
        <v>18</v>
      </c>
      <c r="E78" s="12" t="s">
        <v>102</v>
      </c>
      <c r="F78" s="12">
        <f>B44</f>
        <v>10</v>
      </c>
      <c r="G78" s="54">
        <v>0.35759999999999997</v>
      </c>
      <c r="H78" s="55">
        <v>0.75829999999999997</v>
      </c>
      <c r="I78" s="56"/>
      <c r="J78" s="57">
        <f t="shared" si="1"/>
        <v>0.31849999999999995</v>
      </c>
      <c r="K78" s="58">
        <f t="shared" si="2"/>
        <v>0.72116666666666662</v>
      </c>
      <c r="L78" s="56"/>
      <c r="M78" s="62">
        <f t="shared" si="3"/>
        <v>0.13820833333333329</v>
      </c>
      <c r="N78" s="56">
        <f t="shared" si="4"/>
        <v>9.8080925833333303</v>
      </c>
      <c r="O78" s="58">
        <f t="shared" si="5"/>
        <v>19.616185166666661</v>
      </c>
      <c r="P78" s="56">
        <f t="shared" si="6"/>
        <v>1.961618516666666</v>
      </c>
      <c r="Q78" s="57">
        <f>AVERAGE(P78:P80)</f>
        <v>2.3638774599999999</v>
      </c>
      <c r="R78" s="56">
        <f>STDEV(P78:P80)</f>
        <v>0.38508559564401074</v>
      </c>
      <c r="S78" s="58">
        <f>R78/Q78*100</f>
        <v>16.290421232072273</v>
      </c>
      <c r="T78" s="56"/>
    </row>
    <row r="79" spans="4:20" ht="14.4" customHeight="1" x14ac:dyDescent="0.3">
      <c r="D79" s="77"/>
      <c r="E79" s="17" t="s">
        <v>103</v>
      </c>
      <c r="F79" s="17">
        <f t="shared" ref="F79" si="39">F78</f>
        <v>10</v>
      </c>
      <c r="G79" s="57">
        <v>0.40689999999999998</v>
      </c>
      <c r="H79" s="58">
        <v>0.73919999999999997</v>
      </c>
      <c r="I79" s="56"/>
      <c r="J79" s="57">
        <f t="shared" si="1"/>
        <v>0.36779999999999996</v>
      </c>
      <c r="K79" s="58">
        <f t="shared" si="2"/>
        <v>0.70206666666666662</v>
      </c>
      <c r="L79" s="56"/>
      <c r="M79" s="62">
        <f t="shared" si="3"/>
        <v>0.19228333333333331</v>
      </c>
      <c r="N79" s="56">
        <f t="shared" si="4"/>
        <v>13.64557903333333</v>
      </c>
      <c r="O79" s="58">
        <f t="shared" si="5"/>
        <v>27.291158066666661</v>
      </c>
      <c r="P79" s="56">
        <f t="shared" si="6"/>
        <v>2.7291158066666661</v>
      </c>
      <c r="Q79" s="57"/>
      <c r="R79" s="56"/>
      <c r="S79" s="58"/>
      <c r="T79" s="56"/>
    </row>
    <row r="80" spans="4:20" ht="14.4" customHeight="1" x14ac:dyDescent="0.3">
      <c r="D80" s="78"/>
      <c r="E80" s="22" t="s">
        <v>104</v>
      </c>
      <c r="F80" s="22">
        <f t="shared" ref="F80" si="40">F78</f>
        <v>10</v>
      </c>
      <c r="G80" s="65">
        <v>0.38590000000000002</v>
      </c>
      <c r="H80" s="66">
        <v>0.74770000000000003</v>
      </c>
      <c r="I80" s="56"/>
      <c r="J80" s="57">
        <f t="shared" si="1"/>
        <v>0.3468</v>
      </c>
      <c r="K80" s="58">
        <f t="shared" si="2"/>
        <v>0.71056666666666668</v>
      </c>
      <c r="L80" s="56"/>
      <c r="M80" s="62">
        <f t="shared" si="3"/>
        <v>0.16915833333333333</v>
      </c>
      <c r="N80" s="56">
        <f t="shared" si="4"/>
        <v>12.004490283333332</v>
      </c>
      <c r="O80" s="58">
        <f t="shared" si="5"/>
        <v>24.008980566666665</v>
      </c>
      <c r="P80" s="56">
        <f t="shared" si="6"/>
        <v>2.4008980566666667</v>
      </c>
      <c r="Q80" s="57"/>
      <c r="R80" s="56"/>
      <c r="S80" s="58"/>
      <c r="T80" s="56"/>
    </row>
    <row r="81" spans="4:20" ht="14.4" customHeight="1" x14ac:dyDescent="0.3">
      <c r="D81" s="76">
        <f>A45</f>
        <v>19</v>
      </c>
      <c r="E81" s="12" t="s">
        <v>105</v>
      </c>
      <c r="F81" s="12">
        <f>B45</f>
        <v>10</v>
      </c>
      <c r="G81" s="54">
        <v>0.3589</v>
      </c>
      <c r="H81" s="55">
        <v>0.71020000000000005</v>
      </c>
      <c r="I81" s="56"/>
      <c r="J81" s="57">
        <f t="shared" si="1"/>
        <v>0.31979999999999997</v>
      </c>
      <c r="K81" s="58">
        <f t="shared" si="2"/>
        <v>0.6730666666666667</v>
      </c>
      <c r="L81" s="56"/>
      <c r="M81" s="62">
        <f t="shared" si="3"/>
        <v>0.1515333333333333</v>
      </c>
      <c r="N81" s="56">
        <f t="shared" si="4"/>
        <v>10.75371453333333</v>
      </c>
      <c r="O81" s="58">
        <f t="shared" si="5"/>
        <v>21.50742906666666</v>
      </c>
      <c r="P81" s="56">
        <f t="shared" si="6"/>
        <v>2.1507429066666659</v>
      </c>
      <c r="Q81" s="57">
        <f>AVERAGE(P81:P83)</f>
        <v>2.3990056299999996</v>
      </c>
      <c r="R81" s="56">
        <f>STDEV(P81:P83)</f>
        <v>0.21506337724683336</v>
      </c>
      <c r="S81" s="58">
        <f>R81/Q81*100</f>
        <v>8.9646883090821845</v>
      </c>
      <c r="T81" s="56"/>
    </row>
    <row r="82" spans="4:20" ht="14.4" customHeight="1" x14ac:dyDescent="0.3">
      <c r="D82" s="77"/>
      <c r="E82" s="17" t="s">
        <v>106</v>
      </c>
      <c r="F82" s="17">
        <f t="shared" ref="F82" si="41">F81</f>
        <v>10</v>
      </c>
      <c r="G82" s="57">
        <v>0.3851</v>
      </c>
      <c r="H82" s="58">
        <v>0.71150000000000002</v>
      </c>
      <c r="I82" s="56"/>
      <c r="J82" s="57">
        <f t="shared" si="1"/>
        <v>0.34599999999999997</v>
      </c>
      <c r="K82" s="58">
        <f t="shared" si="2"/>
        <v>0.67436666666666667</v>
      </c>
      <c r="L82" s="56"/>
      <c r="M82" s="62">
        <f t="shared" si="3"/>
        <v>0.17740833333333331</v>
      </c>
      <c r="N82" s="56">
        <f t="shared" si="4"/>
        <v>12.589959783333331</v>
      </c>
      <c r="O82" s="58">
        <f t="shared" si="5"/>
        <v>25.179919566666662</v>
      </c>
      <c r="P82" s="56">
        <f t="shared" si="6"/>
        <v>2.5179919566666662</v>
      </c>
      <c r="Q82" s="57"/>
      <c r="R82" s="56"/>
      <c r="S82" s="58"/>
      <c r="T82" s="56"/>
    </row>
    <row r="83" spans="4:20" ht="14.4" customHeight="1" x14ac:dyDescent="0.3">
      <c r="D83" s="78"/>
      <c r="E83" s="22" t="s">
        <v>107</v>
      </c>
      <c r="F83" s="22">
        <f t="shared" ref="F83" si="42">F81</f>
        <v>10</v>
      </c>
      <c r="G83" s="65">
        <v>0.38640000000000002</v>
      </c>
      <c r="H83" s="66">
        <v>0.71379999999999999</v>
      </c>
      <c r="I83" s="56"/>
      <c r="J83" s="57">
        <f t="shared" si="1"/>
        <v>0.3473</v>
      </c>
      <c r="K83" s="58">
        <f t="shared" si="2"/>
        <v>0.67666666666666664</v>
      </c>
      <c r="L83" s="56"/>
      <c r="M83" s="62">
        <f t="shared" si="3"/>
        <v>0.17813333333333334</v>
      </c>
      <c r="N83" s="56">
        <f t="shared" si="4"/>
        <v>12.641410133333332</v>
      </c>
      <c r="O83" s="58">
        <f t="shared" si="5"/>
        <v>25.282820266666665</v>
      </c>
      <c r="P83" s="56">
        <f t="shared" si="6"/>
        <v>2.5282820266666666</v>
      </c>
      <c r="Q83" s="57"/>
      <c r="R83" s="56"/>
      <c r="S83" s="58"/>
      <c r="T83" s="56"/>
    </row>
    <row r="84" spans="4:20" ht="14.4" customHeight="1" x14ac:dyDescent="0.3">
      <c r="D84" s="76">
        <f>A46</f>
        <v>20</v>
      </c>
      <c r="E84" s="12" t="s">
        <v>108</v>
      </c>
      <c r="F84" s="12">
        <f>B46</f>
        <v>10</v>
      </c>
      <c r="G84" s="54">
        <v>0.4</v>
      </c>
      <c r="H84" s="55">
        <v>0.72199999999999998</v>
      </c>
      <c r="I84" s="56"/>
      <c r="J84" s="57">
        <f t="shared" si="1"/>
        <v>0.3609</v>
      </c>
      <c r="K84" s="58">
        <f t="shared" si="2"/>
        <v>0.68486666666666662</v>
      </c>
      <c r="L84" s="56"/>
      <c r="M84" s="62">
        <f t="shared" si="3"/>
        <v>0.18968333333333334</v>
      </c>
      <c r="N84" s="56">
        <f t="shared" si="4"/>
        <v>13.461067433333334</v>
      </c>
      <c r="O84" s="58">
        <f t="shared" si="5"/>
        <v>26.922134866666667</v>
      </c>
      <c r="P84" s="56">
        <f t="shared" si="6"/>
        <v>2.6922134866666667</v>
      </c>
      <c r="Q84" s="57">
        <f>AVERAGE(P84:P86)</f>
        <v>1.8289120966666665</v>
      </c>
      <c r="R84" s="56">
        <f>STDEV(P84:P86)</f>
        <v>0.75053272208177635</v>
      </c>
      <c r="S84" s="58">
        <f>R84/Q84*100</f>
        <v>41.03711290715831</v>
      </c>
      <c r="T84" s="56"/>
    </row>
    <row r="85" spans="4:20" ht="14.4" customHeight="1" x14ac:dyDescent="0.3">
      <c r="D85" s="77"/>
      <c r="E85" s="17" t="s">
        <v>109</v>
      </c>
      <c r="F85" s="17">
        <f t="shared" ref="F85" si="43">F84</f>
        <v>10</v>
      </c>
      <c r="G85" s="57">
        <v>0.31630000000000003</v>
      </c>
      <c r="H85" s="58">
        <v>0.77070000000000005</v>
      </c>
      <c r="I85" s="56"/>
      <c r="J85" s="57">
        <f t="shared" si="1"/>
        <v>0.2772</v>
      </c>
      <c r="K85" s="58">
        <f t="shared" si="2"/>
        <v>0.7335666666666667</v>
      </c>
      <c r="L85" s="56"/>
      <c r="M85" s="62">
        <f t="shared" si="3"/>
        <v>9.3808333333333327E-2</v>
      </c>
      <c r="N85" s="56">
        <f t="shared" si="4"/>
        <v>6.6572021833333324</v>
      </c>
      <c r="O85" s="58">
        <f t="shared" si="5"/>
        <v>13.314404366666665</v>
      </c>
      <c r="P85" s="56">
        <f t="shared" si="6"/>
        <v>1.3314404366666666</v>
      </c>
      <c r="Q85" s="57"/>
      <c r="R85" s="56"/>
      <c r="S85" s="58"/>
      <c r="T85" s="56"/>
    </row>
    <row r="86" spans="4:20" ht="14.4" customHeight="1" x14ac:dyDescent="0.3">
      <c r="D86" s="78"/>
      <c r="E86" s="22" t="s">
        <v>110</v>
      </c>
      <c r="F86" s="22">
        <f t="shared" ref="F86" si="44">F84</f>
        <v>10</v>
      </c>
      <c r="G86" s="65">
        <v>0.32750000000000001</v>
      </c>
      <c r="H86" s="66">
        <v>0.77839999999999998</v>
      </c>
      <c r="I86" s="56"/>
      <c r="J86" s="57">
        <f t="shared" si="1"/>
        <v>0.28839999999999999</v>
      </c>
      <c r="K86" s="58">
        <f t="shared" si="2"/>
        <v>0.74126666666666663</v>
      </c>
      <c r="L86" s="56"/>
      <c r="M86" s="62">
        <f t="shared" si="3"/>
        <v>0.10308333333333333</v>
      </c>
      <c r="N86" s="56">
        <f t="shared" si="4"/>
        <v>7.3154118333333322</v>
      </c>
      <c r="O86" s="58">
        <f t="shared" si="5"/>
        <v>14.630823666666664</v>
      </c>
      <c r="P86" s="56">
        <f t="shared" si="6"/>
        <v>1.4630823666666664</v>
      </c>
      <c r="Q86" s="57"/>
      <c r="R86" s="56"/>
      <c r="S86" s="58"/>
      <c r="T86" s="56"/>
    </row>
    <row r="87" spans="4:20" ht="14.4" customHeight="1" x14ac:dyDescent="0.3">
      <c r="D87" s="76">
        <f>A47</f>
        <v>21</v>
      </c>
      <c r="E87" s="12" t="s">
        <v>111</v>
      </c>
      <c r="F87" s="12">
        <f>B47</f>
        <v>10</v>
      </c>
      <c r="G87" s="54">
        <v>0.33729999999999999</v>
      </c>
      <c r="H87" s="55">
        <v>0.77980000000000005</v>
      </c>
      <c r="I87" s="56"/>
      <c r="J87" s="57">
        <f t="shared" si="1"/>
        <v>0.29819999999999997</v>
      </c>
      <c r="K87" s="58">
        <f t="shared" si="2"/>
        <v>0.7426666666666667</v>
      </c>
      <c r="L87" s="56"/>
      <c r="M87" s="62">
        <f t="shared" si="3"/>
        <v>0.11253333333333329</v>
      </c>
      <c r="N87" s="56">
        <f t="shared" si="4"/>
        <v>7.9860405333333295</v>
      </c>
      <c r="O87" s="58">
        <f t="shared" si="5"/>
        <v>15.972081066666659</v>
      </c>
      <c r="P87" s="56">
        <f t="shared" si="6"/>
        <v>1.5972081066666659</v>
      </c>
      <c r="Q87" s="57">
        <f>AVERAGE(P87:P89)</f>
        <v>0.99565297999999969</v>
      </c>
      <c r="R87" s="56">
        <f>STDEV(P87:P89)</f>
        <v>0.78051795754062125</v>
      </c>
      <c r="S87" s="58">
        <f>R87/Q87*100</f>
        <v>78.392569822933851</v>
      </c>
      <c r="T87" s="56"/>
    </row>
    <row r="88" spans="4:20" ht="14.4" customHeight="1" x14ac:dyDescent="0.3">
      <c r="D88" s="77"/>
      <c r="E88" s="17" t="s">
        <v>112</v>
      </c>
      <c r="F88" s="17">
        <f t="shared" ref="F88:F97" si="45">F87</f>
        <v>10</v>
      </c>
      <c r="G88" s="57">
        <v>0.2397</v>
      </c>
      <c r="H88" s="58">
        <v>0.8075</v>
      </c>
      <c r="I88" s="56"/>
      <c r="J88" s="57">
        <f t="shared" si="1"/>
        <v>0.2006</v>
      </c>
      <c r="K88" s="58">
        <f t="shared" si="2"/>
        <v>0.77036666666666664</v>
      </c>
      <c r="L88" s="56"/>
      <c r="M88" s="62">
        <f t="shared" si="3"/>
        <v>8.0083333333333395E-3</v>
      </c>
      <c r="N88" s="56">
        <f t="shared" si="4"/>
        <v>0.56831938333333376</v>
      </c>
      <c r="O88" s="58">
        <f t="shared" si="5"/>
        <v>1.1366387666666675</v>
      </c>
      <c r="P88" s="56">
        <f t="shared" si="6"/>
        <v>0.11366387666666675</v>
      </c>
      <c r="Q88" s="57"/>
      <c r="R88" s="56"/>
      <c r="S88" s="58"/>
      <c r="T88" s="56"/>
    </row>
    <row r="89" spans="4:20" ht="14.4" customHeight="1" x14ac:dyDescent="0.3">
      <c r="D89" s="78"/>
      <c r="E89" s="22" t="s">
        <v>113</v>
      </c>
      <c r="F89" s="22">
        <f t="shared" ref="F89:F98" si="46">F87</f>
        <v>10</v>
      </c>
      <c r="G89" s="65">
        <v>0.30349999999999999</v>
      </c>
      <c r="H89" s="66">
        <v>0.73509999999999998</v>
      </c>
      <c r="I89" s="56"/>
      <c r="J89" s="57">
        <f t="shared" si="1"/>
        <v>0.26439999999999997</v>
      </c>
      <c r="K89" s="58">
        <f t="shared" si="2"/>
        <v>0.69796666666666662</v>
      </c>
      <c r="L89" s="56"/>
      <c r="M89" s="62">
        <f t="shared" si="3"/>
        <v>8.9908333333333312E-2</v>
      </c>
      <c r="N89" s="56">
        <f t="shared" si="4"/>
        <v>6.3804347833333317</v>
      </c>
      <c r="O89" s="58">
        <f t="shared" si="5"/>
        <v>12.760869566666663</v>
      </c>
      <c r="P89" s="56">
        <f t="shared" si="6"/>
        <v>1.2760869566666664</v>
      </c>
      <c r="Q89" s="57"/>
      <c r="R89" s="56"/>
      <c r="S89" s="58"/>
      <c r="T89" s="56"/>
    </row>
    <row r="90" spans="4:20" ht="14.4" customHeight="1" x14ac:dyDescent="0.3">
      <c r="D90" s="76">
        <f>A48</f>
        <v>22</v>
      </c>
      <c r="E90" s="12" t="s">
        <v>114</v>
      </c>
      <c r="F90" s="12">
        <f>B48</f>
        <v>10</v>
      </c>
      <c r="G90" s="54">
        <v>0.3619</v>
      </c>
      <c r="H90" s="55">
        <v>0.70750000000000002</v>
      </c>
      <c r="I90" s="56"/>
      <c r="J90" s="57">
        <f t="shared" si="1"/>
        <v>0.32279999999999998</v>
      </c>
      <c r="K90" s="58">
        <f t="shared" si="2"/>
        <v>0.67036666666666667</v>
      </c>
      <c r="L90" s="56"/>
      <c r="M90" s="62">
        <f t="shared" si="3"/>
        <v>0.15520833333333331</v>
      </c>
      <c r="N90" s="56">
        <f t="shared" si="4"/>
        <v>11.01451458333333</v>
      </c>
      <c r="O90" s="58">
        <f t="shared" si="5"/>
        <v>22.02902916666666</v>
      </c>
      <c r="P90" s="56">
        <f t="shared" si="6"/>
        <v>2.202902916666666</v>
      </c>
      <c r="Q90" s="57">
        <f>AVERAGE(P90:P92)</f>
        <v>2.1272058499999993</v>
      </c>
      <c r="R90" s="56">
        <f>STDEV(P90:P92)</f>
        <v>0.15859842560507803</v>
      </c>
      <c r="S90" s="58">
        <f>R90/Q90*100</f>
        <v>7.4557159385904317</v>
      </c>
      <c r="T90" s="56"/>
    </row>
    <row r="91" spans="4:20" ht="14.4" customHeight="1" x14ac:dyDescent="0.3">
      <c r="D91" s="77"/>
      <c r="E91" s="17" t="s">
        <v>115</v>
      </c>
      <c r="F91" s="17">
        <f t="shared" si="45"/>
        <v>10</v>
      </c>
      <c r="G91" s="57">
        <v>0.34089999999999998</v>
      </c>
      <c r="H91" s="58">
        <v>0.69620000000000004</v>
      </c>
      <c r="I91" s="56"/>
      <c r="J91" s="57">
        <f t="shared" ref="J91:J98" si="47">G91-$J$14</f>
        <v>0.30179999999999996</v>
      </c>
      <c r="K91" s="58">
        <f t="shared" ref="K91:K98" si="48">H91-$K$14</f>
        <v>0.65906666666666669</v>
      </c>
      <c r="L91" s="56"/>
      <c r="M91" s="62">
        <f t="shared" si="3"/>
        <v>0.13703333333333328</v>
      </c>
      <c r="N91" s="56">
        <f t="shared" si="4"/>
        <v>9.7247075333333299</v>
      </c>
      <c r="O91" s="58">
        <f t="shared" si="5"/>
        <v>19.44941506666666</v>
      </c>
      <c r="P91" s="56">
        <f t="shared" si="6"/>
        <v>1.944941506666666</v>
      </c>
      <c r="Q91" s="57"/>
      <c r="R91" s="56"/>
      <c r="S91" s="58"/>
      <c r="T91" s="56"/>
    </row>
    <row r="92" spans="4:20" ht="14.4" customHeight="1" x14ac:dyDescent="0.3">
      <c r="D92" s="78"/>
      <c r="E92" s="22" t="s">
        <v>116</v>
      </c>
      <c r="F92" s="22">
        <f t="shared" si="46"/>
        <v>10</v>
      </c>
      <c r="G92" s="65">
        <v>0.3599</v>
      </c>
      <c r="H92" s="66">
        <v>0.69079999999999997</v>
      </c>
      <c r="I92" s="56"/>
      <c r="J92" s="57">
        <f t="shared" si="47"/>
        <v>0.32079999999999997</v>
      </c>
      <c r="K92" s="58">
        <f t="shared" si="48"/>
        <v>0.65366666666666662</v>
      </c>
      <c r="L92" s="56"/>
      <c r="M92" s="62">
        <f t="shared" ref="M92:M98" si="49">J92-(0.25*K92)</f>
        <v>0.15738333333333332</v>
      </c>
      <c r="N92" s="56">
        <f t="shared" ref="N92:N98" si="50">M92*70.966</f>
        <v>11.168865633333331</v>
      </c>
      <c r="O92" s="58">
        <f t="shared" ref="O92:O98" si="51">N92*2</f>
        <v>22.337731266666662</v>
      </c>
      <c r="P92" s="56">
        <f t="shared" ref="P92:P98" si="52">O92/F92</f>
        <v>2.2337731266666663</v>
      </c>
      <c r="Q92" s="57"/>
      <c r="R92" s="56"/>
      <c r="S92" s="58"/>
      <c r="T92" s="56"/>
    </row>
    <row r="93" spans="4:20" ht="14.4" customHeight="1" x14ac:dyDescent="0.3">
      <c r="D93" s="76">
        <f>A49</f>
        <v>23</v>
      </c>
      <c r="E93" s="12" t="s">
        <v>117</v>
      </c>
      <c r="F93" s="12">
        <f>B49</f>
        <v>10</v>
      </c>
      <c r="G93" s="54">
        <v>0.36370000000000002</v>
      </c>
      <c r="H93" s="55">
        <v>0.75109999999999999</v>
      </c>
      <c r="I93" s="56"/>
      <c r="J93" s="57">
        <f t="shared" si="47"/>
        <v>0.3246</v>
      </c>
      <c r="K93" s="58">
        <f t="shared" si="48"/>
        <v>0.71396666666666664</v>
      </c>
      <c r="L93" s="56"/>
      <c r="M93" s="62">
        <f t="shared" si="49"/>
        <v>0.14610833333333334</v>
      </c>
      <c r="N93" s="56">
        <f t="shared" si="50"/>
        <v>10.368723983333332</v>
      </c>
      <c r="O93" s="58">
        <f t="shared" si="51"/>
        <v>20.737447966666664</v>
      </c>
      <c r="P93" s="56">
        <f t="shared" si="52"/>
        <v>2.0737447966666664</v>
      </c>
      <c r="Q93" s="57">
        <f>AVERAGE(P93:P95)</f>
        <v>2.2039674066666661</v>
      </c>
      <c r="R93" s="56">
        <f>STDEV(P93:P95)</f>
        <v>0.18058825262088499</v>
      </c>
      <c r="S93" s="58">
        <f>R93/Q93*100</f>
        <v>8.1937805466012321</v>
      </c>
      <c r="T93" s="56"/>
    </row>
    <row r="94" spans="4:20" ht="14.4" customHeight="1" x14ac:dyDescent="0.3">
      <c r="D94" s="77"/>
      <c r="E94" s="17" t="s">
        <v>118</v>
      </c>
      <c r="F94" s="17">
        <f t="shared" si="45"/>
        <v>10</v>
      </c>
      <c r="G94" s="57">
        <v>0.37209999999999999</v>
      </c>
      <c r="H94" s="58">
        <v>0.76939999999999997</v>
      </c>
      <c r="I94" s="56"/>
      <c r="J94" s="57">
        <f t="shared" si="47"/>
        <v>0.33299999999999996</v>
      </c>
      <c r="K94" s="58">
        <f t="shared" si="48"/>
        <v>0.73226666666666662</v>
      </c>
      <c r="L94" s="56"/>
      <c r="M94" s="62">
        <f t="shared" si="49"/>
        <v>0.14993333333333331</v>
      </c>
      <c r="N94" s="56">
        <f t="shared" si="50"/>
        <v>10.64016893333333</v>
      </c>
      <c r="O94" s="58">
        <f t="shared" si="51"/>
        <v>21.28033786666666</v>
      </c>
      <c r="P94" s="56">
        <f t="shared" si="52"/>
        <v>2.1280337866666659</v>
      </c>
      <c r="Q94" s="57"/>
      <c r="R94" s="56"/>
      <c r="S94" s="58"/>
      <c r="T94" s="56"/>
    </row>
    <row r="95" spans="4:20" ht="14.4" customHeight="1" x14ac:dyDescent="0.3">
      <c r="D95" s="78"/>
      <c r="E95" s="22" t="s">
        <v>119</v>
      </c>
      <c r="F95" s="22">
        <f t="shared" si="46"/>
        <v>10</v>
      </c>
      <c r="G95" s="65">
        <v>0.38879999999999998</v>
      </c>
      <c r="H95" s="66">
        <v>0.75670000000000004</v>
      </c>
      <c r="I95" s="56"/>
      <c r="J95" s="57">
        <f t="shared" si="47"/>
        <v>0.34969999999999996</v>
      </c>
      <c r="K95" s="58">
        <f t="shared" si="48"/>
        <v>0.71956666666666669</v>
      </c>
      <c r="L95" s="56"/>
      <c r="M95" s="62">
        <f t="shared" si="49"/>
        <v>0.16980833333333328</v>
      </c>
      <c r="N95" s="56">
        <f t="shared" si="50"/>
        <v>12.050618183333329</v>
      </c>
      <c r="O95" s="58">
        <f t="shared" si="51"/>
        <v>24.101236366666658</v>
      </c>
      <c r="P95" s="56">
        <f t="shared" si="52"/>
        <v>2.4101236366666656</v>
      </c>
      <c r="Q95" s="57"/>
      <c r="R95" s="56"/>
      <c r="S95" s="58"/>
      <c r="T95" s="56"/>
    </row>
    <row r="96" spans="4:20" ht="14.4" customHeight="1" x14ac:dyDescent="0.3">
      <c r="D96" s="76">
        <f>A50</f>
        <v>24</v>
      </c>
      <c r="E96" s="12" t="s">
        <v>120</v>
      </c>
      <c r="F96" s="12">
        <f>B50</f>
        <v>10</v>
      </c>
      <c r="G96" s="54">
        <v>0.36720000000000003</v>
      </c>
      <c r="H96" s="55">
        <v>0.70199999999999996</v>
      </c>
      <c r="I96" s="56"/>
      <c r="J96" s="57">
        <f t="shared" si="47"/>
        <v>0.3281</v>
      </c>
      <c r="K96" s="58">
        <f t="shared" si="48"/>
        <v>0.66486666666666661</v>
      </c>
      <c r="L96" s="56"/>
      <c r="M96" s="62">
        <f t="shared" si="49"/>
        <v>0.16188333333333335</v>
      </c>
      <c r="N96" s="56">
        <f t="shared" si="50"/>
        <v>11.488212633333333</v>
      </c>
      <c r="O96" s="58">
        <f t="shared" si="51"/>
        <v>22.976425266666666</v>
      </c>
      <c r="P96" s="56">
        <f t="shared" si="52"/>
        <v>2.2976425266666665</v>
      </c>
      <c r="Q96" s="57">
        <f>AVERAGE(P96:P98)</f>
        <v>2.1721509833333328</v>
      </c>
      <c r="R96" s="56">
        <f>STDEV(P96:P98)</f>
        <v>0.23950692070772506</v>
      </c>
      <c r="S96" s="58">
        <f>R96/Q96*100</f>
        <v>11.026255658351303</v>
      </c>
      <c r="T96" s="56"/>
    </row>
    <row r="97" spans="4:20" ht="14.4" customHeight="1" x14ac:dyDescent="0.3">
      <c r="D97" s="77"/>
      <c r="E97" s="17" t="s">
        <v>121</v>
      </c>
      <c r="F97" s="17">
        <f t="shared" si="45"/>
        <v>10</v>
      </c>
      <c r="G97" s="57">
        <v>0.36580000000000001</v>
      </c>
      <c r="H97" s="58">
        <v>0.68930000000000002</v>
      </c>
      <c r="I97" s="56"/>
      <c r="J97" s="57">
        <f t="shared" si="47"/>
        <v>0.32669999999999999</v>
      </c>
      <c r="K97" s="58">
        <f t="shared" si="48"/>
        <v>0.65216666666666667</v>
      </c>
      <c r="L97" s="56"/>
      <c r="M97" s="62">
        <f t="shared" si="49"/>
        <v>0.16365833333333332</v>
      </c>
      <c r="N97" s="56">
        <f t="shared" si="50"/>
        <v>11.614177283333332</v>
      </c>
      <c r="O97" s="58">
        <f t="shared" si="51"/>
        <v>23.228354566666663</v>
      </c>
      <c r="P97" s="56">
        <f t="shared" si="52"/>
        <v>2.3228354566666662</v>
      </c>
      <c r="Q97" s="57"/>
      <c r="R97" s="56"/>
      <c r="S97" s="58"/>
      <c r="T97" s="56"/>
    </row>
    <row r="98" spans="4:20" ht="14.4" customHeight="1" x14ac:dyDescent="0.3">
      <c r="D98" s="78"/>
      <c r="E98" s="22" t="s">
        <v>122</v>
      </c>
      <c r="F98" s="22">
        <f t="shared" si="46"/>
        <v>10</v>
      </c>
      <c r="G98" s="65">
        <v>0.33329999999999999</v>
      </c>
      <c r="H98" s="66">
        <v>0.67959999999999998</v>
      </c>
      <c r="I98" s="56"/>
      <c r="J98" s="65">
        <f t="shared" si="47"/>
        <v>0.29419999999999996</v>
      </c>
      <c r="K98" s="58">
        <f t="shared" si="48"/>
        <v>0.64246666666666663</v>
      </c>
      <c r="L98" s="56"/>
      <c r="M98" s="69">
        <f t="shared" si="49"/>
        <v>0.1335833333333333</v>
      </c>
      <c r="N98" s="56">
        <f t="shared" si="50"/>
        <v>9.47987483333333</v>
      </c>
      <c r="O98" s="58">
        <f t="shared" si="51"/>
        <v>18.95974966666666</v>
      </c>
      <c r="P98" s="70">
        <f t="shared" si="52"/>
        <v>1.8959749666666661</v>
      </c>
      <c r="Q98" s="65"/>
      <c r="R98" s="70"/>
      <c r="S98" s="66"/>
      <c r="T98" s="56"/>
    </row>
    <row r="99" spans="4:20" x14ac:dyDescent="0.3">
      <c r="N99" s="35"/>
    </row>
  </sheetData>
  <mergeCells count="31">
    <mergeCell ref="D96:D98"/>
    <mergeCell ref="D78:D80"/>
    <mergeCell ref="D81:D83"/>
    <mergeCell ref="D84:D86"/>
    <mergeCell ref="D87:D89"/>
    <mergeCell ref="D90:D92"/>
    <mergeCell ref="D93:D95"/>
    <mergeCell ref="D60:D62"/>
    <mergeCell ref="D63:D65"/>
    <mergeCell ref="D66:D68"/>
    <mergeCell ref="D69:D71"/>
    <mergeCell ref="D72:D74"/>
    <mergeCell ref="D75:D77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88C7-6019-4593-9D3D-CC2085A07EF5}">
  <dimension ref="A1:X99"/>
  <sheetViews>
    <sheetView zoomScale="80" zoomScaleNormal="80" workbookViewId="0">
      <selection activeCell="H24" sqref="H24"/>
    </sheetView>
  </sheetViews>
  <sheetFormatPr defaultColWidth="8.88671875" defaultRowHeight="14.4" x14ac:dyDescent="0.3"/>
  <cols>
    <col min="1" max="1" width="10.5546875" bestFit="1" customWidth="1"/>
    <col min="2" max="2" width="9.109375" bestFit="1" customWidth="1"/>
    <col min="4" max="4" width="9.44140625" customWidth="1"/>
    <col min="5" max="5" width="10" customWidth="1"/>
    <col min="6" max="6" width="11.6640625" customWidth="1"/>
    <col min="7" max="7" width="12.5546875" customWidth="1"/>
    <col min="8" max="8" width="12.6640625" customWidth="1"/>
    <col min="10" max="11" width="9" customWidth="1"/>
    <col min="12" max="12" width="11.6640625" customWidth="1"/>
    <col min="13" max="13" width="9" customWidth="1"/>
    <col min="14" max="14" width="11.6640625" bestFit="1" customWidth="1"/>
    <col min="15" max="15" width="9" customWidth="1"/>
    <col min="16" max="16" width="9" bestFit="1" customWidth="1"/>
    <col min="17" max="17" width="10.88671875" customWidth="1"/>
    <col min="18" max="18" width="10.6640625" customWidth="1"/>
    <col min="19" max="19" width="9" bestFit="1" customWidth="1"/>
    <col min="20" max="20" width="9.5546875" bestFit="1" customWidth="1"/>
    <col min="21" max="21" width="9.5546875" customWidth="1"/>
  </cols>
  <sheetData>
    <row r="1" spans="5:17" x14ac:dyDescent="0.3">
      <c r="E1" s="79" t="s">
        <v>0</v>
      </c>
      <c r="F1" s="79"/>
      <c r="G1" s="79"/>
    </row>
    <row r="2" spans="5:17" x14ac:dyDescent="0.3">
      <c r="E2" s="79"/>
      <c r="F2" s="79"/>
      <c r="G2" s="79"/>
    </row>
    <row r="4" spans="5:17" ht="28.5" customHeight="1" x14ac:dyDescent="0.3">
      <c r="E4" s="1"/>
      <c r="F4" s="80" t="s">
        <v>1</v>
      </c>
      <c r="G4" s="81"/>
      <c r="I4" s="1"/>
      <c r="J4" s="80" t="s">
        <v>1</v>
      </c>
      <c r="K4" s="81"/>
      <c r="L4" s="2"/>
      <c r="M4" s="71" t="s">
        <v>2</v>
      </c>
      <c r="N4" s="72"/>
      <c r="O4" s="2"/>
      <c r="P4" s="82" t="s">
        <v>3</v>
      </c>
      <c r="Q4" s="83"/>
    </row>
    <row r="5" spans="5:17" ht="17.25" customHeight="1" x14ac:dyDescent="0.3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2" t="s">
        <v>1</v>
      </c>
      <c r="Q5" s="83"/>
    </row>
    <row r="6" spans="5:17" x14ac:dyDescent="0.3">
      <c r="E6" s="11" t="s">
        <v>8</v>
      </c>
      <c r="F6">
        <v>4.2000000000000003E-2</v>
      </c>
      <c r="G6">
        <v>3.8100000000000002E-2</v>
      </c>
      <c r="I6" s="13">
        <v>12.5</v>
      </c>
      <c r="J6" s="14">
        <f>AVERAGE(F9:F11)</f>
        <v>0.26476666666666665</v>
      </c>
      <c r="K6" s="15">
        <f>AVERAGE(G9:G11)</f>
        <v>3.6366666666666665E-2</v>
      </c>
      <c r="M6" s="14">
        <f>J6-$J$14</f>
        <v>0.22566666666666665</v>
      </c>
      <c r="N6" s="15">
        <f>K6-$K$14</f>
        <v>-7.666666666666655E-4</v>
      </c>
      <c r="P6" s="1" t="s">
        <v>5</v>
      </c>
      <c r="Q6" s="7" t="s">
        <v>7</v>
      </c>
    </row>
    <row r="7" spans="5:17" x14ac:dyDescent="0.3">
      <c r="E7" s="16" t="s">
        <v>9</v>
      </c>
      <c r="F7">
        <v>3.5799999999999998E-2</v>
      </c>
      <c r="G7">
        <v>3.49E-2</v>
      </c>
      <c r="I7" s="18">
        <v>25</v>
      </c>
      <c r="J7" s="19">
        <f>AVERAGE(F12:F14)</f>
        <v>0.56596666666666673</v>
      </c>
      <c r="K7" s="20">
        <f>AVERAGE(G12:G14)</f>
        <v>3.6399999999999995E-2</v>
      </c>
      <c r="M7" s="19">
        <f>J7-$J$14</f>
        <v>0.52686666666666671</v>
      </c>
      <c r="N7" s="20">
        <f>K7-$K$14</f>
        <v>-7.3333333333333584E-4</v>
      </c>
      <c r="P7" s="17">
        <f>M6</f>
        <v>0.22566666666666665</v>
      </c>
      <c r="Q7" s="12">
        <v>12.5</v>
      </c>
    </row>
    <row r="8" spans="5:17" x14ac:dyDescent="0.3">
      <c r="E8" s="21" t="s">
        <v>10</v>
      </c>
      <c r="F8">
        <v>3.95E-2</v>
      </c>
      <c r="G8">
        <v>3.8399999999999997E-2</v>
      </c>
      <c r="I8" s="18">
        <v>50</v>
      </c>
      <c r="J8" s="19">
        <f>AVERAGE(F15:F17)</f>
        <v>1.1274333333333333</v>
      </c>
      <c r="K8" s="20">
        <f>AVERAGE(G15:G17)</f>
        <v>3.7200000000000004E-2</v>
      </c>
      <c r="M8" s="19">
        <f>J8-$J$14</f>
        <v>1.0883333333333334</v>
      </c>
      <c r="N8" s="20">
        <f>K8-$K$14</f>
        <v>6.6666666666673202E-5</v>
      </c>
      <c r="P8" s="17">
        <f>M7</f>
        <v>0.52686666666666671</v>
      </c>
      <c r="Q8" s="17">
        <v>25</v>
      </c>
    </row>
    <row r="9" spans="5:17" x14ac:dyDescent="0.3">
      <c r="E9" s="11" t="s">
        <v>11</v>
      </c>
      <c r="F9">
        <v>0.31159999999999999</v>
      </c>
      <c r="G9">
        <v>3.56E-2</v>
      </c>
      <c r="I9" s="18">
        <v>100</v>
      </c>
      <c r="J9" s="19">
        <f>AVERAGE(F18:F20)</f>
        <v>1.7840999999999998</v>
      </c>
      <c r="K9" s="20">
        <f>AVERAGE(G18:G20)</f>
        <v>3.833333333333333E-2</v>
      </c>
      <c r="M9" s="19">
        <f>J9-$J$14</f>
        <v>1.7449999999999999</v>
      </c>
      <c r="N9" s="20">
        <f>K9-$K$14</f>
        <v>1.1999999999999997E-3</v>
      </c>
      <c r="P9" s="17">
        <f>M8</f>
        <v>1.0883333333333334</v>
      </c>
      <c r="Q9" s="17">
        <v>50</v>
      </c>
    </row>
    <row r="10" spans="5:17" x14ac:dyDescent="0.3">
      <c r="E10" s="16" t="s">
        <v>12</v>
      </c>
      <c r="F10">
        <v>0.17879999999999999</v>
      </c>
      <c r="G10">
        <v>3.6999999999999998E-2</v>
      </c>
      <c r="I10" s="23">
        <v>250</v>
      </c>
      <c r="J10" s="24">
        <f>AVERAGE(F21:F23)</f>
        <v>3.8068999999999997</v>
      </c>
      <c r="K10" s="25">
        <f>AVERAGE(G21:G23)</f>
        <v>3.5266666666666668E-2</v>
      </c>
      <c r="M10" s="19">
        <f>J10-$J$14</f>
        <v>3.7677999999999998</v>
      </c>
      <c r="N10" s="20">
        <f>K10-$K$14</f>
        <v>-1.8666666666666623E-3</v>
      </c>
      <c r="P10" s="17">
        <f>M9</f>
        <v>1.7449999999999999</v>
      </c>
      <c r="Q10" s="17">
        <v>100</v>
      </c>
    </row>
    <row r="11" spans="5:17" x14ac:dyDescent="0.3">
      <c r="E11" s="21" t="s">
        <v>13</v>
      </c>
      <c r="F11">
        <v>0.3039</v>
      </c>
      <c r="G11">
        <v>3.6499999999999998E-2</v>
      </c>
      <c r="I11" s="26" t="s">
        <v>14</v>
      </c>
      <c r="J11" s="13">
        <f t="shared" ref="J11:K13" si="0">F6</f>
        <v>4.2000000000000003E-2</v>
      </c>
      <c r="K11" s="27">
        <f t="shared" si="0"/>
        <v>3.8100000000000002E-2</v>
      </c>
      <c r="M11" s="23"/>
      <c r="N11" s="28"/>
      <c r="P11" s="22">
        <f>M10</f>
        <v>3.7677999999999998</v>
      </c>
      <c r="Q11" s="22">
        <v>250</v>
      </c>
    </row>
    <row r="12" spans="5:17" x14ac:dyDescent="0.3">
      <c r="E12" s="11" t="s">
        <v>15</v>
      </c>
      <c r="F12">
        <v>0.55330000000000001</v>
      </c>
      <c r="G12">
        <v>3.5499999999999997E-2</v>
      </c>
      <c r="I12" s="29" t="s">
        <v>14</v>
      </c>
      <c r="J12" s="18">
        <f t="shared" si="0"/>
        <v>3.5799999999999998E-2</v>
      </c>
      <c r="K12" s="30">
        <f t="shared" si="0"/>
        <v>3.49E-2</v>
      </c>
    </row>
    <row r="13" spans="5:17" x14ac:dyDescent="0.3">
      <c r="E13" s="16" t="s">
        <v>16</v>
      </c>
      <c r="F13">
        <v>0.54720000000000002</v>
      </c>
      <c r="G13">
        <v>3.7400000000000003E-2</v>
      </c>
      <c r="I13" s="31" t="s">
        <v>14</v>
      </c>
      <c r="J13" s="23">
        <f t="shared" si="0"/>
        <v>3.95E-2</v>
      </c>
      <c r="K13" s="28">
        <f t="shared" si="0"/>
        <v>3.8399999999999997E-2</v>
      </c>
    </row>
    <row r="14" spans="5:17" x14ac:dyDescent="0.3">
      <c r="E14" s="21" t="s">
        <v>17</v>
      </c>
      <c r="F14">
        <v>0.59740000000000004</v>
      </c>
      <c r="G14">
        <v>3.6299999999999999E-2</v>
      </c>
      <c r="I14" s="32" t="s">
        <v>18</v>
      </c>
      <c r="J14" s="33">
        <f>AVERAGE(J11:J13)</f>
        <v>3.9100000000000003E-2</v>
      </c>
      <c r="K14" s="34">
        <f>AVERAGE(K11:K13)</f>
        <v>3.7133333333333331E-2</v>
      </c>
    </row>
    <row r="15" spans="5:17" x14ac:dyDescent="0.3">
      <c r="E15" s="11" t="s">
        <v>19</v>
      </c>
      <c r="F15">
        <v>1.2909999999999999</v>
      </c>
      <c r="G15">
        <v>3.8300000000000001E-2</v>
      </c>
      <c r="M15" s="13" t="s">
        <v>20</v>
      </c>
      <c r="N15" s="35"/>
      <c r="O15" s="27"/>
    </row>
    <row r="16" spans="5:17" x14ac:dyDescent="0.3">
      <c r="E16" s="16" t="s">
        <v>21</v>
      </c>
      <c r="F16">
        <v>1.0270999999999999</v>
      </c>
      <c r="G16">
        <v>3.6799999999999999E-2</v>
      </c>
      <c r="M16" s="18" t="s">
        <v>22</v>
      </c>
      <c r="O16" s="30"/>
    </row>
    <row r="17" spans="1:24" x14ac:dyDescent="0.3">
      <c r="E17" s="21" t="s">
        <v>23</v>
      </c>
      <c r="F17">
        <v>1.0642</v>
      </c>
      <c r="G17">
        <v>3.6499999999999998E-2</v>
      </c>
      <c r="M17" s="23" t="s">
        <v>24</v>
      </c>
      <c r="N17" s="36"/>
      <c r="O17" s="28"/>
    </row>
    <row r="18" spans="1:24" x14ac:dyDescent="0.3">
      <c r="E18" s="11" t="s">
        <v>25</v>
      </c>
      <c r="F18">
        <v>2.1677</v>
      </c>
      <c r="G18">
        <v>4.1599999999999998E-2</v>
      </c>
      <c r="I18" s="82" t="s">
        <v>26</v>
      </c>
      <c r="J18" s="84"/>
      <c r="K18" s="83"/>
      <c r="W18" s="37"/>
      <c r="X18" s="37"/>
    </row>
    <row r="19" spans="1:24" ht="15.6" x14ac:dyDescent="0.3">
      <c r="E19" s="16" t="s">
        <v>27</v>
      </c>
      <c r="F19">
        <v>1.1813</v>
      </c>
      <c r="G19">
        <v>3.78E-2</v>
      </c>
      <c r="I19" s="38" t="s">
        <v>28</v>
      </c>
      <c r="J19" s="36"/>
      <c r="K19" s="28"/>
    </row>
    <row r="20" spans="1:24" x14ac:dyDescent="0.3">
      <c r="E20" s="21" t="s">
        <v>29</v>
      </c>
      <c r="F20">
        <v>2.0032999999999999</v>
      </c>
      <c r="G20">
        <v>3.56E-2</v>
      </c>
      <c r="U20" s="37"/>
      <c r="V20" s="37"/>
    </row>
    <row r="21" spans="1:24" x14ac:dyDescent="0.3">
      <c r="E21" s="11" t="s">
        <v>30</v>
      </c>
      <c r="F21">
        <v>3.8005</v>
      </c>
      <c r="G21">
        <v>3.4299999999999997E-2</v>
      </c>
      <c r="U21" s="37"/>
      <c r="V21" s="37"/>
    </row>
    <row r="22" spans="1:24" x14ac:dyDescent="0.3">
      <c r="E22" s="16" t="s">
        <v>31</v>
      </c>
      <c r="F22" s="39" t="s">
        <v>123</v>
      </c>
      <c r="G22">
        <v>3.4799999999999998E-2</v>
      </c>
      <c r="U22" s="37"/>
      <c r="V22" s="37"/>
    </row>
    <row r="23" spans="1:24" x14ac:dyDescent="0.3">
      <c r="E23" s="21" t="s">
        <v>32</v>
      </c>
      <c r="F23">
        <v>3.8132999999999999</v>
      </c>
      <c r="G23">
        <v>3.6700000000000003E-2</v>
      </c>
      <c r="U23" s="37"/>
      <c r="V23" s="37"/>
    </row>
    <row r="24" spans="1:24" x14ac:dyDescent="0.3">
      <c r="E24" s="39"/>
      <c r="V24" s="37"/>
      <c r="W24" s="37"/>
    </row>
    <row r="25" spans="1:24" ht="31.5" customHeight="1" x14ac:dyDescent="0.3">
      <c r="A25" s="85" t="s">
        <v>33</v>
      </c>
      <c r="B25" s="86"/>
      <c r="J25" s="36"/>
      <c r="K25" s="36"/>
      <c r="M25" s="73"/>
      <c r="N25" s="41" t="s">
        <v>34</v>
      </c>
      <c r="O25" s="42" t="s">
        <v>124</v>
      </c>
      <c r="P25" s="75" t="s">
        <v>35</v>
      </c>
      <c r="Q25" s="71" t="s">
        <v>36</v>
      </c>
      <c r="R25" s="75" t="s">
        <v>37</v>
      </c>
      <c r="S25" s="74" t="s">
        <v>37</v>
      </c>
      <c r="T25" s="72" t="s">
        <v>38</v>
      </c>
      <c r="U25" s="6" t="s">
        <v>36</v>
      </c>
      <c r="V25" s="37"/>
    </row>
    <row r="26" spans="1:24" ht="30.75" customHeight="1" x14ac:dyDescent="0.3">
      <c r="A26" s="45" t="s">
        <v>39</v>
      </c>
      <c r="B26" s="1" t="s">
        <v>40</v>
      </c>
      <c r="D26" s="46" t="s">
        <v>38</v>
      </c>
      <c r="E26" s="46" t="s">
        <v>41</v>
      </c>
      <c r="F26" s="47" t="s">
        <v>42</v>
      </c>
      <c r="G26" s="47" t="s">
        <v>5</v>
      </c>
      <c r="H26" s="47" t="s">
        <v>6</v>
      </c>
      <c r="I26" s="48"/>
      <c r="J26" s="49" t="s">
        <v>43</v>
      </c>
      <c r="K26" s="50" t="s">
        <v>44</v>
      </c>
      <c r="M26" s="47" t="s">
        <v>45</v>
      </c>
      <c r="N26" s="51" t="s">
        <v>46</v>
      </c>
      <c r="O26" s="52" t="s">
        <v>47</v>
      </c>
      <c r="P26" s="53" t="s">
        <v>48</v>
      </c>
      <c r="Q26" s="71" t="s">
        <v>49</v>
      </c>
      <c r="R26" s="41" t="s">
        <v>49</v>
      </c>
      <c r="S26" s="74" t="s">
        <v>50</v>
      </c>
      <c r="T26" s="74"/>
      <c r="U26" s="6" t="s">
        <v>49</v>
      </c>
      <c r="V26" s="37"/>
    </row>
    <row r="27" spans="1:24" ht="15" customHeight="1" x14ac:dyDescent="0.3">
      <c r="A27" s="18">
        <v>1</v>
      </c>
      <c r="B27" s="30">
        <v>10</v>
      </c>
      <c r="D27" s="76">
        <f>A27</f>
        <v>1</v>
      </c>
      <c r="E27" s="12" t="s">
        <v>51</v>
      </c>
      <c r="F27" s="12">
        <f>B27</f>
        <v>10</v>
      </c>
      <c r="G27" s="54">
        <v>0.22420000000000001</v>
      </c>
      <c r="H27" s="55">
        <v>0.68049999999999999</v>
      </c>
      <c r="I27" s="56"/>
      <c r="J27" s="57">
        <f t="shared" ref="J27:J90" si="1">G27-$J$14</f>
        <v>0.18510000000000001</v>
      </c>
      <c r="K27" s="58">
        <f t="shared" ref="K27:K90" si="2">H27-$K$14</f>
        <v>0.64336666666666664</v>
      </c>
      <c r="L27" s="56"/>
      <c r="M27" s="59">
        <f>J27-(0.25*K27)</f>
        <v>2.4258333333333354E-2</v>
      </c>
      <c r="N27" s="56">
        <f>M27*70.966</f>
        <v>1.7215168833333347</v>
      </c>
      <c r="O27" s="58">
        <f>N27*2</f>
        <v>3.4430337666666695</v>
      </c>
      <c r="P27" s="56">
        <f>O27/F27</f>
        <v>0.34430337666666694</v>
      </c>
      <c r="Q27" s="57">
        <f>AVERAGE(P27:P29)</f>
        <v>1.3021078233333332</v>
      </c>
      <c r="R27" s="56">
        <f>STDEV(P27:P29)</f>
        <v>0.84693129346375728</v>
      </c>
      <c r="S27" s="58">
        <f>R27/Q27*100</f>
        <v>65.043099986578227</v>
      </c>
      <c r="T27" s="60">
        <f>D27</f>
        <v>1</v>
      </c>
      <c r="U27" s="61">
        <f>Q27</f>
        <v>1.3021078233333332</v>
      </c>
      <c r="V27" s="37"/>
    </row>
    <row r="28" spans="1:24" ht="14.4" customHeight="1" x14ac:dyDescent="0.3">
      <c r="A28" s="18">
        <v>2</v>
      </c>
      <c r="B28" s="30">
        <v>10</v>
      </c>
      <c r="D28" s="77"/>
      <c r="E28" s="17" t="s">
        <v>52</v>
      </c>
      <c r="F28" s="17">
        <f>F27</f>
        <v>10</v>
      </c>
      <c r="G28" s="57">
        <v>0.32040000000000002</v>
      </c>
      <c r="H28" s="58">
        <v>0.61219999999999997</v>
      </c>
      <c r="I28" s="56"/>
      <c r="J28" s="57">
        <f t="shared" si="1"/>
        <v>0.28129999999999999</v>
      </c>
      <c r="K28" s="58">
        <f t="shared" si="2"/>
        <v>0.57506666666666661</v>
      </c>
      <c r="L28" s="56"/>
      <c r="M28" s="62">
        <f t="shared" ref="M28:M91" si="3">J28-(0.25*K28)</f>
        <v>0.13753333333333334</v>
      </c>
      <c r="N28" s="56">
        <f t="shared" ref="N28:N91" si="4">M28*70.966</f>
        <v>9.7601905333333328</v>
      </c>
      <c r="O28" s="58">
        <f t="shared" ref="O28:O91" si="5">N28*2</f>
        <v>19.520381066666666</v>
      </c>
      <c r="P28" s="56">
        <f t="shared" ref="P28:P91" si="6">O28/F28</f>
        <v>1.9520381066666666</v>
      </c>
      <c r="Q28" s="57"/>
      <c r="R28" s="56"/>
      <c r="S28" s="58"/>
      <c r="T28" s="63">
        <f>D30</f>
        <v>2</v>
      </c>
      <c r="U28" s="64">
        <f>Q30</f>
        <v>2.2033760233333326</v>
      </c>
    </row>
    <row r="29" spans="1:24" ht="14.4" customHeight="1" x14ac:dyDescent="0.3">
      <c r="A29" s="18">
        <v>3</v>
      </c>
      <c r="B29" s="30">
        <v>10</v>
      </c>
      <c r="D29" s="78"/>
      <c r="E29" s="22" t="s">
        <v>53</v>
      </c>
      <c r="F29" s="22">
        <f>F27</f>
        <v>10</v>
      </c>
      <c r="G29" s="65">
        <v>0.3019</v>
      </c>
      <c r="H29" s="66">
        <v>0.63460000000000005</v>
      </c>
      <c r="I29" s="56"/>
      <c r="J29" s="57">
        <f t="shared" si="1"/>
        <v>0.26279999999999998</v>
      </c>
      <c r="K29" s="58">
        <f t="shared" si="2"/>
        <v>0.5974666666666667</v>
      </c>
      <c r="L29" s="56"/>
      <c r="M29" s="62">
        <f t="shared" si="3"/>
        <v>0.1134333333333333</v>
      </c>
      <c r="N29" s="56">
        <f t="shared" si="4"/>
        <v>8.0499099333333302</v>
      </c>
      <c r="O29" s="58">
        <f t="shared" si="5"/>
        <v>16.09981986666666</v>
      </c>
      <c r="P29" s="56">
        <f t="shared" si="6"/>
        <v>1.609981986666666</v>
      </c>
      <c r="Q29" s="57"/>
      <c r="R29" s="56"/>
      <c r="S29" s="58"/>
      <c r="T29" s="63">
        <f>D33</f>
        <v>3</v>
      </c>
      <c r="U29" s="64">
        <f>Q33</f>
        <v>2.3020187633333333</v>
      </c>
    </row>
    <row r="30" spans="1:24" ht="14.4" customHeight="1" x14ac:dyDescent="0.3">
      <c r="A30" s="18">
        <v>4</v>
      </c>
      <c r="B30" s="30">
        <v>10</v>
      </c>
      <c r="D30" s="76">
        <f>A28</f>
        <v>2</v>
      </c>
      <c r="E30" s="12" t="s">
        <v>54</v>
      </c>
      <c r="F30" s="12">
        <f>B28</f>
        <v>10</v>
      </c>
      <c r="G30" s="54">
        <v>0.34560000000000002</v>
      </c>
      <c r="H30" s="55">
        <v>0.64859999999999995</v>
      </c>
      <c r="I30" s="56"/>
      <c r="J30" s="57">
        <f t="shared" si="1"/>
        <v>0.30649999999999999</v>
      </c>
      <c r="K30" s="58">
        <f t="shared" si="2"/>
        <v>0.6114666666666666</v>
      </c>
      <c r="L30" s="56"/>
      <c r="M30" s="62">
        <f t="shared" si="3"/>
        <v>0.15363333333333334</v>
      </c>
      <c r="N30" s="56">
        <f t="shared" si="4"/>
        <v>10.902743133333333</v>
      </c>
      <c r="O30" s="58">
        <f t="shared" si="5"/>
        <v>21.805486266666666</v>
      </c>
      <c r="P30" s="56">
        <f t="shared" si="6"/>
        <v>2.1805486266666665</v>
      </c>
      <c r="Q30" s="57">
        <f>AVERAGE(P30:P32)</f>
        <v>2.2033760233333326</v>
      </c>
      <c r="R30" s="56">
        <f>STDEV(P30:P32)</f>
        <v>0.27658772794727965</v>
      </c>
      <c r="S30" s="58">
        <f>R30/Q30*100</f>
        <v>12.55290631368719</v>
      </c>
      <c r="T30" s="63">
        <f>D36</f>
        <v>4</v>
      </c>
      <c r="U30" s="64">
        <f>Q36</f>
        <v>1.6137668399999996</v>
      </c>
    </row>
    <row r="31" spans="1:24" ht="14.4" customHeight="1" x14ac:dyDescent="0.3">
      <c r="A31" s="18">
        <v>5</v>
      </c>
      <c r="B31" s="30">
        <v>10</v>
      </c>
      <c r="D31" s="77"/>
      <c r="E31" s="17" t="s">
        <v>55</v>
      </c>
      <c r="F31" s="17">
        <f t="shared" ref="F31" si="7">F30</f>
        <v>10</v>
      </c>
      <c r="G31" s="57">
        <v>0.32819999999999999</v>
      </c>
      <c r="H31" s="58">
        <v>0.64710000000000001</v>
      </c>
      <c r="I31" s="56"/>
      <c r="J31" s="57">
        <f t="shared" si="1"/>
        <v>0.28909999999999997</v>
      </c>
      <c r="K31" s="58">
        <f t="shared" si="2"/>
        <v>0.60996666666666666</v>
      </c>
      <c r="L31" s="56"/>
      <c r="M31" s="62">
        <f t="shared" si="3"/>
        <v>0.1366083333333333</v>
      </c>
      <c r="N31" s="56">
        <f t="shared" si="4"/>
        <v>9.6945469833333302</v>
      </c>
      <c r="O31" s="58">
        <f t="shared" si="5"/>
        <v>19.38909396666666</v>
      </c>
      <c r="P31" s="56">
        <f t="shared" si="6"/>
        <v>1.938909396666666</v>
      </c>
      <c r="Q31" s="57"/>
      <c r="R31" s="56"/>
      <c r="S31" s="58"/>
      <c r="T31" s="63">
        <f>D39</f>
        <v>5</v>
      </c>
      <c r="U31" s="64">
        <f>Q39</f>
        <v>1.0577482299999996</v>
      </c>
    </row>
    <row r="32" spans="1:24" ht="14.4" customHeight="1" x14ac:dyDescent="0.3">
      <c r="A32" s="18">
        <v>6</v>
      </c>
      <c r="B32" s="30">
        <v>10</v>
      </c>
      <c r="D32" s="78"/>
      <c r="E32" s="22" t="s">
        <v>56</v>
      </c>
      <c r="F32" s="22">
        <f t="shared" ref="F32" si="8">F30</f>
        <v>10</v>
      </c>
      <c r="G32" s="65">
        <v>0.36899999999999999</v>
      </c>
      <c r="H32" s="66">
        <v>0.65480000000000005</v>
      </c>
      <c r="I32" s="56"/>
      <c r="J32" s="57">
        <f t="shared" si="1"/>
        <v>0.32989999999999997</v>
      </c>
      <c r="K32" s="58">
        <f t="shared" si="2"/>
        <v>0.6176666666666667</v>
      </c>
      <c r="L32" s="56"/>
      <c r="M32" s="62">
        <f t="shared" si="3"/>
        <v>0.1754833333333333</v>
      </c>
      <c r="N32" s="56">
        <f t="shared" si="4"/>
        <v>12.45335023333333</v>
      </c>
      <c r="O32" s="58">
        <f t="shared" si="5"/>
        <v>24.90670046666666</v>
      </c>
      <c r="P32" s="56">
        <f t="shared" si="6"/>
        <v>2.4906700466666658</v>
      </c>
      <c r="Q32" s="57"/>
      <c r="R32" s="56"/>
      <c r="S32" s="58"/>
      <c r="T32" s="63">
        <f>D42</f>
        <v>6</v>
      </c>
      <c r="U32" s="64">
        <f>Q42</f>
        <v>1.6788190066666662</v>
      </c>
    </row>
    <row r="33" spans="1:21" ht="14.4" customHeight="1" x14ac:dyDescent="0.3">
      <c r="A33" s="18">
        <v>7</v>
      </c>
      <c r="B33" s="30">
        <v>10</v>
      </c>
      <c r="D33" s="76">
        <f>A29</f>
        <v>3</v>
      </c>
      <c r="E33" s="12" t="s">
        <v>57</v>
      </c>
      <c r="F33" s="12">
        <f>B29</f>
        <v>10</v>
      </c>
      <c r="G33" s="54">
        <v>0.35880000000000001</v>
      </c>
      <c r="H33" s="55">
        <v>0.66449999999999998</v>
      </c>
      <c r="I33" s="56"/>
      <c r="J33" s="57">
        <f t="shared" si="1"/>
        <v>0.31969999999999998</v>
      </c>
      <c r="K33" s="58">
        <f t="shared" si="2"/>
        <v>0.62736666666666663</v>
      </c>
      <c r="L33" s="56"/>
      <c r="M33" s="62">
        <f t="shared" si="3"/>
        <v>0.16285833333333333</v>
      </c>
      <c r="N33" s="56">
        <f t="shared" si="4"/>
        <v>11.557404483333332</v>
      </c>
      <c r="O33" s="58">
        <f t="shared" si="5"/>
        <v>23.114808966666665</v>
      </c>
      <c r="P33" s="56">
        <f t="shared" si="6"/>
        <v>2.3114808966666667</v>
      </c>
      <c r="Q33" s="57">
        <f>AVERAGE(P33:P35)</f>
        <v>2.3020187633333333</v>
      </c>
      <c r="R33" s="56">
        <f>STDEV(P33:P35)</f>
        <v>7.1790039471379699E-2</v>
      </c>
      <c r="S33" s="58">
        <f>R33/Q33*100</f>
        <v>3.1185688238017399</v>
      </c>
      <c r="T33" s="63">
        <f>D45</f>
        <v>7</v>
      </c>
      <c r="U33" s="64">
        <f>Q45</f>
        <v>2.2822665600000001</v>
      </c>
    </row>
    <row r="34" spans="1:21" ht="14.4" customHeight="1" x14ac:dyDescent="0.3">
      <c r="A34" s="18">
        <v>8</v>
      </c>
      <c r="B34" s="30">
        <v>10</v>
      </c>
      <c r="D34" s="77"/>
      <c r="E34" s="17" t="s">
        <v>58</v>
      </c>
      <c r="F34" s="17">
        <f t="shared" ref="F34" si="9">F33</f>
        <v>10</v>
      </c>
      <c r="G34" s="57">
        <v>0.36130000000000001</v>
      </c>
      <c r="H34" s="58">
        <v>0.65839999999999999</v>
      </c>
      <c r="I34" s="56"/>
      <c r="J34" s="57">
        <f t="shared" si="1"/>
        <v>0.32219999999999999</v>
      </c>
      <c r="K34" s="58">
        <f t="shared" si="2"/>
        <v>0.62126666666666663</v>
      </c>
      <c r="L34" s="56"/>
      <c r="M34" s="62">
        <f t="shared" si="3"/>
        <v>0.16688333333333333</v>
      </c>
      <c r="N34" s="56">
        <f t="shared" si="4"/>
        <v>11.843042633333331</v>
      </c>
      <c r="O34" s="58">
        <f t="shared" si="5"/>
        <v>23.686085266666662</v>
      </c>
      <c r="P34" s="56">
        <f t="shared" si="6"/>
        <v>2.3686085266666663</v>
      </c>
      <c r="Q34" s="57"/>
      <c r="R34" s="56"/>
      <c r="S34" s="58"/>
      <c r="T34" s="63">
        <f>D48</f>
        <v>8</v>
      </c>
      <c r="U34" s="64">
        <f>Q48</f>
        <v>2.1300444899999995</v>
      </c>
    </row>
    <row r="35" spans="1:21" ht="14.4" customHeight="1" x14ac:dyDescent="0.3">
      <c r="A35" s="18">
        <v>9</v>
      </c>
      <c r="B35" s="30">
        <v>10</v>
      </c>
      <c r="D35" s="78"/>
      <c r="E35" s="22" t="s">
        <v>59</v>
      </c>
      <c r="F35" s="22">
        <f t="shared" ref="F35" si="10">F33</f>
        <v>10</v>
      </c>
      <c r="G35" s="65">
        <v>0.35639999999999999</v>
      </c>
      <c r="H35" s="66">
        <v>0.67900000000000005</v>
      </c>
      <c r="I35" s="56"/>
      <c r="J35" s="57">
        <f t="shared" si="1"/>
        <v>0.31729999999999997</v>
      </c>
      <c r="K35" s="58">
        <f t="shared" si="2"/>
        <v>0.6418666666666667</v>
      </c>
      <c r="L35" s="56"/>
      <c r="M35" s="62">
        <f t="shared" si="3"/>
        <v>0.1568333333333333</v>
      </c>
      <c r="N35" s="56">
        <f t="shared" si="4"/>
        <v>11.12983433333333</v>
      </c>
      <c r="O35" s="58">
        <f t="shared" si="5"/>
        <v>22.259668666666659</v>
      </c>
      <c r="P35" s="56">
        <f t="shared" si="6"/>
        <v>2.2259668666666661</v>
      </c>
      <c r="Q35" s="57"/>
      <c r="R35" s="56"/>
      <c r="S35" s="58"/>
      <c r="T35" s="63">
        <f>D51</f>
        <v>9</v>
      </c>
      <c r="U35" s="64">
        <f>Q51</f>
        <v>1.9344148833333328</v>
      </c>
    </row>
    <row r="36" spans="1:21" ht="14.4" customHeight="1" x14ac:dyDescent="0.3">
      <c r="A36" s="18">
        <v>10</v>
      </c>
      <c r="B36" s="30">
        <v>10</v>
      </c>
      <c r="D36" s="76">
        <f>A30</f>
        <v>4</v>
      </c>
      <c r="E36" s="12" t="s">
        <v>60</v>
      </c>
      <c r="F36" s="12">
        <f>B30</f>
        <v>10</v>
      </c>
      <c r="G36" s="54">
        <v>0.28100000000000003</v>
      </c>
      <c r="H36" s="55">
        <v>0.62529999999999997</v>
      </c>
      <c r="I36" s="56"/>
      <c r="J36" s="57">
        <f t="shared" si="1"/>
        <v>0.24190000000000003</v>
      </c>
      <c r="K36" s="58">
        <f t="shared" si="2"/>
        <v>0.58816666666666662</v>
      </c>
      <c r="L36" s="56"/>
      <c r="M36" s="62">
        <f t="shared" si="3"/>
        <v>9.4858333333333378E-2</v>
      </c>
      <c r="N36" s="56">
        <f t="shared" si="4"/>
        <v>6.7317164833333356</v>
      </c>
      <c r="O36" s="58">
        <f t="shared" si="5"/>
        <v>13.463432966666671</v>
      </c>
      <c r="P36" s="56">
        <f t="shared" si="6"/>
        <v>1.3463432966666671</v>
      </c>
      <c r="Q36" s="57">
        <f>AVERAGE(P36:P38)</f>
        <v>1.6137668399999996</v>
      </c>
      <c r="R36" s="56">
        <f>STDEV(P36:P38)</f>
        <v>0.27724017868083684</v>
      </c>
      <c r="S36" s="58">
        <f>R36/Q36*100</f>
        <v>17.179692369985549</v>
      </c>
      <c r="T36" s="63">
        <f>D54</f>
        <v>10</v>
      </c>
      <c r="U36" s="64">
        <f>Q54</f>
        <v>1.6266589966666665</v>
      </c>
    </row>
    <row r="37" spans="1:21" ht="14.4" customHeight="1" x14ac:dyDescent="0.3">
      <c r="A37" s="18">
        <v>11</v>
      </c>
      <c r="B37" s="30">
        <v>10</v>
      </c>
      <c r="D37" s="77"/>
      <c r="E37" s="17" t="s">
        <v>61</v>
      </c>
      <c r="F37" s="17">
        <f t="shared" ref="F37" si="11">F36</f>
        <v>10</v>
      </c>
      <c r="G37" s="57">
        <v>0.29089999999999999</v>
      </c>
      <c r="H37" s="58">
        <v>0.5948</v>
      </c>
      <c r="I37" s="56"/>
      <c r="J37" s="57">
        <f t="shared" si="1"/>
        <v>0.25179999999999997</v>
      </c>
      <c r="K37" s="58">
        <f t="shared" si="2"/>
        <v>0.55766666666666664</v>
      </c>
      <c r="L37" s="56"/>
      <c r="M37" s="62">
        <f t="shared" si="3"/>
        <v>0.11238333333333331</v>
      </c>
      <c r="N37" s="56">
        <f t="shared" si="4"/>
        <v>7.9753956333333305</v>
      </c>
      <c r="O37" s="58">
        <f t="shared" si="5"/>
        <v>15.950791266666661</v>
      </c>
      <c r="P37" s="56">
        <f t="shared" si="6"/>
        <v>1.5950791266666662</v>
      </c>
      <c r="Q37" s="57"/>
      <c r="R37" s="56"/>
      <c r="S37" s="58"/>
      <c r="T37" s="63">
        <f>D57</f>
        <v>11</v>
      </c>
      <c r="U37" s="64">
        <f>Q57</f>
        <v>0.13483539999999991</v>
      </c>
    </row>
    <row r="38" spans="1:21" ht="14.4" customHeight="1" x14ac:dyDescent="0.3">
      <c r="A38" s="18">
        <v>12</v>
      </c>
      <c r="B38" s="30">
        <v>10</v>
      </c>
      <c r="D38" s="78"/>
      <c r="E38" s="22" t="s">
        <v>62</v>
      </c>
      <c r="F38" s="22">
        <f t="shared" ref="F38" si="12">F36</f>
        <v>10</v>
      </c>
      <c r="G38" s="65">
        <v>0.31359999999999999</v>
      </c>
      <c r="H38" s="66">
        <v>0.59970000000000001</v>
      </c>
      <c r="I38" s="56"/>
      <c r="J38" s="57">
        <f t="shared" si="1"/>
        <v>0.27449999999999997</v>
      </c>
      <c r="K38" s="58">
        <f t="shared" si="2"/>
        <v>0.56256666666666666</v>
      </c>
      <c r="L38" s="56"/>
      <c r="M38" s="62">
        <f t="shared" si="3"/>
        <v>0.1338583333333333</v>
      </c>
      <c r="N38" s="56">
        <f t="shared" si="4"/>
        <v>9.4993904833333307</v>
      </c>
      <c r="O38" s="58">
        <f t="shared" si="5"/>
        <v>18.998780966666661</v>
      </c>
      <c r="P38" s="56">
        <f t="shared" si="6"/>
        <v>1.8998780966666662</v>
      </c>
      <c r="Q38" s="57"/>
      <c r="R38" s="56"/>
      <c r="S38" s="58"/>
      <c r="T38" s="63">
        <f>D60</f>
        <v>12</v>
      </c>
      <c r="U38" s="64">
        <f>Q60</f>
        <v>0.13010433333333329</v>
      </c>
    </row>
    <row r="39" spans="1:21" ht="14.4" customHeight="1" x14ac:dyDescent="0.3">
      <c r="A39" s="18">
        <v>13</v>
      </c>
      <c r="B39" s="30">
        <v>10</v>
      </c>
      <c r="D39" s="76">
        <f>A31</f>
        <v>5</v>
      </c>
      <c r="E39" s="12" t="s">
        <v>63</v>
      </c>
      <c r="F39" s="12">
        <f>B31</f>
        <v>10</v>
      </c>
      <c r="G39" s="54">
        <v>0.29799999999999999</v>
      </c>
      <c r="H39" s="55">
        <v>0.61119999999999997</v>
      </c>
      <c r="I39" s="56"/>
      <c r="J39" s="57">
        <f t="shared" si="1"/>
        <v>0.25889999999999996</v>
      </c>
      <c r="K39" s="58">
        <f t="shared" si="2"/>
        <v>0.57406666666666661</v>
      </c>
      <c r="L39" s="56"/>
      <c r="M39" s="62">
        <f t="shared" si="3"/>
        <v>0.11538333333333331</v>
      </c>
      <c r="N39" s="56">
        <f t="shared" si="4"/>
        <v>8.1882936333333305</v>
      </c>
      <c r="O39" s="58">
        <f t="shared" si="5"/>
        <v>16.376587266666661</v>
      </c>
      <c r="P39" s="56">
        <f t="shared" si="6"/>
        <v>1.637658726666666</v>
      </c>
      <c r="Q39" s="57">
        <f>AVERAGE(P39:P41)</f>
        <v>1.0577482299999996</v>
      </c>
      <c r="R39" s="56">
        <f>STDEV(P39:P41)</f>
        <v>0.90050138045091344</v>
      </c>
      <c r="S39" s="58">
        <f>R39/Q39*100</f>
        <v>85.133811138678411</v>
      </c>
      <c r="T39" s="63">
        <f>D63</f>
        <v>13</v>
      </c>
      <c r="U39" s="64">
        <f>Q63</f>
        <v>1.5554564433333331</v>
      </c>
    </row>
    <row r="40" spans="1:21" ht="14.4" customHeight="1" x14ac:dyDescent="0.3">
      <c r="A40" s="18">
        <v>14</v>
      </c>
      <c r="B40" s="30">
        <v>10</v>
      </c>
      <c r="D40" s="77"/>
      <c r="E40" s="17" t="s">
        <v>64</v>
      </c>
      <c r="F40" s="17">
        <f t="shared" ref="F40" si="13">F39</f>
        <v>10</v>
      </c>
      <c r="G40" s="57">
        <v>0.20399999999999999</v>
      </c>
      <c r="H40" s="58">
        <v>0.69099999999999995</v>
      </c>
      <c r="I40" s="56"/>
      <c r="J40" s="57">
        <f t="shared" si="1"/>
        <v>0.16489999999999999</v>
      </c>
      <c r="K40" s="58">
        <f t="shared" si="2"/>
        <v>0.6538666666666666</v>
      </c>
      <c r="L40" s="56"/>
      <c r="M40" s="62">
        <f t="shared" si="3"/>
        <v>1.433333333333342E-3</v>
      </c>
      <c r="N40" s="56">
        <f t="shared" si="4"/>
        <v>0.10171793333333394</v>
      </c>
      <c r="O40" s="58">
        <f t="shared" si="5"/>
        <v>0.20343586666666788</v>
      </c>
      <c r="P40" s="56">
        <f t="shared" si="6"/>
        <v>2.0343586666666788E-2</v>
      </c>
      <c r="Q40" s="57"/>
      <c r="R40" s="56"/>
      <c r="S40" s="58"/>
      <c r="T40" s="63">
        <f>D66</f>
        <v>14</v>
      </c>
      <c r="U40" s="64">
        <f>Q66</f>
        <v>2.29894357</v>
      </c>
    </row>
    <row r="41" spans="1:21" ht="14.4" customHeight="1" x14ac:dyDescent="0.3">
      <c r="A41" s="18">
        <v>15</v>
      </c>
      <c r="B41" s="30">
        <v>10</v>
      </c>
      <c r="D41" s="78"/>
      <c r="E41" s="22" t="s">
        <v>65</v>
      </c>
      <c r="F41" s="22">
        <f t="shared" ref="F41" si="14">F39</f>
        <v>10</v>
      </c>
      <c r="G41" s="65">
        <v>0.28799999999999998</v>
      </c>
      <c r="H41" s="66">
        <v>0.60570000000000002</v>
      </c>
      <c r="I41" s="56"/>
      <c r="J41" s="57">
        <f t="shared" si="1"/>
        <v>0.24889999999999998</v>
      </c>
      <c r="K41" s="58">
        <f t="shared" si="2"/>
        <v>0.56856666666666666</v>
      </c>
      <c r="L41" s="56"/>
      <c r="M41" s="62">
        <f t="shared" si="3"/>
        <v>0.10675833333333332</v>
      </c>
      <c r="N41" s="56">
        <f t="shared" si="4"/>
        <v>7.5762118833333316</v>
      </c>
      <c r="O41" s="58">
        <f t="shared" si="5"/>
        <v>15.152423766666663</v>
      </c>
      <c r="P41" s="56">
        <f t="shared" si="6"/>
        <v>1.5152423766666663</v>
      </c>
      <c r="Q41" s="57"/>
      <c r="R41" s="56"/>
      <c r="S41" s="58"/>
      <c r="T41" s="63">
        <f>D69</f>
        <v>15</v>
      </c>
      <c r="U41" s="64">
        <f>Q69</f>
        <v>2.3113626199999993</v>
      </c>
    </row>
    <row r="42" spans="1:21" ht="14.4" customHeight="1" x14ac:dyDescent="0.3">
      <c r="A42" s="18">
        <v>16</v>
      </c>
      <c r="B42" s="30">
        <v>10</v>
      </c>
      <c r="D42" s="76">
        <f>A32</f>
        <v>6</v>
      </c>
      <c r="E42" s="12" t="s">
        <v>66</v>
      </c>
      <c r="F42" s="12">
        <f>B32</f>
        <v>10</v>
      </c>
      <c r="G42" s="54">
        <v>0.33489999999999998</v>
      </c>
      <c r="H42" s="55">
        <v>0.79159999999999997</v>
      </c>
      <c r="I42" s="56"/>
      <c r="J42" s="57">
        <f t="shared" si="1"/>
        <v>0.29579999999999995</v>
      </c>
      <c r="K42" s="58">
        <f t="shared" si="2"/>
        <v>0.75446666666666662</v>
      </c>
      <c r="L42" s="56"/>
      <c r="M42" s="62">
        <f t="shared" si="3"/>
        <v>0.1071833333333333</v>
      </c>
      <c r="N42" s="56">
        <f t="shared" si="4"/>
        <v>7.6063724333333305</v>
      </c>
      <c r="O42" s="58">
        <f t="shared" si="5"/>
        <v>15.212744866666661</v>
      </c>
      <c r="P42" s="56">
        <f t="shared" si="6"/>
        <v>1.5212744866666661</v>
      </c>
      <c r="Q42" s="57">
        <f>AVERAGE(P42:P44)</f>
        <v>1.6788190066666662</v>
      </c>
      <c r="R42" s="56">
        <f>STDEV(P42:P44)</f>
        <v>0.6426981241977695</v>
      </c>
      <c r="S42" s="58">
        <f>R42/Q42*100</f>
        <v>38.28275243761157</v>
      </c>
      <c r="T42" s="63">
        <f>D72</f>
        <v>16</v>
      </c>
      <c r="U42" s="64">
        <f>Q72</f>
        <v>1.9332321166666666</v>
      </c>
    </row>
    <row r="43" spans="1:21" ht="14.4" customHeight="1" x14ac:dyDescent="0.3">
      <c r="A43" s="18">
        <v>17</v>
      </c>
      <c r="B43" s="30">
        <v>10</v>
      </c>
      <c r="D43" s="77"/>
      <c r="E43" s="17" t="s">
        <v>67</v>
      </c>
      <c r="F43" s="17">
        <f t="shared" ref="F43" si="15">F42</f>
        <v>10</v>
      </c>
      <c r="G43" s="57">
        <v>0.38379999999999997</v>
      </c>
      <c r="H43" s="58">
        <v>0.74360000000000004</v>
      </c>
      <c r="I43" s="56"/>
      <c r="J43" s="57">
        <f t="shared" si="1"/>
        <v>0.34469999999999995</v>
      </c>
      <c r="K43" s="58">
        <f t="shared" si="2"/>
        <v>0.70646666666666669</v>
      </c>
      <c r="L43" s="56"/>
      <c r="M43" s="62">
        <f t="shared" si="3"/>
        <v>0.16808333333333328</v>
      </c>
      <c r="N43" s="56">
        <f t="shared" si="4"/>
        <v>11.928201833333329</v>
      </c>
      <c r="O43" s="58">
        <f t="shared" si="5"/>
        <v>23.856403666666658</v>
      </c>
      <c r="P43" s="56">
        <f t="shared" si="6"/>
        <v>2.3856403666666659</v>
      </c>
      <c r="Q43" s="57"/>
      <c r="R43" s="56"/>
      <c r="S43" s="58"/>
      <c r="T43" s="63">
        <f>D75</f>
        <v>17</v>
      </c>
      <c r="U43" s="64">
        <f>Q75</f>
        <v>1.6459380933333332</v>
      </c>
    </row>
    <row r="44" spans="1:21" ht="14.4" customHeight="1" x14ac:dyDescent="0.3">
      <c r="A44" s="18">
        <v>18</v>
      </c>
      <c r="B44" s="30">
        <v>10</v>
      </c>
      <c r="D44" s="78"/>
      <c r="E44" s="22" t="s">
        <v>68</v>
      </c>
      <c r="F44" s="22">
        <f t="shared" ref="F44" si="16">F42</f>
        <v>10</v>
      </c>
      <c r="G44" s="65">
        <v>0.30120000000000002</v>
      </c>
      <c r="H44" s="66">
        <v>0.76719999999999999</v>
      </c>
      <c r="I44" s="56"/>
      <c r="J44" s="57">
        <f t="shared" si="1"/>
        <v>0.2621</v>
      </c>
      <c r="K44" s="58">
        <f t="shared" si="2"/>
        <v>0.73006666666666664</v>
      </c>
      <c r="L44" s="56"/>
      <c r="M44" s="62">
        <f t="shared" si="3"/>
        <v>7.9583333333333339E-2</v>
      </c>
      <c r="N44" s="56">
        <f t="shared" si="4"/>
        <v>5.647710833333333</v>
      </c>
      <c r="O44" s="58">
        <f t="shared" si="5"/>
        <v>11.295421666666666</v>
      </c>
      <c r="P44" s="56">
        <f t="shared" si="6"/>
        <v>1.1295421666666665</v>
      </c>
      <c r="Q44" s="57"/>
      <c r="R44" s="56"/>
      <c r="S44" s="58"/>
      <c r="T44" s="63">
        <f>D78</f>
        <v>18</v>
      </c>
      <c r="U44" s="64">
        <f>Q78</f>
        <v>2.3638774599999999</v>
      </c>
    </row>
    <row r="45" spans="1:21" ht="14.4" customHeight="1" x14ac:dyDescent="0.3">
      <c r="A45" s="18">
        <v>19</v>
      </c>
      <c r="B45" s="30">
        <v>10</v>
      </c>
      <c r="D45" s="76">
        <f>A33</f>
        <v>7</v>
      </c>
      <c r="E45" s="12" t="s">
        <v>69</v>
      </c>
      <c r="F45" s="12">
        <f>B33</f>
        <v>10</v>
      </c>
      <c r="G45" s="54">
        <v>0.38040000000000002</v>
      </c>
      <c r="H45" s="55">
        <v>0.68089999999999995</v>
      </c>
      <c r="I45" s="56"/>
      <c r="J45" s="57">
        <f t="shared" si="1"/>
        <v>0.34129999999999999</v>
      </c>
      <c r="K45" s="58">
        <f t="shared" si="2"/>
        <v>0.6437666666666666</v>
      </c>
      <c r="L45" s="56"/>
      <c r="M45" s="62">
        <f t="shared" si="3"/>
        <v>0.18035833333333334</v>
      </c>
      <c r="N45" s="56">
        <f t="shared" si="4"/>
        <v>12.799309483333333</v>
      </c>
      <c r="O45" s="58">
        <f t="shared" si="5"/>
        <v>25.598618966666667</v>
      </c>
      <c r="P45" s="56">
        <f t="shared" si="6"/>
        <v>2.5598618966666669</v>
      </c>
      <c r="Q45" s="57">
        <f>AVERAGE(P45:P47)</f>
        <v>2.2822665600000001</v>
      </c>
      <c r="R45" s="56">
        <f>STDEV(P45:P47)</f>
        <v>0.28145654490293848</v>
      </c>
      <c r="S45" s="58">
        <f>R45/Q45*100</f>
        <v>12.33232567290205</v>
      </c>
      <c r="T45" s="63">
        <f>D81</f>
        <v>19</v>
      </c>
      <c r="U45" s="64">
        <f>Q81</f>
        <v>2.3990056299999996</v>
      </c>
    </row>
    <row r="46" spans="1:21" ht="14.4" customHeight="1" x14ac:dyDescent="0.3">
      <c r="A46" s="18">
        <v>20</v>
      </c>
      <c r="B46" s="30">
        <v>10</v>
      </c>
      <c r="D46" s="77"/>
      <c r="E46" s="17" t="s">
        <v>70</v>
      </c>
      <c r="F46" s="17">
        <f t="shared" ref="F46" si="17">F45</f>
        <v>10</v>
      </c>
      <c r="G46" s="57">
        <v>0.3468</v>
      </c>
      <c r="H46" s="58">
        <v>0.70509999999999995</v>
      </c>
      <c r="I46" s="56"/>
      <c r="J46" s="57">
        <f t="shared" si="1"/>
        <v>0.30769999999999997</v>
      </c>
      <c r="K46" s="58">
        <f t="shared" si="2"/>
        <v>0.6679666666666666</v>
      </c>
      <c r="L46" s="56"/>
      <c r="M46" s="62">
        <f t="shared" si="3"/>
        <v>0.14070833333333332</v>
      </c>
      <c r="N46" s="56">
        <f t="shared" si="4"/>
        <v>9.985507583333332</v>
      </c>
      <c r="O46" s="58">
        <f t="shared" si="5"/>
        <v>19.971015166666664</v>
      </c>
      <c r="P46" s="56">
        <f t="shared" si="6"/>
        <v>1.9971015166666664</v>
      </c>
      <c r="Q46" s="57"/>
      <c r="R46" s="56"/>
      <c r="S46" s="58"/>
      <c r="T46" s="63">
        <f>D84</f>
        <v>20</v>
      </c>
      <c r="U46" s="64">
        <f>Q84</f>
        <v>1.8289120966666665</v>
      </c>
    </row>
    <row r="47" spans="1:21" ht="14.4" customHeight="1" x14ac:dyDescent="0.3">
      <c r="A47" s="18">
        <v>21</v>
      </c>
      <c r="B47" s="30">
        <v>10</v>
      </c>
      <c r="D47" s="78"/>
      <c r="E47" s="22" t="s">
        <v>71</v>
      </c>
      <c r="F47" s="22">
        <f t="shared" ref="F47" si="18">F45</f>
        <v>10</v>
      </c>
      <c r="G47" s="65">
        <v>0.36020000000000002</v>
      </c>
      <c r="H47" s="66">
        <v>0.67620000000000002</v>
      </c>
      <c r="I47" s="56"/>
      <c r="J47" s="57">
        <f t="shared" si="1"/>
        <v>0.3211</v>
      </c>
      <c r="K47" s="58">
        <f t="shared" si="2"/>
        <v>0.63906666666666667</v>
      </c>
      <c r="L47" s="56"/>
      <c r="M47" s="62">
        <f t="shared" si="3"/>
        <v>0.16133333333333333</v>
      </c>
      <c r="N47" s="56">
        <f t="shared" si="4"/>
        <v>11.449181333333332</v>
      </c>
      <c r="O47" s="58">
        <f t="shared" si="5"/>
        <v>22.898362666666664</v>
      </c>
      <c r="P47" s="56">
        <f t="shared" si="6"/>
        <v>2.2898362666666663</v>
      </c>
      <c r="Q47" s="57"/>
      <c r="R47" s="56"/>
      <c r="S47" s="58"/>
      <c r="T47" s="63">
        <f>D87</f>
        <v>21</v>
      </c>
      <c r="U47" s="64">
        <f>Q87</f>
        <v>0.99565297999999969</v>
      </c>
    </row>
    <row r="48" spans="1:21" ht="14.4" customHeight="1" x14ac:dyDescent="0.3">
      <c r="A48" s="18">
        <v>22</v>
      </c>
      <c r="B48" s="30">
        <v>10</v>
      </c>
      <c r="D48" s="76">
        <f>A34</f>
        <v>8</v>
      </c>
      <c r="E48" s="12" t="s">
        <v>72</v>
      </c>
      <c r="F48" s="12">
        <f>B34</f>
        <v>10</v>
      </c>
      <c r="G48" s="54">
        <v>0.38429999999999997</v>
      </c>
      <c r="H48" s="55">
        <v>0.72040000000000004</v>
      </c>
      <c r="I48" s="56"/>
      <c r="J48" s="57">
        <f t="shared" si="1"/>
        <v>0.34519999999999995</v>
      </c>
      <c r="K48" s="58">
        <f t="shared" si="2"/>
        <v>0.68326666666666669</v>
      </c>
      <c r="L48" s="56"/>
      <c r="M48" s="62">
        <f t="shared" si="3"/>
        <v>0.17438333333333328</v>
      </c>
      <c r="N48" s="56">
        <f t="shared" si="4"/>
        <v>12.375287633333329</v>
      </c>
      <c r="O48" s="58">
        <f t="shared" si="5"/>
        <v>24.750575266666658</v>
      </c>
      <c r="P48" s="56">
        <f t="shared" si="6"/>
        <v>2.4750575266666659</v>
      </c>
      <c r="Q48" s="57">
        <f>AVERAGE(P48:P50)</f>
        <v>2.1300444899999995</v>
      </c>
      <c r="R48" s="56">
        <f>STDEV(P48:P50)</f>
        <v>0.34560593792103367</v>
      </c>
      <c r="S48" s="58">
        <f>R48/Q48*100</f>
        <v>16.225291985381666</v>
      </c>
      <c r="T48" s="63">
        <f>D90</f>
        <v>22</v>
      </c>
      <c r="U48" s="64">
        <f>Q90</f>
        <v>2.1272058499999993</v>
      </c>
    </row>
    <row r="49" spans="1:22" ht="14.4" customHeight="1" x14ac:dyDescent="0.3">
      <c r="A49" s="18">
        <v>23</v>
      </c>
      <c r="B49" s="30">
        <v>10</v>
      </c>
      <c r="D49" s="77"/>
      <c r="E49" s="17" t="s">
        <v>73</v>
      </c>
      <c r="F49" s="17">
        <f t="shared" ref="F49" si="19">F48</f>
        <v>10</v>
      </c>
      <c r="G49" s="57">
        <v>0.3412</v>
      </c>
      <c r="H49" s="58">
        <v>0.74280000000000002</v>
      </c>
      <c r="I49" s="56"/>
      <c r="J49" s="57">
        <f t="shared" si="1"/>
        <v>0.30209999999999998</v>
      </c>
      <c r="K49" s="58">
        <f t="shared" si="2"/>
        <v>0.70566666666666666</v>
      </c>
      <c r="L49" s="56"/>
      <c r="M49" s="62">
        <f t="shared" si="3"/>
        <v>0.12568333333333331</v>
      </c>
      <c r="N49" s="56">
        <f t="shared" si="4"/>
        <v>8.9192434333333317</v>
      </c>
      <c r="O49" s="58">
        <f t="shared" si="5"/>
        <v>17.838486866666663</v>
      </c>
      <c r="P49" s="56">
        <f t="shared" si="6"/>
        <v>1.7838486866666663</v>
      </c>
      <c r="Q49" s="57"/>
      <c r="R49" s="56"/>
      <c r="S49" s="58"/>
      <c r="T49" s="63">
        <f>D93</f>
        <v>23</v>
      </c>
      <c r="U49" s="64">
        <f>Q93</f>
        <v>2.2039674066666661</v>
      </c>
    </row>
    <row r="50" spans="1:22" ht="14.4" customHeight="1" x14ac:dyDescent="0.3">
      <c r="A50" s="23">
        <v>24</v>
      </c>
      <c r="B50" s="30">
        <v>10</v>
      </c>
      <c r="D50" s="78"/>
      <c r="E50" s="22" t="s">
        <v>74</v>
      </c>
      <c r="F50" s="22">
        <f t="shared" ref="F50" si="20">F48</f>
        <v>10</v>
      </c>
      <c r="G50" s="65">
        <v>0.35870000000000002</v>
      </c>
      <c r="H50" s="66">
        <v>0.71489999999999998</v>
      </c>
      <c r="I50" s="56"/>
      <c r="J50" s="57">
        <f t="shared" si="1"/>
        <v>0.3196</v>
      </c>
      <c r="K50" s="58">
        <f t="shared" si="2"/>
        <v>0.67776666666666663</v>
      </c>
      <c r="L50" s="56"/>
      <c r="M50" s="62">
        <f t="shared" si="3"/>
        <v>0.15015833333333334</v>
      </c>
      <c r="N50" s="56">
        <f t="shared" si="4"/>
        <v>10.656136283333332</v>
      </c>
      <c r="O50" s="58">
        <f t="shared" si="5"/>
        <v>21.312272566666664</v>
      </c>
      <c r="P50" s="56">
        <f t="shared" si="6"/>
        <v>2.1312272566666666</v>
      </c>
      <c r="Q50" s="57"/>
      <c r="R50" s="56"/>
      <c r="S50" s="58"/>
      <c r="T50" s="67">
        <f>D96</f>
        <v>24</v>
      </c>
      <c r="U50" s="68">
        <f>Q96</f>
        <v>2.1721509833333328</v>
      </c>
    </row>
    <row r="51" spans="1:22" ht="14.4" customHeight="1" x14ac:dyDescent="0.3">
      <c r="D51" s="76">
        <f>A35</f>
        <v>9</v>
      </c>
      <c r="E51" s="12" t="s">
        <v>75</v>
      </c>
      <c r="F51" s="12">
        <f>B35</f>
        <v>10</v>
      </c>
      <c r="G51" s="54">
        <v>0.36849999999999999</v>
      </c>
      <c r="H51" s="55">
        <v>0.69530000000000003</v>
      </c>
      <c r="I51" s="56"/>
      <c r="J51" s="57">
        <f t="shared" si="1"/>
        <v>0.32939999999999997</v>
      </c>
      <c r="K51" s="58">
        <f t="shared" si="2"/>
        <v>0.65816666666666668</v>
      </c>
      <c r="L51" s="56"/>
      <c r="M51" s="62">
        <f t="shared" si="3"/>
        <v>0.1648583333333333</v>
      </c>
      <c r="N51" s="56">
        <f t="shared" si="4"/>
        <v>11.69933648333333</v>
      </c>
      <c r="O51" s="58">
        <f t="shared" si="5"/>
        <v>23.398672966666659</v>
      </c>
      <c r="P51" s="56">
        <f t="shared" si="6"/>
        <v>2.3398672966666658</v>
      </c>
      <c r="Q51" s="57">
        <f>AVERAGE(P51:P53)</f>
        <v>1.9344148833333328</v>
      </c>
      <c r="R51" s="56">
        <f>STDEV(P51:P53)</f>
        <v>0.71582758465350282</v>
      </c>
      <c r="S51" s="58">
        <f>R51/Q51*100</f>
        <v>37.004863373466584</v>
      </c>
      <c r="T51" s="56"/>
      <c r="U51" s="56"/>
      <c r="V51" s="56"/>
    </row>
    <row r="52" spans="1:22" ht="14.4" customHeight="1" x14ac:dyDescent="0.3">
      <c r="D52" s="77"/>
      <c r="E52" s="17" t="s">
        <v>76</v>
      </c>
      <c r="F52" s="17">
        <f t="shared" ref="F52" si="21">F51</f>
        <v>10</v>
      </c>
      <c r="G52" s="57">
        <v>0.36259999999999998</v>
      </c>
      <c r="H52" s="58">
        <v>0.6673</v>
      </c>
      <c r="I52" s="56"/>
      <c r="J52" s="57">
        <f t="shared" si="1"/>
        <v>0.32349999999999995</v>
      </c>
      <c r="K52" s="58">
        <f t="shared" si="2"/>
        <v>0.63016666666666665</v>
      </c>
      <c r="L52" s="56"/>
      <c r="M52" s="62">
        <f t="shared" si="3"/>
        <v>0.16595833333333329</v>
      </c>
      <c r="N52" s="56">
        <f t="shared" si="4"/>
        <v>11.777399083333329</v>
      </c>
      <c r="O52" s="58">
        <f t="shared" si="5"/>
        <v>23.554798166666657</v>
      </c>
      <c r="P52" s="56">
        <f t="shared" si="6"/>
        <v>2.3554798166666657</v>
      </c>
      <c r="Q52" s="57"/>
      <c r="R52" s="56"/>
      <c r="S52" s="58"/>
      <c r="T52" s="56"/>
    </row>
    <row r="53" spans="1:22" ht="14.4" customHeight="1" x14ac:dyDescent="0.3">
      <c r="D53" s="78"/>
      <c r="E53" s="22" t="s">
        <v>77</v>
      </c>
      <c r="F53" s="22">
        <f t="shared" ref="F53" si="22">F51</f>
        <v>10</v>
      </c>
      <c r="G53" s="65">
        <v>0.2828</v>
      </c>
      <c r="H53" s="66">
        <v>0.69969999999999999</v>
      </c>
      <c r="I53" s="56"/>
      <c r="J53" s="57">
        <f t="shared" si="1"/>
        <v>0.2437</v>
      </c>
      <c r="K53" s="58">
        <f t="shared" si="2"/>
        <v>0.66256666666666664</v>
      </c>
      <c r="L53" s="56"/>
      <c r="M53" s="62">
        <f t="shared" si="3"/>
        <v>7.8058333333333341E-2</v>
      </c>
      <c r="N53" s="56">
        <f t="shared" si="4"/>
        <v>5.5394876833333333</v>
      </c>
      <c r="O53" s="58">
        <f t="shared" si="5"/>
        <v>11.078975366666667</v>
      </c>
      <c r="P53" s="56">
        <f t="shared" si="6"/>
        <v>1.1078975366666666</v>
      </c>
      <c r="Q53" s="57"/>
      <c r="R53" s="56"/>
      <c r="S53" s="58"/>
      <c r="T53" s="56"/>
    </row>
    <row r="54" spans="1:22" ht="14.4" customHeight="1" x14ac:dyDescent="0.3">
      <c r="D54" s="76">
        <f>A36</f>
        <v>10</v>
      </c>
      <c r="E54" s="12" t="s">
        <v>78</v>
      </c>
      <c r="F54" s="12">
        <f>B36</f>
        <v>10</v>
      </c>
      <c r="G54" s="54">
        <v>0.31690000000000002</v>
      </c>
      <c r="H54" s="55">
        <v>0.77539999999999998</v>
      </c>
      <c r="I54" s="56"/>
      <c r="J54" s="57">
        <f t="shared" si="1"/>
        <v>0.27779999999999999</v>
      </c>
      <c r="K54" s="58">
        <f t="shared" si="2"/>
        <v>0.73826666666666663</v>
      </c>
      <c r="L54" s="56"/>
      <c r="M54" s="62">
        <f t="shared" si="3"/>
        <v>9.3233333333333335E-2</v>
      </c>
      <c r="N54" s="56">
        <f t="shared" si="4"/>
        <v>6.6163967333333327</v>
      </c>
      <c r="O54" s="58">
        <f t="shared" si="5"/>
        <v>13.232793466666665</v>
      </c>
      <c r="P54" s="56">
        <f t="shared" si="6"/>
        <v>1.3232793466666666</v>
      </c>
      <c r="Q54" s="57">
        <f>AVERAGE(P54:P56)</f>
        <v>1.6266589966666665</v>
      </c>
      <c r="R54" s="56">
        <f>STDEV(P54:P56)</f>
        <v>0.80199657470844432</v>
      </c>
      <c r="S54" s="58">
        <f>R54/Q54*100</f>
        <v>49.303300590467195</v>
      </c>
      <c r="T54" s="56"/>
    </row>
    <row r="55" spans="1:22" ht="14.4" customHeight="1" x14ac:dyDescent="0.3">
      <c r="D55" s="77"/>
      <c r="E55" s="17" t="s">
        <v>79</v>
      </c>
      <c r="F55" s="17">
        <f t="shared" ref="F55" si="23">F54</f>
        <v>10</v>
      </c>
      <c r="G55" s="57">
        <v>0.39300000000000002</v>
      </c>
      <c r="H55" s="58">
        <v>0.73799999999999999</v>
      </c>
      <c r="I55" s="56"/>
      <c r="J55" s="57">
        <f t="shared" si="1"/>
        <v>0.35389999999999999</v>
      </c>
      <c r="K55" s="58">
        <f t="shared" si="2"/>
        <v>0.70086666666666664</v>
      </c>
      <c r="L55" s="56"/>
      <c r="M55" s="62">
        <f t="shared" si="3"/>
        <v>0.17868333333333333</v>
      </c>
      <c r="N55" s="56">
        <f t="shared" si="4"/>
        <v>12.680441433333332</v>
      </c>
      <c r="O55" s="58">
        <f t="shared" si="5"/>
        <v>25.360882866666664</v>
      </c>
      <c r="P55" s="56">
        <f t="shared" si="6"/>
        <v>2.5360882866666663</v>
      </c>
      <c r="Q55" s="57"/>
      <c r="R55" s="56"/>
      <c r="S55" s="58"/>
      <c r="T55" s="56"/>
    </row>
    <row r="56" spans="1:22" ht="14.4" customHeight="1" x14ac:dyDescent="0.3">
      <c r="D56" s="78"/>
      <c r="E56" s="22" t="s">
        <v>80</v>
      </c>
      <c r="F56" s="22">
        <f t="shared" ref="F56" si="24">F54</f>
        <v>10</v>
      </c>
      <c r="G56" s="65">
        <v>0.3075</v>
      </c>
      <c r="H56" s="66">
        <v>0.82310000000000005</v>
      </c>
      <c r="I56" s="56"/>
      <c r="J56" s="57">
        <f t="shared" si="1"/>
        <v>0.26839999999999997</v>
      </c>
      <c r="K56" s="58">
        <f t="shared" si="2"/>
        <v>0.7859666666666667</v>
      </c>
      <c r="L56" s="56"/>
      <c r="M56" s="62">
        <f t="shared" si="3"/>
        <v>7.1908333333333296E-2</v>
      </c>
      <c r="N56" s="56">
        <f t="shared" si="4"/>
        <v>5.1030467833333306</v>
      </c>
      <c r="O56" s="58">
        <f t="shared" si="5"/>
        <v>10.206093566666661</v>
      </c>
      <c r="P56" s="56">
        <f t="shared" si="6"/>
        <v>1.0206093566666661</v>
      </c>
      <c r="Q56" s="57"/>
      <c r="R56" s="56"/>
      <c r="S56" s="58"/>
      <c r="T56" s="56"/>
    </row>
    <row r="57" spans="1:22" ht="14.4" customHeight="1" x14ac:dyDescent="0.3">
      <c r="D57" s="76">
        <f>A37</f>
        <v>11</v>
      </c>
      <c r="E57" s="12" t="s">
        <v>81</v>
      </c>
      <c r="F57" s="12">
        <f>B37</f>
        <v>10</v>
      </c>
      <c r="G57" s="54">
        <v>5.0999999999999997E-2</v>
      </c>
      <c r="H57" s="55">
        <v>4.8300000000000003E-2</v>
      </c>
      <c r="I57" s="56"/>
      <c r="J57" s="57">
        <f t="shared" si="1"/>
        <v>1.1899999999999994E-2</v>
      </c>
      <c r="K57" s="58">
        <f t="shared" si="2"/>
        <v>1.1166666666666672E-2</v>
      </c>
      <c r="L57" s="56"/>
      <c r="M57" s="62">
        <f t="shared" si="3"/>
        <v>9.1083333333333259E-3</v>
      </c>
      <c r="N57" s="56">
        <f t="shared" si="4"/>
        <v>0.64638198333333274</v>
      </c>
      <c r="O57" s="58">
        <f t="shared" si="5"/>
        <v>1.2927639666666655</v>
      </c>
      <c r="P57" s="56">
        <f t="shared" si="6"/>
        <v>0.12927639666666654</v>
      </c>
      <c r="Q57" s="57">
        <f>AVERAGE(P57:P59)</f>
        <v>0.13483539999999991</v>
      </c>
      <c r="R57" s="56">
        <f>STDEV(P57:P59)</f>
        <v>4.8175060588684033E-3</v>
      </c>
      <c r="S57" s="58">
        <f>R57/Q57*100</f>
        <v>3.5728792727046508</v>
      </c>
      <c r="T57" s="56"/>
    </row>
    <row r="58" spans="1:22" ht="14.4" customHeight="1" x14ac:dyDescent="0.3">
      <c r="D58" s="77"/>
      <c r="E58" s="17" t="s">
        <v>82</v>
      </c>
      <c r="F58" s="17">
        <f t="shared" ref="F58" si="25">F57</f>
        <v>10</v>
      </c>
      <c r="G58" s="57">
        <v>5.1799999999999999E-2</v>
      </c>
      <c r="H58" s="58">
        <v>4.9200000000000001E-2</v>
      </c>
      <c r="I58" s="56"/>
      <c r="J58" s="57">
        <f t="shared" si="1"/>
        <v>1.2699999999999996E-2</v>
      </c>
      <c r="K58" s="58">
        <f t="shared" si="2"/>
        <v>1.206666666666667E-2</v>
      </c>
      <c r="L58" s="56"/>
      <c r="M58" s="62">
        <f t="shared" si="3"/>
        <v>9.6833333333333285E-3</v>
      </c>
      <c r="N58" s="56">
        <f t="shared" si="4"/>
        <v>0.68718743333333299</v>
      </c>
      <c r="O58" s="58">
        <f t="shared" si="5"/>
        <v>1.374374866666666</v>
      </c>
      <c r="P58" s="56">
        <f t="shared" si="6"/>
        <v>0.13743748666666661</v>
      </c>
      <c r="Q58" s="57"/>
      <c r="R58" s="56"/>
      <c r="S58" s="58"/>
      <c r="T58" s="56"/>
    </row>
    <row r="59" spans="1:22" ht="14.4" customHeight="1" x14ac:dyDescent="0.3">
      <c r="D59" s="78"/>
      <c r="E59" s="22" t="s">
        <v>83</v>
      </c>
      <c r="F59" s="22">
        <f t="shared" ref="F59" si="26">F57</f>
        <v>10</v>
      </c>
      <c r="G59" s="65">
        <v>5.1900000000000002E-2</v>
      </c>
      <c r="H59" s="66">
        <v>4.9500000000000002E-2</v>
      </c>
      <c r="I59" s="56"/>
      <c r="J59" s="57">
        <f t="shared" si="1"/>
        <v>1.2799999999999999E-2</v>
      </c>
      <c r="K59" s="58">
        <f t="shared" si="2"/>
        <v>1.2366666666666672E-2</v>
      </c>
      <c r="L59" s="56"/>
      <c r="M59" s="62">
        <f t="shared" si="3"/>
        <v>9.708333333333331E-3</v>
      </c>
      <c r="N59" s="56">
        <f t="shared" si="4"/>
        <v>0.68896158333333313</v>
      </c>
      <c r="O59" s="58">
        <f t="shared" si="5"/>
        <v>1.3779231666666663</v>
      </c>
      <c r="P59" s="56">
        <f t="shared" si="6"/>
        <v>0.13779231666666664</v>
      </c>
      <c r="Q59" s="57"/>
      <c r="R59" s="56"/>
      <c r="S59" s="58"/>
      <c r="T59" s="56"/>
    </row>
    <row r="60" spans="1:22" ht="14.4" customHeight="1" x14ac:dyDescent="0.3">
      <c r="D60" s="76">
        <f>A38</f>
        <v>12</v>
      </c>
      <c r="E60" s="12" t="s">
        <v>84</v>
      </c>
      <c r="F60" s="12">
        <f>B38</f>
        <v>10</v>
      </c>
      <c r="G60" s="54">
        <v>0.05</v>
      </c>
      <c r="H60" s="55">
        <v>4.7699999999999999E-2</v>
      </c>
      <c r="I60" s="56"/>
      <c r="J60" s="57">
        <f t="shared" si="1"/>
        <v>1.09E-2</v>
      </c>
      <c r="K60" s="58">
        <f t="shared" si="2"/>
        <v>1.0566666666666669E-2</v>
      </c>
      <c r="L60" s="56"/>
      <c r="M60" s="62">
        <f t="shared" si="3"/>
        <v>8.2583333333333328E-3</v>
      </c>
      <c r="N60" s="56">
        <f t="shared" si="4"/>
        <v>0.58606088333333328</v>
      </c>
      <c r="O60" s="58">
        <f t="shared" si="5"/>
        <v>1.1721217666666666</v>
      </c>
      <c r="P60" s="56">
        <f t="shared" si="6"/>
        <v>0.11721217666666665</v>
      </c>
      <c r="Q60" s="57">
        <f>AVERAGE(P60:P62)</f>
        <v>0.13010433333333329</v>
      </c>
      <c r="R60" s="56">
        <f>STDEV(P60:P62)</f>
        <v>1.1662703088119515E-2</v>
      </c>
      <c r="S60" s="58">
        <f>R60/Q60*100</f>
        <v>8.9641157902397719</v>
      </c>
      <c r="T60" s="56"/>
    </row>
    <row r="61" spans="1:22" ht="14.4" customHeight="1" x14ac:dyDescent="0.3">
      <c r="D61" s="77"/>
      <c r="E61" s="17" t="s">
        <v>85</v>
      </c>
      <c r="F61" s="17">
        <f t="shared" ref="F61" si="27">F60</f>
        <v>10</v>
      </c>
      <c r="G61" s="57">
        <v>5.1999999999999998E-2</v>
      </c>
      <c r="H61" s="58">
        <v>4.9299999999999997E-2</v>
      </c>
      <c r="I61" s="56"/>
      <c r="J61" s="57">
        <f t="shared" si="1"/>
        <v>1.2899999999999995E-2</v>
      </c>
      <c r="K61" s="58">
        <f t="shared" si="2"/>
        <v>1.2166666666666666E-2</v>
      </c>
      <c r="L61" s="56"/>
      <c r="M61" s="62">
        <f t="shared" si="3"/>
        <v>9.8583333333333283E-3</v>
      </c>
      <c r="N61" s="56">
        <f t="shared" si="4"/>
        <v>0.69960648333333297</v>
      </c>
      <c r="O61" s="58">
        <f t="shared" si="5"/>
        <v>1.3992129666666659</v>
      </c>
      <c r="P61" s="56">
        <f t="shared" si="6"/>
        <v>0.13992129666666658</v>
      </c>
      <c r="Q61" s="57"/>
      <c r="R61" s="56"/>
      <c r="S61" s="58"/>
      <c r="T61" s="56"/>
    </row>
    <row r="62" spans="1:22" ht="14.4" customHeight="1" x14ac:dyDescent="0.3">
      <c r="D62" s="78"/>
      <c r="E62" s="22" t="s">
        <v>86</v>
      </c>
      <c r="F62" s="22">
        <f t="shared" ref="F62" si="28">F60</f>
        <v>10</v>
      </c>
      <c r="G62" s="65">
        <v>5.1299999999999998E-2</v>
      </c>
      <c r="H62" s="66">
        <v>4.8399999999999999E-2</v>
      </c>
      <c r="I62" s="56"/>
      <c r="J62" s="57">
        <f t="shared" si="1"/>
        <v>1.2199999999999996E-2</v>
      </c>
      <c r="K62" s="58">
        <f t="shared" si="2"/>
        <v>1.1266666666666668E-2</v>
      </c>
      <c r="L62" s="56"/>
      <c r="M62" s="62">
        <f t="shared" si="3"/>
        <v>9.3833333333333286E-3</v>
      </c>
      <c r="N62" s="56">
        <f t="shared" si="4"/>
        <v>0.66589763333333296</v>
      </c>
      <c r="O62" s="58">
        <f t="shared" si="5"/>
        <v>1.3317952666666659</v>
      </c>
      <c r="P62" s="56">
        <f t="shared" si="6"/>
        <v>0.1331795266666666</v>
      </c>
      <c r="Q62" s="57"/>
      <c r="R62" s="56"/>
      <c r="S62" s="58"/>
      <c r="T62" s="56"/>
    </row>
    <row r="63" spans="1:22" ht="14.4" customHeight="1" x14ac:dyDescent="0.3">
      <c r="D63" s="76">
        <f>A39</f>
        <v>13</v>
      </c>
      <c r="E63" s="12" t="s">
        <v>87</v>
      </c>
      <c r="F63" s="12">
        <f>B39</f>
        <v>10</v>
      </c>
      <c r="G63" s="54">
        <v>0.30330000000000001</v>
      </c>
      <c r="H63" s="55">
        <v>0.67069999999999996</v>
      </c>
      <c r="I63" s="56"/>
      <c r="J63" s="57">
        <f t="shared" si="1"/>
        <v>0.26419999999999999</v>
      </c>
      <c r="K63" s="58">
        <f t="shared" si="2"/>
        <v>0.63356666666666661</v>
      </c>
      <c r="L63" s="56"/>
      <c r="M63" s="62">
        <f t="shared" si="3"/>
        <v>0.10580833333333334</v>
      </c>
      <c r="N63" s="56">
        <f t="shared" si="4"/>
        <v>7.5087941833333334</v>
      </c>
      <c r="O63" s="58">
        <f t="shared" si="5"/>
        <v>15.017588366666667</v>
      </c>
      <c r="P63" s="56">
        <f t="shared" si="6"/>
        <v>1.5017588366666668</v>
      </c>
      <c r="Q63" s="57">
        <f>AVERAGE(P63:P65)</f>
        <v>1.5554564433333331</v>
      </c>
      <c r="R63" s="56">
        <f>STDEV(P63:P65)</f>
        <v>0.21757107766186398</v>
      </c>
      <c r="S63" s="58">
        <f>R63/Q63*100</f>
        <v>13.987603355553343</v>
      </c>
      <c r="T63" s="56"/>
    </row>
    <row r="64" spans="1:22" ht="14.4" customHeight="1" x14ac:dyDescent="0.3">
      <c r="D64" s="77"/>
      <c r="E64" s="17" t="s">
        <v>88</v>
      </c>
      <c r="F64" s="17">
        <f t="shared" ref="F64" si="29">F63</f>
        <v>10</v>
      </c>
      <c r="G64" s="57">
        <v>0.32150000000000001</v>
      </c>
      <c r="H64" s="58">
        <v>0.66090000000000004</v>
      </c>
      <c r="I64" s="56"/>
      <c r="J64" s="57">
        <f t="shared" si="1"/>
        <v>0.28239999999999998</v>
      </c>
      <c r="K64" s="58">
        <f t="shared" si="2"/>
        <v>0.62376666666666669</v>
      </c>
      <c r="L64" s="56"/>
      <c r="M64" s="62">
        <f t="shared" si="3"/>
        <v>0.12645833333333331</v>
      </c>
      <c r="N64" s="56">
        <f t="shared" si="4"/>
        <v>8.9742420833333316</v>
      </c>
      <c r="O64" s="58">
        <f t="shared" si="5"/>
        <v>17.948484166666663</v>
      </c>
      <c r="P64" s="56">
        <f t="shared" si="6"/>
        <v>1.7948484166666663</v>
      </c>
      <c r="Q64" s="57"/>
      <c r="R64" s="56"/>
      <c r="S64" s="58"/>
      <c r="T64" s="56"/>
    </row>
    <row r="65" spans="4:20" ht="14.4" customHeight="1" x14ac:dyDescent="0.3">
      <c r="D65" s="78"/>
      <c r="E65" s="22" t="s">
        <v>89</v>
      </c>
      <c r="F65" s="22">
        <f t="shared" ref="F65" si="30">F63</f>
        <v>10</v>
      </c>
      <c r="G65" s="65">
        <v>0.29220000000000002</v>
      </c>
      <c r="H65" s="66">
        <v>0.66349999999999998</v>
      </c>
      <c r="I65" s="56"/>
      <c r="J65" s="57">
        <f t="shared" si="1"/>
        <v>0.25309999999999999</v>
      </c>
      <c r="K65" s="58">
        <f t="shared" si="2"/>
        <v>0.62636666666666663</v>
      </c>
      <c r="L65" s="56"/>
      <c r="M65" s="62">
        <f t="shared" si="3"/>
        <v>9.6508333333333335E-2</v>
      </c>
      <c r="N65" s="56">
        <f t="shared" si="4"/>
        <v>6.8488103833333325</v>
      </c>
      <c r="O65" s="58">
        <f t="shared" si="5"/>
        <v>13.697620766666665</v>
      </c>
      <c r="P65" s="56">
        <f t="shared" si="6"/>
        <v>1.3697620766666665</v>
      </c>
      <c r="Q65" s="57"/>
      <c r="R65" s="56"/>
      <c r="S65" s="58"/>
      <c r="T65" s="56"/>
    </row>
    <row r="66" spans="4:20" ht="14.4" customHeight="1" x14ac:dyDescent="0.3">
      <c r="D66" s="76">
        <f>A40</f>
        <v>14</v>
      </c>
      <c r="E66" s="12" t="s">
        <v>90</v>
      </c>
      <c r="F66" s="12">
        <f>B40</f>
        <v>10</v>
      </c>
      <c r="G66" s="54">
        <v>0.37469999999999998</v>
      </c>
      <c r="H66" s="55">
        <v>0.63749999999999996</v>
      </c>
      <c r="I66" s="56"/>
      <c r="J66" s="57">
        <f t="shared" si="1"/>
        <v>0.33559999999999995</v>
      </c>
      <c r="K66" s="58">
        <f t="shared" si="2"/>
        <v>0.6003666666666666</v>
      </c>
      <c r="L66" s="56"/>
      <c r="M66" s="62">
        <f t="shared" si="3"/>
        <v>0.1855083333333333</v>
      </c>
      <c r="N66" s="56">
        <f t="shared" si="4"/>
        <v>13.16478438333333</v>
      </c>
      <c r="O66" s="58">
        <f t="shared" si="5"/>
        <v>26.329568766666661</v>
      </c>
      <c r="P66" s="56">
        <f t="shared" si="6"/>
        <v>2.632956876666666</v>
      </c>
      <c r="Q66" s="57">
        <f>AVERAGE(P66:P68)</f>
        <v>2.29894357</v>
      </c>
      <c r="R66" s="56">
        <f>STDEV(P66:P68)</f>
        <v>0.30750013552127076</v>
      </c>
      <c r="S66" s="58">
        <f>R66/Q66*100</f>
        <v>13.375714808052933</v>
      </c>
      <c r="T66" s="56"/>
    </row>
    <row r="67" spans="4:20" ht="14.4" customHeight="1" x14ac:dyDescent="0.3">
      <c r="D67" s="77"/>
      <c r="E67" s="17" t="s">
        <v>91</v>
      </c>
      <c r="F67" s="17">
        <f t="shared" ref="F67" si="31">F66</f>
        <v>10</v>
      </c>
      <c r="G67" s="57">
        <v>0.34010000000000001</v>
      </c>
      <c r="H67" s="58">
        <v>0.6109</v>
      </c>
      <c r="I67" s="56"/>
      <c r="J67" s="57">
        <f t="shared" si="1"/>
        <v>0.30099999999999999</v>
      </c>
      <c r="K67" s="58">
        <f t="shared" si="2"/>
        <v>0.57376666666666665</v>
      </c>
      <c r="L67" s="56"/>
      <c r="M67" s="62">
        <f t="shared" si="3"/>
        <v>0.15755833333333333</v>
      </c>
      <c r="N67" s="56">
        <f t="shared" si="4"/>
        <v>11.181284683333333</v>
      </c>
      <c r="O67" s="58">
        <f t="shared" si="5"/>
        <v>22.362569366666666</v>
      </c>
      <c r="P67" s="56">
        <f t="shared" si="6"/>
        <v>2.2362569366666665</v>
      </c>
      <c r="Q67" s="57"/>
      <c r="R67" s="56"/>
      <c r="S67" s="58"/>
      <c r="T67" s="56"/>
    </row>
    <row r="68" spans="4:20" ht="14.4" customHeight="1" x14ac:dyDescent="0.3">
      <c r="D68" s="78"/>
      <c r="E68" s="22" t="s">
        <v>92</v>
      </c>
      <c r="F68" s="22">
        <f t="shared" ref="F68" si="32">F66</f>
        <v>10</v>
      </c>
      <c r="G68" s="65">
        <v>0.32540000000000002</v>
      </c>
      <c r="H68" s="66">
        <v>0.6109</v>
      </c>
      <c r="I68" s="56"/>
      <c r="J68" s="57">
        <f t="shared" si="1"/>
        <v>0.2863</v>
      </c>
      <c r="K68" s="58">
        <f t="shared" si="2"/>
        <v>0.57376666666666665</v>
      </c>
      <c r="L68" s="56"/>
      <c r="M68" s="62">
        <f t="shared" si="3"/>
        <v>0.14285833333333334</v>
      </c>
      <c r="N68" s="56">
        <f t="shared" si="4"/>
        <v>10.138084483333333</v>
      </c>
      <c r="O68" s="58">
        <f t="shared" si="5"/>
        <v>20.276168966666667</v>
      </c>
      <c r="P68" s="56">
        <f t="shared" si="6"/>
        <v>2.0276168966666668</v>
      </c>
      <c r="Q68" s="57"/>
      <c r="R68" s="56"/>
      <c r="S68" s="58"/>
      <c r="T68" s="56"/>
    </row>
    <row r="69" spans="4:20" ht="14.4" customHeight="1" x14ac:dyDescent="0.3">
      <c r="D69" s="76">
        <f>A41</f>
        <v>15</v>
      </c>
      <c r="E69" s="12" t="s">
        <v>93</v>
      </c>
      <c r="F69" s="12">
        <f>B41</f>
        <v>10</v>
      </c>
      <c r="G69" s="54">
        <v>0.3705</v>
      </c>
      <c r="H69" s="55">
        <v>0.75170000000000003</v>
      </c>
      <c r="I69" s="56"/>
      <c r="J69" s="57">
        <f t="shared" si="1"/>
        <v>0.33139999999999997</v>
      </c>
      <c r="K69" s="58">
        <f t="shared" si="2"/>
        <v>0.71456666666666668</v>
      </c>
      <c r="L69" s="56"/>
      <c r="M69" s="62">
        <f t="shared" si="3"/>
        <v>0.1527583333333333</v>
      </c>
      <c r="N69" s="56">
        <f t="shared" si="4"/>
        <v>10.840647883333331</v>
      </c>
      <c r="O69" s="58">
        <f t="shared" si="5"/>
        <v>21.681295766666661</v>
      </c>
      <c r="P69" s="56">
        <f t="shared" si="6"/>
        <v>2.1681295766666659</v>
      </c>
      <c r="Q69" s="57">
        <f>AVERAGE(P69:P71)</f>
        <v>2.3113626199999993</v>
      </c>
      <c r="R69" s="56">
        <f>STDEV(P69:P71)</f>
        <v>0.38309684525669124</v>
      </c>
      <c r="S69" s="58">
        <f>R69/Q69*100</f>
        <v>16.574502068251469</v>
      </c>
      <c r="T69" s="56"/>
    </row>
    <row r="70" spans="4:20" ht="14.4" customHeight="1" x14ac:dyDescent="0.3">
      <c r="D70" s="77"/>
      <c r="E70" s="17" t="s">
        <v>94</v>
      </c>
      <c r="F70" s="17">
        <f t="shared" ref="F70" si="33">F69</f>
        <v>10</v>
      </c>
      <c r="G70" s="57">
        <v>0.35199999999999998</v>
      </c>
      <c r="H70" s="58">
        <v>0.71930000000000005</v>
      </c>
      <c r="I70" s="56"/>
      <c r="J70" s="57">
        <f t="shared" si="1"/>
        <v>0.31289999999999996</v>
      </c>
      <c r="K70" s="58">
        <f t="shared" si="2"/>
        <v>0.6821666666666667</v>
      </c>
      <c r="L70" s="56"/>
      <c r="M70" s="62">
        <f t="shared" si="3"/>
        <v>0.14235833333333328</v>
      </c>
      <c r="N70" s="56">
        <f t="shared" si="4"/>
        <v>10.102601483333329</v>
      </c>
      <c r="O70" s="58">
        <f t="shared" si="5"/>
        <v>20.205202966666658</v>
      </c>
      <c r="P70" s="56">
        <f t="shared" si="6"/>
        <v>2.0205202966666658</v>
      </c>
      <c r="Q70" s="57"/>
      <c r="R70" s="56"/>
      <c r="S70" s="58"/>
      <c r="T70" s="56"/>
    </row>
    <row r="71" spans="4:20" ht="14.4" customHeight="1" x14ac:dyDescent="0.3">
      <c r="D71" s="78"/>
      <c r="E71" s="22" t="s">
        <v>95</v>
      </c>
      <c r="F71" s="22">
        <f t="shared" ref="F71" si="34">F69</f>
        <v>10</v>
      </c>
      <c r="G71" s="65">
        <v>0.40339999999999998</v>
      </c>
      <c r="H71" s="66">
        <v>0.72060000000000002</v>
      </c>
      <c r="I71" s="56"/>
      <c r="J71" s="57">
        <f t="shared" si="1"/>
        <v>0.36429999999999996</v>
      </c>
      <c r="K71" s="58">
        <f t="shared" si="2"/>
        <v>0.68346666666666667</v>
      </c>
      <c r="L71" s="56"/>
      <c r="M71" s="62">
        <f t="shared" si="3"/>
        <v>0.19343333333333329</v>
      </c>
      <c r="N71" s="56">
        <f t="shared" si="4"/>
        <v>13.72718993333333</v>
      </c>
      <c r="O71" s="58">
        <f t="shared" si="5"/>
        <v>27.45437986666666</v>
      </c>
      <c r="P71" s="56">
        <f t="shared" si="6"/>
        <v>2.7454379866666661</v>
      </c>
      <c r="Q71" s="57"/>
      <c r="R71" s="56"/>
      <c r="S71" s="58"/>
      <c r="T71" s="56"/>
    </row>
    <row r="72" spans="4:20" ht="14.4" customHeight="1" x14ac:dyDescent="0.3">
      <c r="D72" s="76">
        <f>A42</f>
        <v>16</v>
      </c>
      <c r="E72" s="12" t="s">
        <v>96</v>
      </c>
      <c r="F72" s="12">
        <f>B42</f>
        <v>10</v>
      </c>
      <c r="G72" s="54">
        <v>0.38200000000000001</v>
      </c>
      <c r="H72" s="55">
        <v>0.78759999999999997</v>
      </c>
      <c r="I72" s="56"/>
      <c r="J72" s="57">
        <f t="shared" si="1"/>
        <v>0.34289999999999998</v>
      </c>
      <c r="K72" s="58">
        <f t="shared" si="2"/>
        <v>0.75046666666666662</v>
      </c>
      <c r="L72" s="56"/>
      <c r="M72" s="62">
        <f t="shared" si="3"/>
        <v>0.15528333333333333</v>
      </c>
      <c r="N72" s="56">
        <f t="shared" si="4"/>
        <v>11.019837033333332</v>
      </c>
      <c r="O72" s="58">
        <f t="shared" si="5"/>
        <v>22.039674066666663</v>
      </c>
      <c r="P72" s="56">
        <f t="shared" si="6"/>
        <v>2.2039674066666661</v>
      </c>
      <c r="Q72" s="57">
        <f>AVERAGE(P72:P74)</f>
        <v>1.9332321166666666</v>
      </c>
      <c r="R72" s="56">
        <f>STDEV(P72:P74)</f>
        <v>0.38384324647051954</v>
      </c>
      <c r="S72" s="58">
        <f>R72/Q72*100</f>
        <v>19.855000502079019</v>
      </c>
      <c r="T72" s="56"/>
    </row>
    <row r="73" spans="4:20" ht="14.4" customHeight="1" x14ac:dyDescent="0.3">
      <c r="D73" s="77"/>
      <c r="E73" s="17" t="s">
        <v>97</v>
      </c>
      <c r="F73" s="17">
        <f t="shared" ref="F73" si="35">F72</f>
        <v>10</v>
      </c>
      <c r="G73" s="57">
        <v>0.3705</v>
      </c>
      <c r="H73" s="58">
        <v>0.77039999999999997</v>
      </c>
      <c r="I73" s="56"/>
      <c r="J73" s="57">
        <f t="shared" si="1"/>
        <v>0.33139999999999997</v>
      </c>
      <c r="K73" s="58">
        <f t="shared" si="2"/>
        <v>0.73326666666666662</v>
      </c>
      <c r="L73" s="56"/>
      <c r="M73" s="62">
        <f t="shared" si="3"/>
        <v>0.14808333333333332</v>
      </c>
      <c r="N73" s="56">
        <f t="shared" si="4"/>
        <v>10.508881833333332</v>
      </c>
      <c r="O73" s="58">
        <f t="shared" si="5"/>
        <v>21.017763666666664</v>
      </c>
      <c r="P73" s="56">
        <f t="shared" si="6"/>
        <v>2.1017763666666665</v>
      </c>
      <c r="Q73" s="57"/>
      <c r="R73" s="56"/>
      <c r="S73" s="58"/>
      <c r="T73" s="56"/>
    </row>
    <row r="74" spans="4:20" ht="14.4" customHeight="1" x14ac:dyDescent="0.3">
      <c r="D74" s="78"/>
      <c r="E74" s="22" t="s">
        <v>98</v>
      </c>
      <c r="F74" s="22">
        <f t="shared" ref="F74" si="36">F72</f>
        <v>10</v>
      </c>
      <c r="G74" s="65">
        <v>0.33250000000000002</v>
      </c>
      <c r="H74" s="66">
        <v>0.78969999999999996</v>
      </c>
      <c r="I74" s="56"/>
      <c r="J74" s="57">
        <f t="shared" si="1"/>
        <v>0.29339999999999999</v>
      </c>
      <c r="K74" s="58">
        <f t="shared" si="2"/>
        <v>0.75256666666666661</v>
      </c>
      <c r="L74" s="56"/>
      <c r="M74" s="62">
        <f t="shared" si="3"/>
        <v>0.10525833333333334</v>
      </c>
      <c r="N74" s="56">
        <f t="shared" si="4"/>
        <v>7.4697628833333329</v>
      </c>
      <c r="O74" s="58">
        <f t="shared" si="5"/>
        <v>14.939525766666666</v>
      </c>
      <c r="P74" s="56">
        <f t="shared" si="6"/>
        <v>1.4939525766666666</v>
      </c>
      <c r="Q74" s="57"/>
      <c r="R74" s="56"/>
      <c r="S74" s="58"/>
      <c r="T74" s="56"/>
    </row>
    <row r="75" spans="4:20" ht="14.4" customHeight="1" x14ac:dyDescent="0.3">
      <c r="D75" s="76">
        <f>A43</f>
        <v>17</v>
      </c>
      <c r="E75" s="12" t="s">
        <v>99</v>
      </c>
      <c r="F75" s="12">
        <f>B43</f>
        <v>10</v>
      </c>
      <c r="G75" s="54">
        <v>0.375</v>
      </c>
      <c r="H75" s="55">
        <v>0.75209999999999999</v>
      </c>
      <c r="I75" s="56"/>
      <c r="J75" s="57">
        <f t="shared" si="1"/>
        <v>0.33589999999999998</v>
      </c>
      <c r="K75" s="58">
        <f t="shared" si="2"/>
        <v>0.71496666666666664</v>
      </c>
      <c r="L75" s="56"/>
      <c r="M75" s="62">
        <f t="shared" si="3"/>
        <v>0.15715833333333332</v>
      </c>
      <c r="N75" s="56">
        <f t="shared" si="4"/>
        <v>11.152898283333331</v>
      </c>
      <c r="O75" s="58">
        <f t="shared" si="5"/>
        <v>22.305796566666661</v>
      </c>
      <c r="P75" s="56">
        <f t="shared" si="6"/>
        <v>2.230579656666666</v>
      </c>
      <c r="Q75" s="57">
        <f>AVERAGE(P75:P77)</f>
        <v>1.6459380933333332</v>
      </c>
      <c r="R75" s="56">
        <f>STDEV(P75:P77)</f>
        <v>0.51648920401908927</v>
      </c>
      <c r="S75" s="58">
        <f>R75/Q75*100</f>
        <v>31.379625157900186</v>
      </c>
      <c r="T75" s="56"/>
    </row>
    <row r="76" spans="4:20" ht="14.4" customHeight="1" x14ac:dyDescent="0.3">
      <c r="D76" s="77"/>
      <c r="E76" s="17" t="s">
        <v>100</v>
      </c>
      <c r="F76" s="17">
        <f t="shared" ref="F76" si="37">F75</f>
        <v>10</v>
      </c>
      <c r="G76" s="57">
        <v>0.30990000000000001</v>
      </c>
      <c r="H76" s="58">
        <v>0.76759999999999995</v>
      </c>
      <c r="I76" s="56"/>
      <c r="J76" s="57">
        <f t="shared" si="1"/>
        <v>0.27079999999999999</v>
      </c>
      <c r="K76" s="58">
        <f t="shared" si="2"/>
        <v>0.7304666666666666</v>
      </c>
      <c r="L76" s="56"/>
      <c r="M76" s="62">
        <f t="shared" si="3"/>
        <v>8.8183333333333336E-2</v>
      </c>
      <c r="N76" s="56">
        <f t="shared" si="4"/>
        <v>6.2580184333333326</v>
      </c>
      <c r="O76" s="58">
        <f t="shared" si="5"/>
        <v>12.516036866666665</v>
      </c>
      <c r="P76" s="56">
        <f t="shared" si="6"/>
        <v>1.2516036866666664</v>
      </c>
      <c r="Q76" s="57"/>
      <c r="R76" s="56"/>
      <c r="S76" s="58"/>
      <c r="T76" s="56"/>
    </row>
    <row r="77" spans="4:20" ht="14.4" customHeight="1" x14ac:dyDescent="0.3">
      <c r="D77" s="78"/>
      <c r="E77" s="22" t="s">
        <v>101</v>
      </c>
      <c r="F77" s="22">
        <f t="shared" ref="F77" si="38">F75</f>
        <v>10</v>
      </c>
      <c r="G77" s="65">
        <v>0.32150000000000001</v>
      </c>
      <c r="H77" s="66">
        <v>0.75649999999999995</v>
      </c>
      <c r="I77" s="56"/>
      <c r="J77" s="57">
        <f t="shared" si="1"/>
        <v>0.28239999999999998</v>
      </c>
      <c r="K77" s="58">
        <f t="shared" si="2"/>
        <v>0.7193666666666666</v>
      </c>
      <c r="L77" s="56"/>
      <c r="M77" s="62">
        <f t="shared" si="3"/>
        <v>0.10255833333333333</v>
      </c>
      <c r="N77" s="56">
        <f t="shared" si="4"/>
        <v>7.2781546833333328</v>
      </c>
      <c r="O77" s="58">
        <f t="shared" si="5"/>
        <v>14.556309366666666</v>
      </c>
      <c r="P77" s="56">
        <f t="shared" si="6"/>
        <v>1.4556309366666667</v>
      </c>
      <c r="Q77" s="57"/>
      <c r="R77" s="56"/>
      <c r="S77" s="58"/>
      <c r="T77" s="56"/>
    </row>
    <row r="78" spans="4:20" ht="14.4" customHeight="1" x14ac:dyDescent="0.3">
      <c r="D78" s="76">
        <f>A44</f>
        <v>18</v>
      </c>
      <c r="E78" s="12" t="s">
        <v>102</v>
      </c>
      <c r="F78" s="12">
        <f>B44</f>
        <v>10</v>
      </c>
      <c r="G78" s="54">
        <v>0.35759999999999997</v>
      </c>
      <c r="H78" s="55">
        <v>0.75829999999999997</v>
      </c>
      <c r="I78" s="56"/>
      <c r="J78" s="57">
        <f t="shared" si="1"/>
        <v>0.31849999999999995</v>
      </c>
      <c r="K78" s="58">
        <f t="shared" si="2"/>
        <v>0.72116666666666662</v>
      </c>
      <c r="L78" s="56"/>
      <c r="M78" s="62">
        <f t="shared" si="3"/>
        <v>0.13820833333333329</v>
      </c>
      <c r="N78" s="56">
        <f t="shared" si="4"/>
        <v>9.8080925833333303</v>
      </c>
      <c r="O78" s="58">
        <f t="shared" si="5"/>
        <v>19.616185166666661</v>
      </c>
      <c r="P78" s="56">
        <f t="shared" si="6"/>
        <v>1.961618516666666</v>
      </c>
      <c r="Q78" s="57">
        <f>AVERAGE(P78:P80)</f>
        <v>2.3638774599999999</v>
      </c>
      <c r="R78" s="56">
        <f>STDEV(P78:P80)</f>
        <v>0.38508559564401074</v>
      </c>
      <c r="S78" s="58">
        <f>R78/Q78*100</f>
        <v>16.290421232072273</v>
      </c>
      <c r="T78" s="56"/>
    </row>
    <row r="79" spans="4:20" ht="14.4" customHeight="1" x14ac:dyDescent="0.3">
      <c r="D79" s="77"/>
      <c r="E79" s="17" t="s">
        <v>103</v>
      </c>
      <c r="F79" s="17">
        <f t="shared" ref="F79" si="39">F78</f>
        <v>10</v>
      </c>
      <c r="G79" s="57">
        <v>0.40689999999999998</v>
      </c>
      <c r="H79" s="58">
        <v>0.73919999999999997</v>
      </c>
      <c r="I79" s="56"/>
      <c r="J79" s="57">
        <f t="shared" si="1"/>
        <v>0.36779999999999996</v>
      </c>
      <c r="K79" s="58">
        <f t="shared" si="2"/>
        <v>0.70206666666666662</v>
      </c>
      <c r="L79" s="56"/>
      <c r="M79" s="62">
        <f t="shared" si="3"/>
        <v>0.19228333333333331</v>
      </c>
      <c r="N79" s="56">
        <f t="shared" si="4"/>
        <v>13.64557903333333</v>
      </c>
      <c r="O79" s="58">
        <f t="shared" si="5"/>
        <v>27.291158066666661</v>
      </c>
      <c r="P79" s="56">
        <f t="shared" si="6"/>
        <v>2.7291158066666661</v>
      </c>
      <c r="Q79" s="57"/>
      <c r="R79" s="56"/>
      <c r="S79" s="58"/>
      <c r="T79" s="56"/>
    </row>
    <row r="80" spans="4:20" ht="14.4" customHeight="1" x14ac:dyDescent="0.3">
      <c r="D80" s="78"/>
      <c r="E80" s="22" t="s">
        <v>104</v>
      </c>
      <c r="F80" s="22">
        <f t="shared" ref="F80" si="40">F78</f>
        <v>10</v>
      </c>
      <c r="G80" s="65">
        <v>0.38590000000000002</v>
      </c>
      <c r="H80" s="66">
        <v>0.74770000000000003</v>
      </c>
      <c r="I80" s="56"/>
      <c r="J80" s="57">
        <f t="shared" si="1"/>
        <v>0.3468</v>
      </c>
      <c r="K80" s="58">
        <f t="shared" si="2"/>
        <v>0.71056666666666668</v>
      </c>
      <c r="L80" s="56"/>
      <c r="M80" s="62">
        <f t="shared" si="3"/>
        <v>0.16915833333333333</v>
      </c>
      <c r="N80" s="56">
        <f t="shared" si="4"/>
        <v>12.004490283333332</v>
      </c>
      <c r="O80" s="58">
        <f t="shared" si="5"/>
        <v>24.008980566666665</v>
      </c>
      <c r="P80" s="56">
        <f t="shared" si="6"/>
        <v>2.4008980566666667</v>
      </c>
      <c r="Q80" s="57"/>
      <c r="R80" s="56"/>
      <c r="S80" s="58"/>
      <c r="T80" s="56"/>
    </row>
    <row r="81" spans="4:20" ht="14.4" customHeight="1" x14ac:dyDescent="0.3">
      <c r="D81" s="76">
        <f>A45</f>
        <v>19</v>
      </c>
      <c r="E81" s="12" t="s">
        <v>105</v>
      </c>
      <c r="F81" s="12">
        <f>B45</f>
        <v>10</v>
      </c>
      <c r="G81" s="54">
        <v>0.3589</v>
      </c>
      <c r="H81" s="55">
        <v>0.71020000000000005</v>
      </c>
      <c r="I81" s="56"/>
      <c r="J81" s="57">
        <f t="shared" si="1"/>
        <v>0.31979999999999997</v>
      </c>
      <c r="K81" s="58">
        <f t="shared" si="2"/>
        <v>0.6730666666666667</v>
      </c>
      <c r="L81" s="56"/>
      <c r="M81" s="62">
        <f t="shared" si="3"/>
        <v>0.1515333333333333</v>
      </c>
      <c r="N81" s="56">
        <f t="shared" si="4"/>
        <v>10.75371453333333</v>
      </c>
      <c r="O81" s="58">
        <f t="shared" si="5"/>
        <v>21.50742906666666</v>
      </c>
      <c r="P81" s="56">
        <f t="shared" si="6"/>
        <v>2.1507429066666659</v>
      </c>
      <c r="Q81" s="57">
        <f>AVERAGE(P81:P83)</f>
        <v>2.3990056299999996</v>
      </c>
      <c r="R81" s="56">
        <f>STDEV(P81:P83)</f>
        <v>0.21506337724683336</v>
      </c>
      <c r="S81" s="58">
        <f>R81/Q81*100</f>
        <v>8.9646883090821845</v>
      </c>
      <c r="T81" s="56"/>
    </row>
    <row r="82" spans="4:20" ht="14.4" customHeight="1" x14ac:dyDescent="0.3">
      <c r="D82" s="77"/>
      <c r="E82" s="17" t="s">
        <v>106</v>
      </c>
      <c r="F82" s="17">
        <f t="shared" ref="F82" si="41">F81</f>
        <v>10</v>
      </c>
      <c r="G82" s="57">
        <v>0.3851</v>
      </c>
      <c r="H82" s="58">
        <v>0.71150000000000002</v>
      </c>
      <c r="I82" s="56"/>
      <c r="J82" s="57">
        <f t="shared" si="1"/>
        <v>0.34599999999999997</v>
      </c>
      <c r="K82" s="58">
        <f t="shared" si="2"/>
        <v>0.67436666666666667</v>
      </c>
      <c r="L82" s="56"/>
      <c r="M82" s="62">
        <f t="shared" si="3"/>
        <v>0.17740833333333331</v>
      </c>
      <c r="N82" s="56">
        <f t="shared" si="4"/>
        <v>12.589959783333331</v>
      </c>
      <c r="O82" s="58">
        <f t="shared" si="5"/>
        <v>25.179919566666662</v>
      </c>
      <c r="P82" s="56">
        <f t="shared" si="6"/>
        <v>2.5179919566666662</v>
      </c>
      <c r="Q82" s="57"/>
      <c r="R82" s="56"/>
      <c r="S82" s="58"/>
      <c r="T82" s="56"/>
    </row>
    <row r="83" spans="4:20" ht="14.4" customHeight="1" x14ac:dyDescent="0.3">
      <c r="D83" s="78"/>
      <c r="E83" s="22" t="s">
        <v>107</v>
      </c>
      <c r="F83" s="22">
        <f t="shared" ref="F83" si="42">F81</f>
        <v>10</v>
      </c>
      <c r="G83" s="65">
        <v>0.38640000000000002</v>
      </c>
      <c r="H83" s="66">
        <v>0.71379999999999999</v>
      </c>
      <c r="I83" s="56"/>
      <c r="J83" s="57">
        <f t="shared" si="1"/>
        <v>0.3473</v>
      </c>
      <c r="K83" s="58">
        <f t="shared" si="2"/>
        <v>0.67666666666666664</v>
      </c>
      <c r="L83" s="56"/>
      <c r="M83" s="62">
        <f t="shared" si="3"/>
        <v>0.17813333333333334</v>
      </c>
      <c r="N83" s="56">
        <f t="shared" si="4"/>
        <v>12.641410133333332</v>
      </c>
      <c r="O83" s="58">
        <f t="shared" si="5"/>
        <v>25.282820266666665</v>
      </c>
      <c r="P83" s="56">
        <f t="shared" si="6"/>
        <v>2.5282820266666666</v>
      </c>
      <c r="Q83" s="57"/>
      <c r="R83" s="56"/>
      <c r="S83" s="58"/>
      <c r="T83" s="56"/>
    </row>
    <row r="84" spans="4:20" ht="14.4" customHeight="1" x14ac:dyDescent="0.3">
      <c r="D84" s="76">
        <f>A46</f>
        <v>20</v>
      </c>
      <c r="E84" s="12" t="s">
        <v>108</v>
      </c>
      <c r="F84" s="12">
        <f>B46</f>
        <v>10</v>
      </c>
      <c r="G84" s="54">
        <v>0.4</v>
      </c>
      <c r="H84" s="55">
        <v>0.72199999999999998</v>
      </c>
      <c r="I84" s="56"/>
      <c r="J84" s="57">
        <f t="shared" si="1"/>
        <v>0.3609</v>
      </c>
      <c r="K84" s="58">
        <f t="shared" si="2"/>
        <v>0.68486666666666662</v>
      </c>
      <c r="L84" s="56"/>
      <c r="M84" s="62">
        <f t="shared" si="3"/>
        <v>0.18968333333333334</v>
      </c>
      <c r="N84" s="56">
        <f t="shared" si="4"/>
        <v>13.461067433333334</v>
      </c>
      <c r="O84" s="58">
        <f t="shared" si="5"/>
        <v>26.922134866666667</v>
      </c>
      <c r="P84" s="56">
        <f t="shared" si="6"/>
        <v>2.6922134866666667</v>
      </c>
      <c r="Q84" s="57">
        <f>AVERAGE(P84:P86)</f>
        <v>1.8289120966666665</v>
      </c>
      <c r="R84" s="56">
        <f>STDEV(P84:P86)</f>
        <v>0.75053272208177635</v>
      </c>
      <c r="S84" s="58">
        <f>R84/Q84*100</f>
        <v>41.03711290715831</v>
      </c>
      <c r="T84" s="56"/>
    </row>
    <row r="85" spans="4:20" ht="14.4" customHeight="1" x14ac:dyDescent="0.3">
      <c r="D85" s="77"/>
      <c r="E85" s="17" t="s">
        <v>109</v>
      </c>
      <c r="F85" s="17">
        <f t="shared" ref="F85" si="43">F84</f>
        <v>10</v>
      </c>
      <c r="G85" s="57">
        <v>0.31630000000000003</v>
      </c>
      <c r="H85" s="58">
        <v>0.77070000000000005</v>
      </c>
      <c r="I85" s="56"/>
      <c r="J85" s="57">
        <f t="shared" si="1"/>
        <v>0.2772</v>
      </c>
      <c r="K85" s="58">
        <f t="shared" si="2"/>
        <v>0.7335666666666667</v>
      </c>
      <c r="L85" s="56"/>
      <c r="M85" s="62">
        <f t="shared" si="3"/>
        <v>9.3808333333333327E-2</v>
      </c>
      <c r="N85" s="56">
        <f t="shared" si="4"/>
        <v>6.6572021833333324</v>
      </c>
      <c r="O85" s="58">
        <f t="shared" si="5"/>
        <v>13.314404366666665</v>
      </c>
      <c r="P85" s="56">
        <f t="shared" si="6"/>
        <v>1.3314404366666666</v>
      </c>
      <c r="Q85" s="57"/>
      <c r="R85" s="56"/>
      <c r="S85" s="58"/>
      <c r="T85" s="56"/>
    </row>
    <row r="86" spans="4:20" ht="14.4" customHeight="1" x14ac:dyDescent="0.3">
      <c r="D86" s="78"/>
      <c r="E86" s="22" t="s">
        <v>110</v>
      </c>
      <c r="F86" s="22">
        <f t="shared" ref="F86" si="44">F84</f>
        <v>10</v>
      </c>
      <c r="G86" s="65">
        <v>0.32750000000000001</v>
      </c>
      <c r="H86" s="66">
        <v>0.77839999999999998</v>
      </c>
      <c r="I86" s="56"/>
      <c r="J86" s="57">
        <f t="shared" si="1"/>
        <v>0.28839999999999999</v>
      </c>
      <c r="K86" s="58">
        <f t="shared" si="2"/>
        <v>0.74126666666666663</v>
      </c>
      <c r="L86" s="56"/>
      <c r="M86" s="62">
        <f t="shared" si="3"/>
        <v>0.10308333333333333</v>
      </c>
      <c r="N86" s="56">
        <f t="shared" si="4"/>
        <v>7.3154118333333322</v>
      </c>
      <c r="O86" s="58">
        <f t="shared" si="5"/>
        <v>14.630823666666664</v>
      </c>
      <c r="P86" s="56">
        <f t="shared" si="6"/>
        <v>1.4630823666666664</v>
      </c>
      <c r="Q86" s="57"/>
      <c r="R86" s="56"/>
      <c r="S86" s="58"/>
      <c r="T86" s="56"/>
    </row>
    <row r="87" spans="4:20" ht="14.4" customHeight="1" x14ac:dyDescent="0.3">
      <c r="D87" s="76">
        <f>A47</f>
        <v>21</v>
      </c>
      <c r="E87" s="12" t="s">
        <v>111</v>
      </c>
      <c r="F87" s="12">
        <f>B47</f>
        <v>10</v>
      </c>
      <c r="G87" s="54">
        <v>0.33729999999999999</v>
      </c>
      <c r="H87" s="55">
        <v>0.77980000000000005</v>
      </c>
      <c r="I87" s="56"/>
      <c r="J87" s="57">
        <f t="shared" si="1"/>
        <v>0.29819999999999997</v>
      </c>
      <c r="K87" s="58">
        <f t="shared" si="2"/>
        <v>0.7426666666666667</v>
      </c>
      <c r="L87" s="56"/>
      <c r="M87" s="62">
        <f t="shared" si="3"/>
        <v>0.11253333333333329</v>
      </c>
      <c r="N87" s="56">
        <f t="shared" si="4"/>
        <v>7.9860405333333295</v>
      </c>
      <c r="O87" s="58">
        <f t="shared" si="5"/>
        <v>15.972081066666659</v>
      </c>
      <c r="P87" s="56">
        <f t="shared" si="6"/>
        <v>1.5972081066666659</v>
      </c>
      <c r="Q87" s="57">
        <f>AVERAGE(P87:P89)</f>
        <v>0.99565297999999969</v>
      </c>
      <c r="R87" s="56">
        <f>STDEV(P87:P89)</f>
        <v>0.78051795754062125</v>
      </c>
      <c r="S87" s="58">
        <f>R87/Q87*100</f>
        <v>78.392569822933851</v>
      </c>
      <c r="T87" s="56"/>
    </row>
    <row r="88" spans="4:20" ht="14.4" customHeight="1" x14ac:dyDescent="0.3">
      <c r="D88" s="77"/>
      <c r="E88" s="17" t="s">
        <v>112</v>
      </c>
      <c r="F88" s="17">
        <f t="shared" ref="F88:F97" si="45">F87</f>
        <v>10</v>
      </c>
      <c r="G88" s="57">
        <v>0.2397</v>
      </c>
      <c r="H88" s="58">
        <v>0.8075</v>
      </c>
      <c r="I88" s="56"/>
      <c r="J88" s="57">
        <f t="shared" si="1"/>
        <v>0.2006</v>
      </c>
      <c r="K88" s="58">
        <f t="shared" si="2"/>
        <v>0.77036666666666664</v>
      </c>
      <c r="L88" s="56"/>
      <c r="M88" s="62">
        <f t="shared" si="3"/>
        <v>8.0083333333333395E-3</v>
      </c>
      <c r="N88" s="56">
        <f t="shared" si="4"/>
        <v>0.56831938333333376</v>
      </c>
      <c r="O88" s="58">
        <f t="shared" si="5"/>
        <v>1.1366387666666675</v>
      </c>
      <c r="P88" s="56">
        <f t="shared" si="6"/>
        <v>0.11366387666666675</v>
      </c>
      <c r="Q88" s="57"/>
      <c r="R88" s="56"/>
      <c r="S88" s="58"/>
      <c r="T88" s="56"/>
    </row>
    <row r="89" spans="4:20" ht="14.4" customHeight="1" x14ac:dyDescent="0.3">
      <c r="D89" s="78"/>
      <c r="E89" s="22" t="s">
        <v>113</v>
      </c>
      <c r="F89" s="22">
        <f t="shared" ref="F89:F98" si="46">F87</f>
        <v>10</v>
      </c>
      <c r="G89" s="65">
        <v>0.30349999999999999</v>
      </c>
      <c r="H89" s="66">
        <v>0.73509999999999998</v>
      </c>
      <c r="I89" s="56"/>
      <c r="J89" s="57">
        <f t="shared" si="1"/>
        <v>0.26439999999999997</v>
      </c>
      <c r="K89" s="58">
        <f t="shared" si="2"/>
        <v>0.69796666666666662</v>
      </c>
      <c r="L89" s="56"/>
      <c r="M89" s="62">
        <f t="shared" si="3"/>
        <v>8.9908333333333312E-2</v>
      </c>
      <c r="N89" s="56">
        <f t="shared" si="4"/>
        <v>6.3804347833333317</v>
      </c>
      <c r="O89" s="58">
        <f t="shared" si="5"/>
        <v>12.760869566666663</v>
      </c>
      <c r="P89" s="56">
        <f t="shared" si="6"/>
        <v>1.2760869566666664</v>
      </c>
      <c r="Q89" s="57"/>
      <c r="R89" s="56"/>
      <c r="S89" s="58"/>
      <c r="T89" s="56"/>
    </row>
    <row r="90" spans="4:20" ht="14.4" customHeight="1" x14ac:dyDescent="0.3">
      <c r="D90" s="76">
        <f>A48</f>
        <v>22</v>
      </c>
      <c r="E90" s="12" t="s">
        <v>114</v>
      </c>
      <c r="F90" s="12">
        <f>B48</f>
        <v>10</v>
      </c>
      <c r="G90" s="54">
        <v>0.3619</v>
      </c>
      <c r="H90" s="55">
        <v>0.70750000000000002</v>
      </c>
      <c r="I90" s="56"/>
      <c r="J90" s="57">
        <f t="shared" si="1"/>
        <v>0.32279999999999998</v>
      </c>
      <c r="K90" s="58">
        <f t="shared" si="2"/>
        <v>0.67036666666666667</v>
      </c>
      <c r="L90" s="56"/>
      <c r="M90" s="62">
        <f t="shared" si="3"/>
        <v>0.15520833333333331</v>
      </c>
      <c r="N90" s="56">
        <f t="shared" si="4"/>
        <v>11.01451458333333</v>
      </c>
      <c r="O90" s="58">
        <f t="shared" si="5"/>
        <v>22.02902916666666</v>
      </c>
      <c r="P90" s="56">
        <f t="shared" si="6"/>
        <v>2.202902916666666</v>
      </c>
      <c r="Q90" s="57">
        <f>AVERAGE(P90:P92)</f>
        <v>2.1272058499999993</v>
      </c>
      <c r="R90" s="56">
        <f>STDEV(P90:P92)</f>
        <v>0.15859842560507803</v>
      </c>
      <c r="S90" s="58">
        <f>R90/Q90*100</f>
        <v>7.4557159385904317</v>
      </c>
      <c r="T90" s="56"/>
    </row>
    <row r="91" spans="4:20" ht="14.4" customHeight="1" x14ac:dyDescent="0.3">
      <c r="D91" s="77"/>
      <c r="E91" s="17" t="s">
        <v>115</v>
      </c>
      <c r="F91" s="17">
        <f t="shared" si="45"/>
        <v>10</v>
      </c>
      <c r="G91" s="57">
        <v>0.34089999999999998</v>
      </c>
      <c r="H91" s="58">
        <v>0.69620000000000004</v>
      </c>
      <c r="I91" s="56"/>
      <c r="J91" s="57">
        <f t="shared" ref="J91:J98" si="47">G91-$J$14</f>
        <v>0.30179999999999996</v>
      </c>
      <c r="K91" s="58">
        <f t="shared" ref="K91:K98" si="48">H91-$K$14</f>
        <v>0.65906666666666669</v>
      </c>
      <c r="L91" s="56"/>
      <c r="M91" s="62">
        <f t="shared" si="3"/>
        <v>0.13703333333333328</v>
      </c>
      <c r="N91" s="56">
        <f t="shared" si="4"/>
        <v>9.7247075333333299</v>
      </c>
      <c r="O91" s="58">
        <f t="shared" si="5"/>
        <v>19.44941506666666</v>
      </c>
      <c r="P91" s="56">
        <f t="shared" si="6"/>
        <v>1.944941506666666</v>
      </c>
      <c r="Q91" s="57"/>
      <c r="R91" s="56"/>
      <c r="S91" s="58"/>
      <c r="T91" s="56"/>
    </row>
    <row r="92" spans="4:20" ht="14.4" customHeight="1" x14ac:dyDescent="0.3">
      <c r="D92" s="78"/>
      <c r="E92" s="22" t="s">
        <v>116</v>
      </c>
      <c r="F92" s="22">
        <f t="shared" si="46"/>
        <v>10</v>
      </c>
      <c r="G92" s="65">
        <v>0.3599</v>
      </c>
      <c r="H92" s="66">
        <v>0.69079999999999997</v>
      </c>
      <c r="I92" s="56"/>
      <c r="J92" s="57">
        <f t="shared" si="47"/>
        <v>0.32079999999999997</v>
      </c>
      <c r="K92" s="58">
        <f t="shared" si="48"/>
        <v>0.65366666666666662</v>
      </c>
      <c r="L92" s="56"/>
      <c r="M92" s="62">
        <f t="shared" ref="M92:M98" si="49">J92-(0.25*K92)</f>
        <v>0.15738333333333332</v>
      </c>
      <c r="N92" s="56">
        <f t="shared" ref="N92:N98" si="50">M92*70.966</f>
        <v>11.168865633333331</v>
      </c>
      <c r="O92" s="58">
        <f t="shared" ref="O92:O98" si="51">N92*2</f>
        <v>22.337731266666662</v>
      </c>
      <c r="P92" s="56">
        <f t="shared" ref="P92:P98" si="52">O92/F92</f>
        <v>2.2337731266666663</v>
      </c>
      <c r="Q92" s="57"/>
      <c r="R92" s="56"/>
      <c r="S92" s="58"/>
      <c r="T92" s="56"/>
    </row>
    <row r="93" spans="4:20" ht="14.4" customHeight="1" x14ac:dyDescent="0.3">
      <c r="D93" s="76">
        <f>A49</f>
        <v>23</v>
      </c>
      <c r="E93" s="12" t="s">
        <v>117</v>
      </c>
      <c r="F93" s="12">
        <f>B49</f>
        <v>10</v>
      </c>
      <c r="G93" s="54">
        <v>0.36370000000000002</v>
      </c>
      <c r="H93" s="55">
        <v>0.75109999999999999</v>
      </c>
      <c r="I93" s="56"/>
      <c r="J93" s="57">
        <f t="shared" si="47"/>
        <v>0.3246</v>
      </c>
      <c r="K93" s="58">
        <f t="shared" si="48"/>
        <v>0.71396666666666664</v>
      </c>
      <c r="L93" s="56"/>
      <c r="M93" s="62">
        <f t="shared" si="49"/>
        <v>0.14610833333333334</v>
      </c>
      <c r="N93" s="56">
        <f t="shared" si="50"/>
        <v>10.368723983333332</v>
      </c>
      <c r="O93" s="58">
        <f t="shared" si="51"/>
        <v>20.737447966666664</v>
      </c>
      <c r="P93" s="56">
        <f t="shared" si="52"/>
        <v>2.0737447966666664</v>
      </c>
      <c r="Q93" s="57">
        <f>AVERAGE(P93:P95)</f>
        <v>2.2039674066666661</v>
      </c>
      <c r="R93" s="56">
        <f>STDEV(P93:P95)</f>
        <v>0.18058825262088499</v>
      </c>
      <c r="S93" s="58">
        <f>R93/Q93*100</f>
        <v>8.1937805466012321</v>
      </c>
      <c r="T93" s="56"/>
    </row>
    <row r="94" spans="4:20" ht="14.4" customHeight="1" x14ac:dyDescent="0.3">
      <c r="D94" s="77"/>
      <c r="E94" s="17" t="s">
        <v>118</v>
      </c>
      <c r="F94" s="17">
        <f t="shared" si="45"/>
        <v>10</v>
      </c>
      <c r="G94" s="57">
        <v>0.37209999999999999</v>
      </c>
      <c r="H94" s="58">
        <v>0.76939999999999997</v>
      </c>
      <c r="I94" s="56"/>
      <c r="J94" s="57">
        <f t="shared" si="47"/>
        <v>0.33299999999999996</v>
      </c>
      <c r="K94" s="58">
        <f t="shared" si="48"/>
        <v>0.73226666666666662</v>
      </c>
      <c r="L94" s="56"/>
      <c r="M94" s="62">
        <f t="shared" si="49"/>
        <v>0.14993333333333331</v>
      </c>
      <c r="N94" s="56">
        <f t="shared" si="50"/>
        <v>10.64016893333333</v>
      </c>
      <c r="O94" s="58">
        <f t="shared" si="51"/>
        <v>21.28033786666666</v>
      </c>
      <c r="P94" s="56">
        <f t="shared" si="52"/>
        <v>2.1280337866666659</v>
      </c>
      <c r="Q94" s="57"/>
      <c r="R94" s="56"/>
      <c r="S94" s="58"/>
      <c r="T94" s="56"/>
    </row>
    <row r="95" spans="4:20" ht="14.4" customHeight="1" x14ac:dyDescent="0.3">
      <c r="D95" s="78"/>
      <c r="E95" s="22" t="s">
        <v>119</v>
      </c>
      <c r="F95" s="22">
        <f t="shared" si="46"/>
        <v>10</v>
      </c>
      <c r="G95" s="65">
        <v>0.38879999999999998</v>
      </c>
      <c r="H95" s="66">
        <v>0.75670000000000004</v>
      </c>
      <c r="I95" s="56"/>
      <c r="J95" s="57">
        <f t="shared" si="47"/>
        <v>0.34969999999999996</v>
      </c>
      <c r="K95" s="58">
        <f t="shared" si="48"/>
        <v>0.71956666666666669</v>
      </c>
      <c r="L95" s="56"/>
      <c r="M95" s="62">
        <f t="shared" si="49"/>
        <v>0.16980833333333328</v>
      </c>
      <c r="N95" s="56">
        <f t="shared" si="50"/>
        <v>12.050618183333329</v>
      </c>
      <c r="O95" s="58">
        <f t="shared" si="51"/>
        <v>24.101236366666658</v>
      </c>
      <c r="P95" s="56">
        <f t="shared" si="52"/>
        <v>2.4101236366666656</v>
      </c>
      <c r="Q95" s="57"/>
      <c r="R95" s="56"/>
      <c r="S95" s="58"/>
      <c r="T95" s="56"/>
    </row>
    <row r="96" spans="4:20" ht="14.4" customHeight="1" x14ac:dyDescent="0.3">
      <c r="D96" s="76">
        <f>A50</f>
        <v>24</v>
      </c>
      <c r="E96" s="12" t="s">
        <v>120</v>
      </c>
      <c r="F96" s="12">
        <f>B50</f>
        <v>10</v>
      </c>
      <c r="G96" s="54">
        <v>0.36720000000000003</v>
      </c>
      <c r="H96" s="55">
        <v>0.70199999999999996</v>
      </c>
      <c r="I96" s="56"/>
      <c r="J96" s="57">
        <f t="shared" si="47"/>
        <v>0.3281</v>
      </c>
      <c r="K96" s="58">
        <f t="shared" si="48"/>
        <v>0.66486666666666661</v>
      </c>
      <c r="L96" s="56"/>
      <c r="M96" s="62">
        <f t="shared" si="49"/>
        <v>0.16188333333333335</v>
      </c>
      <c r="N96" s="56">
        <f t="shared" si="50"/>
        <v>11.488212633333333</v>
      </c>
      <c r="O96" s="58">
        <f t="shared" si="51"/>
        <v>22.976425266666666</v>
      </c>
      <c r="P96" s="56">
        <f t="shared" si="52"/>
        <v>2.2976425266666665</v>
      </c>
      <c r="Q96" s="57">
        <f>AVERAGE(P96:P98)</f>
        <v>2.1721509833333328</v>
      </c>
      <c r="R96" s="56">
        <f>STDEV(P96:P98)</f>
        <v>0.23950692070772506</v>
      </c>
      <c r="S96" s="58">
        <f>R96/Q96*100</f>
        <v>11.026255658351303</v>
      </c>
      <c r="T96" s="56"/>
    </row>
    <row r="97" spans="4:20" ht="14.4" customHeight="1" x14ac:dyDescent="0.3">
      <c r="D97" s="77"/>
      <c r="E97" s="17" t="s">
        <v>121</v>
      </c>
      <c r="F97" s="17">
        <f t="shared" si="45"/>
        <v>10</v>
      </c>
      <c r="G97" s="57">
        <v>0.36580000000000001</v>
      </c>
      <c r="H97" s="58">
        <v>0.68930000000000002</v>
      </c>
      <c r="I97" s="56"/>
      <c r="J97" s="57">
        <f t="shared" si="47"/>
        <v>0.32669999999999999</v>
      </c>
      <c r="K97" s="58">
        <f t="shared" si="48"/>
        <v>0.65216666666666667</v>
      </c>
      <c r="L97" s="56"/>
      <c r="M97" s="62">
        <f t="shared" si="49"/>
        <v>0.16365833333333332</v>
      </c>
      <c r="N97" s="56">
        <f t="shared" si="50"/>
        <v>11.614177283333332</v>
      </c>
      <c r="O97" s="58">
        <f t="shared" si="51"/>
        <v>23.228354566666663</v>
      </c>
      <c r="P97" s="56">
        <f t="shared" si="52"/>
        <v>2.3228354566666662</v>
      </c>
      <c r="Q97" s="57"/>
      <c r="R97" s="56"/>
      <c r="S97" s="58"/>
      <c r="T97" s="56"/>
    </row>
    <row r="98" spans="4:20" ht="14.4" customHeight="1" x14ac:dyDescent="0.3">
      <c r="D98" s="78"/>
      <c r="E98" s="22" t="s">
        <v>122</v>
      </c>
      <c r="F98" s="22">
        <f t="shared" si="46"/>
        <v>10</v>
      </c>
      <c r="G98" s="65">
        <v>0.33329999999999999</v>
      </c>
      <c r="H98" s="66">
        <v>0.67959999999999998</v>
      </c>
      <c r="I98" s="56"/>
      <c r="J98" s="65">
        <f t="shared" si="47"/>
        <v>0.29419999999999996</v>
      </c>
      <c r="K98" s="58">
        <f t="shared" si="48"/>
        <v>0.64246666666666663</v>
      </c>
      <c r="L98" s="56"/>
      <c r="M98" s="69">
        <f t="shared" si="49"/>
        <v>0.1335833333333333</v>
      </c>
      <c r="N98" s="56">
        <f t="shared" si="50"/>
        <v>9.47987483333333</v>
      </c>
      <c r="O98" s="58">
        <f t="shared" si="51"/>
        <v>18.95974966666666</v>
      </c>
      <c r="P98" s="70">
        <f t="shared" si="52"/>
        <v>1.8959749666666661</v>
      </c>
      <c r="Q98" s="65"/>
      <c r="R98" s="70"/>
      <c r="S98" s="66"/>
      <c r="T98" s="56"/>
    </row>
    <row r="99" spans="4:20" x14ac:dyDescent="0.3">
      <c r="N99" s="35"/>
    </row>
  </sheetData>
  <mergeCells count="31">
    <mergeCell ref="D96:D98"/>
    <mergeCell ref="D78:D80"/>
    <mergeCell ref="D81:D83"/>
    <mergeCell ref="D84:D86"/>
    <mergeCell ref="D87:D89"/>
    <mergeCell ref="D90:D92"/>
    <mergeCell ref="D93:D95"/>
    <mergeCell ref="D60:D62"/>
    <mergeCell ref="D63:D65"/>
    <mergeCell ref="D66:D68"/>
    <mergeCell ref="D69:D71"/>
    <mergeCell ref="D72:D74"/>
    <mergeCell ref="D75:D77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47D8-1572-4CD0-8582-9A357DAE6076}">
  <dimension ref="A1:X99"/>
  <sheetViews>
    <sheetView zoomScale="80" zoomScaleNormal="80" workbookViewId="0">
      <selection activeCell="H24" sqref="H24"/>
    </sheetView>
  </sheetViews>
  <sheetFormatPr defaultColWidth="8.88671875" defaultRowHeight="14.4" x14ac:dyDescent="0.3"/>
  <cols>
    <col min="1" max="1" width="10.5546875" bestFit="1" customWidth="1"/>
    <col min="2" max="2" width="9.109375" bestFit="1" customWidth="1"/>
    <col min="4" max="4" width="9.44140625" customWidth="1"/>
    <col min="5" max="5" width="10" customWidth="1"/>
    <col min="6" max="6" width="11.6640625" customWidth="1"/>
    <col min="7" max="7" width="12.5546875" customWidth="1"/>
    <col min="8" max="8" width="12.6640625" customWidth="1"/>
    <col min="10" max="11" width="9" customWidth="1"/>
    <col min="12" max="12" width="11.6640625" customWidth="1"/>
    <col min="13" max="13" width="9" customWidth="1"/>
    <col min="14" max="14" width="11.6640625" bestFit="1" customWidth="1"/>
    <col min="15" max="15" width="9" customWidth="1"/>
    <col min="16" max="16" width="9" bestFit="1" customWidth="1"/>
    <col min="17" max="17" width="10.88671875" customWidth="1"/>
    <col min="18" max="18" width="10.6640625" customWidth="1"/>
    <col min="19" max="19" width="9" bestFit="1" customWidth="1"/>
    <col min="20" max="20" width="9.5546875" bestFit="1" customWidth="1"/>
    <col min="21" max="21" width="9.5546875" customWidth="1"/>
  </cols>
  <sheetData>
    <row r="1" spans="5:17" x14ac:dyDescent="0.3">
      <c r="E1" s="79" t="s">
        <v>0</v>
      </c>
      <c r="F1" s="79"/>
      <c r="G1" s="79"/>
    </row>
    <row r="2" spans="5:17" x14ac:dyDescent="0.3">
      <c r="E2" s="79"/>
      <c r="F2" s="79"/>
      <c r="G2" s="79"/>
    </row>
    <row r="4" spans="5:17" ht="28.5" customHeight="1" x14ac:dyDescent="0.3">
      <c r="E4" s="1"/>
      <c r="F4" s="80" t="s">
        <v>1</v>
      </c>
      <c r="G4" s="81"/>
      <c r="I4" s="1"/>
      <c r="J4" s="80" t="s">
        <v>1</v>
      </c>
      <c r="K4" s="81"/>
      <c r="L4" s="2"/>
      <c r="M4" s="71" t="s">
        <v>2</v>
      </c>
      <c r="N4" s="72"/>
      <c r="O4" s="2"/>
      <c r="P4" s="82" t="s">
        <v>3</v>
      </c>
      <c r="Q4" s="83"/>
    </row>
    <row r="5" spans="5:17" ht="17.25" customHeight="1" x14ac:dyDescent="0.3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2" t="s">
        <v>1</v>
      </c>
      <c r="Q5" s="83"/>
    </row>
    <row r="6" spans="5:17" x14ac:dyDescent="0.3">
      <c r="E6" s="11" t="s">
        <v>8</v>
      </c>
      <c r="F6">
        <v>4.2000000000000003E-2</v>
      </c>
      <c r="G6">
        <v>3.8100000000000002E-2</v>
      </c>
      <c r="I6" s="13">
        <v>12.5</v>
      </c>
      <c r="J6" s="14">
        <f>AVERAGE(F9:F11)</f>
        <v>0.26476666666666665</v>
      </c>
      <c r="K6" s="15">
        <f>AVERAGE(G9:G11)</f>
        <v>3.6366666666666665E-2</v>
      </c>
      <c r="M6" s="14">
        <f>J6-$J$14</f>
        <v>0.22566666666666665</v>
      </c>
      <c r="N6" s="15">
        <f>K6-$K$14</f>
        <v>-7.666666666666655E-4</v>
      </c>
      <c r="P6" s="1" t="s">
        <v>5</v>
      </c>
      <c r="Q6" s="7" t="s">
        <v>7</v>
      </c>
    </row>
    <row r="7" spans="5:17" x14ac:dyDescent="0.3">
      <c r="E7" s="16" t="s">
        <v>9</v>
      </c>
      <c r="F7">
        <v>3.5799999999999998E-2</v>
      </c>
      <c r="G7">
        <v>3.49E-2</v>
      </c>
      <c r="I7" s="18">
        <v>25</v>
      </c>
      <c r="J7" s="19">
        <f>AVERAGE(F12:F14)</f>
        <v>0.56596666666666673</v>
      </c>
      <c r="K7" s="20">
        <f>AVERAGE(G12:G14)</f>
        <v>3.6399999999999995E-2</v>
      </c>
      <c r="M7" s="19">
        <f>J7-$J$14</f>
        <v>0.52686666666666671</v>
      </c>
      <c r="N7" s="20">
        <f>K7-$K$14</f>
        <v>-7.3333333333333584E-4</v>
      </c>
      <c r="P7" s="17">
        <f>M6</f>
        <v>0.22566666666666665</v>
      </c>
      <c r="Q7" s="12">
        <v>12.5</v>
      </c>
    </row>
    <row r="8" spans="5:17" x14ac:dyDescent="0.3">
      <c r="E8" s="21" t="s">
        <v>10</v>
      </c>
      <c r="F8">
        <v>3.95E-2</v>
      </c>
      <c r="G8">
        <v>3.8399999999999997E-2</v>
      </c>
      <c r="I8" s="18">
        <v>50</v>
      </c>
      <c r="J8" s="19">
        <f>AVERAGE(F15:F17)</f>
        <v>1.1274333333333333</v>
      </c>
      <c r="K8" s="20">
        <f>AVERAGE(G15:G17)</f>
        <v>3.7200000000000004E-2</v>
      </c>
      <c r="M8" s="19">
        <f>J8-$J$14</f>
        <v>1.0883333333333334</v>
      </c>
      <c r="N8" s="20">
        <f>K8-$K$14</f>
        <v>6.6666666666673202E-5</v>
      </c>
      <c r="P8" s="17">
        <f>M7</f>
        <v>0.52686666666666671</v>
      </c>
      <c r="Q8" s="17">
        <v>25</v>
      </c>
    </row>
    <row r="9" spans="5:17" x14ac:dyDescent="0.3">
      <c r="E9" s="11" t="s">
        <v>11</v>
      </c>
      <c r="F9">
        <v>0.31159999999999999</v>
      </c>
      <c r="G9">
        <v>3.56E-2</v>
      </c>
      <c r="I9" s="18">
        <v>100</v>
      </c>
      <c r="J9" s="19">
        <f>AVERAGE(F18:F20)</f>
        <v>1.7840999999999998</v>
      </c>
      <c r="K9" s="20">
        <f>AVERAGE(G18:G20)</f>
        <v>3.833333333333333E-2</v>
      </c>
      <c r="M9" s="19">
        <f>J9-$J$14</f>
        <v>1.7449999999999999</v>
      </c>
      <c r="N9" s="20">
        <f>K9-$K$14</f>
        <v>1.1999999999999997E-3</v>
      </c>
      <c r="P9" s="17">
        <f>M8</f>
        <v>1.0883333333333334</v>
      </c>
      <c r="Q9" s="17">
        <v>50</v>
      </c>
    </row>
    <row r="10" spans="5:17" x14ac:dyDescent="0.3">
      <c r="E10" s="16" t="s">
        <v>12</v>
      </c>
      <c r="F10">
        <v>0.17879999999999999</v>
      </c>
      <c r="G10">
        <v>3.6999999999999998E-2</v>
      </c>
      <c r="I10" s="23">
        <v>250</v>
      </c>
      <c r="J10" s="24">
        <f>AVERAGE(F21:F23)</f>
        <v>3.8068999999999997</v>
      </c>
      <c r="K10" s="25">
        <f>AVERAGE(G21:G23)</f>
        <v>3.5266666666666668E-2</v>
      </c>
      <c r="M10" s="19">
        <f>J10-$J$14</f>
        <v>3.7677999999999998</v>
      </c>
      <c r="N10" s="20">
        <f>K10-$K$14</f>
        <v>-1.8666666666666623E-3</v>
      </c>
      <c r="P10" s="17">
        <f>M9</f>
        <v>1.7449999999999999</v>
      </c>
      <c r="Q10" s="17">
        <v>100</v>
      </c>
    </row>
    <row r="11" spans="5:17" x14ac:dyDescent="0.3">
      <c r="E11" s="21" t="s">
        <v>13</v>
      </c>
      <c r="F11">
        <v>0.3039</v>
      </c>
      <c r="G11">
        <v>3.6499999999999998E-2</v>
      </c>
      <c r="I11" s="26" t="s">
        <v>14</v>
      </c>
      <c r="J11" s="13">
        <f t="shared" ref="J11:K13" si="0">F6</f>
        <v>4.2000000000000003E-2</v>
      </c>
      <c r="K11" s="27">
        <f t="shared" si="0"/>
        <v>3.8100000000000002E-2</v>
      </c>
      <c r="M11" s="23"/>
      <c r="N11" s="28"/>
      <c r="P11" s="22">
        <f>M10</f>
        <v>3.7677999999999998</v>
      </c>
      <c r="Q11" s="22">
        <v>250</v>
      </c>
    </row>
    <row r="12" spans="5:17" x14ac:dyDescent="0.3">
      <c r="E12" s="11" t="s">
        <v>15</v>
      </c>
      <c r="F12">
        <v>0.55330000000000001</v>
      </c>
      <c r="G12">
        <v>3.5499999999999997E-2</v>
      </c>
      <c r="I12" s="29" t="s">
        <v>14</v>
      </c>
      <c r="J12" s="18">
        <f t="shared" si="0"/>
        <v>3.5799999999999998E-2</v>
      </c>
      <c r="K12" s="30">
        <f t="shared" si="0"/>
        <v>3.49E-2</v>
      </c>
    </row>
    <row r="13" spans="5:17" x14ac:dyDescent="0.3">
      <c r="E13" s="16" t="s">
        <v>16</v>
      </c>
      <c r="F13">
        <v>0.54720000000000002</v>
      </c>
      <c r="G13">
        <v>3.7400000000000003E-2</v>
      </c>
      <c r="I13" s="31" t="s">
        <v>14</v>
      </c>
      <c r="J13" s="23">
        <f t="shared" si="0"/>
        <v>3.95E-2</v>
      </c>
      <c r="K13" s="28">
        <f t="shared" si="0"/>
        <v>3.8399999999999997E-2</v>
      </c>
    </row>
    <row r="14" spans="5:17" x14ac:dyDescent="0.3">
      <c r="E14" s="21" t="s">
        <v>17</v>
      </c>
      <c r="F14">
        <v>0.59740000000000004</v>
      </c>
      <c r="G14">
        <v>3.6299999999999999E-2</v>
      </c>
      <c r="I14" s="32" t="s">
        <v>18</v>
      </c>
      <c r="J14" s="33">
        <f>AVERAGE(J11:J13)</f>
        <v>3.9100000000000003E-2</v>
      </c>
      <c r="K14" s="34">
        <f>AVERAGE(K11:K13)</f>
        <v>3.7133333333333331E-2</v>
      </c>
    </row>
    <row r="15" spans="5:17" x14ac:dyDescent="0.3">
      <c r="E15" s="11" t="s">
        <v>19</v>
      </c>
      <c r="F15">
        <v>1.2909999999999999</v>
      </c>
      <c r="G15">
        <v>3.8300000000000001E-2</v>
      </c>
      <c r="M15" s="13" t="s">
        <v>20</v>
      </c>
      <c r="N15" s="35"/>
      <c r="O15" s="27"/>
    </row>
    <row r="16" spans="5:17" x14ac:dyDescent="0.3">
      <c r="E16" s="16" t="s">
        <v>21</v>
      </c>
      <c r="F16">
        <v>1.0270999999999999</v>
      </c>
      <c r="G16">
        <v>3.6799999999999999E-2</v>
      </c>
      <c r="M16" s="18" t="s">
        <v>22</v>
      </c>
      <c r="O16" s="30"/>
    </row>
    <row r="17" spans="1:24" x14ac:dyDescent="0.3">
      <c r="E17" s="21" t="s">
        <v>23</v>
      </c>
      <c r="F17">
        <v>1.0642</v>
      </c>
      <c r="G17">
        <v>3.6499999999999998E-2</v>
      </c>
      <c r="M17" s="23" t="s">
        <v>24</v>
      </c>
      <c r="N17" s="36"/>
      <c r="O17" s="28"/>
    </row>
    <row r="18" spans="1:24" x14ac:dyDescent="0.3">
      <c r="E18" s="11" t="s">
        <v>25</v>
      </c>
      <c r="F18">
        <v>2.1677</v>
      </c>
      <c r="G18">
        <v>4.1599999999999998E-2</v>
      </c>
      <c r="I18" s="82" t="s">
        <v>26</v>
      </c>
      <c r="J18" s="84"/>
      <c r="K18" s="83"/>
      <c r="W18" s="37"/>
      <c r="X18" s="37"/>
    </row>
    <row r="19" spans="1:24" ht="15.6" x14ac:dyDescent="0.3">
      <c r="E19" s="16" t="s">
        <v>27</v>
      </c>
      <c r="F19">
        <v>1.1813</v>
      </c>
      <c r="G19">
        <v>3.78E-2</v>
      </c>
      <c r="I19" s="38" t="s">
        <v>28</v>
      </c>
      <c r="J19" s="36"/>
      <c r="K19" s="28"/>
    </row>
    <row r="20" spans="1:24" x14ac:dyDescent="0.3">
      <c r="E20" s="21" t="s">
        <v>29</v>
      </c>
      <c r="F20">
        <v>2.0032999999999999</v>
      </c>
      <c r="G20">
        <v>3.56E-2</v>
      </c>
      <c r="U20" s="37"/>
      <c r="V20" s="37"/>
    </row>
    <row r="21" spans="1:24" x14ac:dyDescent="0.3">
      <c r="E21" s="11" t="s">
        <v>30</v>
      </c>
      <c r="F21">
        <v>3.8005</v>
      </c>
      <c r="G21">
        <v>3.4299999999999997E-2</v>
      </c>
      <c r="U21" s="37"/>
      <c r="V21" s="37"/>
    </row>
    <row r="22" spans="1:24" x14ac:dyDescent="0.3">
      <c r="E22" s="16" t="s">
        <v>31</v>
      </c>
      <c r="F22" s="39" t="s">
        <v>123</v>
      </c>
      <c r="G22">
        <v>3.4799999999999998E-2</v>
      </c>
      <c r="U22" s="37"/>
      <c r="V22" s="37"/>
    </row>
    <row r="23" spans="1:24" x14ac:dyDescent="0.3">
      <c r="E23" s="21" t="s">
        <v>32</v>
      </c>
      <c r="F23">
        <v>3.8132999999999999</v>
      </c>
      <c r="G23">
        <v>3.6700000000000003E-2</v>
      </c>
      <c r="U23" s="37"/>
      <c r="V23" s="37"/>
    </row>
    <row r="24" spans="1:24" x14ac:dyDescent="0.3">
      <c r="E24" s="39"/>
      <c r="V24" s="37"/>
      <c r="W24" s="37"/>
    </row>
    <row r="25" spans="1:24" ht="31.5" customHeight="1" x14ac:dyDescent="0.3">
      <c r="A25" s="85" t="s">
        <v>33</v>
      </c>
      <c r="B25" s="86"/>
      <c r="J25" s="36"/>
      <c r="K25" s="36"/>
      <c r="M25" s="73"/>
      <c r="N25" s="41" t="s">
        <v>34</v>
      </c>
      <c r="O25" s="42" t="s">
        <v>124</v>
      </c>
      <c r="P25" s="75" t="s">
        <v>35</v>
      </c>
      <c r="Q25" s="71" t="s">
        <v>36</v>
      </c>
      <c r="R25" s="75" t="s">
        <v>37</v>
      </c>
      <c r="S25" s="74" t="s">
        <v>37</v>
      </c>
      <c r="T25" s="72" t="s">
        <v>38</v>
      </c>
      <c r="U25" s="6" t="s">
        <v>36</v>
      </c>
      <c r="V25" s="37"/>
    </row>
    <row r="26" spans="1:24" ht="30.75" customHeight="1" x14ac:dyDescent="0.3">
      <c r="A26" s="45" t="s">
        <v>39</v>
      </c>
      <c r="B26" s="1" t="s">
        <v>40</v>
      </c>
      <c r="D26" s="46" t="s">
        <v>38</v>
      </c>
      <c r="E26" s="46" t="s">
        <v>41</v>
      </c>
      <c r="F26" s="47" t="s">
        <v>42</v>
      </c>
      <c r="G26" s="47" t="s">
        <v>5</v>
      </c>
      <c r="H26" s="47" t="s">
        <v>6</v>
      </c>
      <c r="I26" s="48"/>
      <c r="J26" s="49" t="s">
        <v>43</v>
      </c>
      <c r="K26" s="50" t="s">
        <v>44</v>
      </c>
      <c r="M26" s="47" t="s">
        <v>45</v>
      </c>
      <c r="N26" s="51" t="s">
        <v>46</v>
      </c>
      <c r="O26" s="52" t="s">
        <v>47</v>
      </c>
      <c r="P26" s="53" t="s">
        <v>48</v>
      </c>
      <c r="Q26" s="71" t="s">
        <v>49</v>
      </c>
      <c r="R26" s="41" t="s">
        <v>49</v>
      </c>
      <c r="S26" s="74" t="s">
        <v>50</v>
      </c>
      <c r="T26" s="74"/>
      <c r="U26" s="6" t="s">
        <v>49</v>
      </c>
      <c r="V26" s="37"/>
    </row>
    <row r="27" spans="1:24" ht="15" customHeight="1" x14ac:dyDescent="0.3">
      <c r="A27" s="18">
        <v>1</v>
      </c>
      <c r="B27" s="30">
        <v>10</v>
      </c>
      <c r="D27" s="76">
        <f>A27</f>
        <v>1</v>
      </c>
      <c r="E27" s="12" t="s">
        <v>51</v>
      </c>
      <c r="F27" s="12">
        <f>B27</f>
        <v>10</v>
      </c>
      <c r="G27" s="54">
        <v>0.22420000000000001</v>
      </c>
      <c r="H27" s="55">
        <v>0.68049999999999999</v>
      </c>
      <c r="I27" s="56"/>
      <c r="J27" s="57">
        <f t="shared" ref="J27:J90" si="1">G27-$J$14</f>
        <v>0.18510000000000001</v>
      </c>
      <c r="K27" s="58">
        <f t="shared" ref="K27:K90" si="2">H27-$K$14</f>
        <v>0.64336666666666664</v>
      </c>
      <c r="L27" s="56"/>
      <c r="M27" s="59">
        <f>J27-(0.25*K27)</f>
        <v>2.4258333333333354E-2</v>
      </c>
      <c r="N27" s="56">
        <f>M27*70.966</f>
        <v>1.7215168833333347</v>
      </c>
      <c r="O27" s="58">
        <f>N27*2</f>
        <v>3.4430337666666695</v>
      </c>
      <c r="P27" s="56">
        <f>O27/F27</f>
        <v>0.34430337666666694</v>
      </c>
      <c r="Q27" s="57">
        <f>AVERAGE(P27:P29)</f>
        <v>1.3021078233333332</v>
      </c>
      <c r="R27" s="56">
        <f>STDEV(P27:P29)</f>
        <v>0.84693129346375728</v>
      </c>
      <c r="S27" s="58">
        <f>R27/Q27*100</f>
        <v>65.043099986578227</v>
      </c>
      <c r="T27" s="60">
        <f>D27</f>
        <v>1</v>
      </c>
      <c r="U27" s="61">
        <f>Q27</f>
        <v>1.3021078233333332</v>
      </c>
      <c r="V27" s="37"/>
    </row>
    <row r="28" spans="1:24" ht="14.4" customHeight="1" x14ac:dyDescent="0.3">
      <c r="A28" s="18">
        <v>2</v>
      </c>
      <c r="B28" s="30">
        <v>10</v>
      </c>
      <c r="D28" s="77"/>
      <c r="E28" s="17" t="s">
        <v>52</v>
      </c>
      <c r="F28" s="17">
        <f>F27</f>
        <v>10</v>
      </c>
      <c r="G28" s="57">
        <v>0.32040000000000002</v>
      </c>
      <c r="H28" s="58">
        <v>0.61219999999999997</v>
      </c>
      <c r="I28" s="56"/>
      <c r="J28" s="57">
        <f t="shared" si="1"/>
        <v>0.28129999999999999</v>
      </c>
      <c r="K28" s="58">
        <f t="shared" si="2"/>
        <v>0.57506666666666661</v>
      </c>
      <c r="L28" s="56"/>
      <c r="M28" s="62">
        <f t="shared" ref="M28:M91" si="3">J28-(0.25*K28)</f>
        <v>0.13753333333333334</v>
      </c>
      <c r="N28" s="56">
        <f t="shared" ref="N28:N91" si="4">M28*70.966</f>
        <v>9.7601905333333328</v>
      </c>
      <c r="O28" s="58">
        <f t="shared" ref="O28:O91" si="5">N28*2</f>
        <v>19.520381066666666</v>
      </c>
      <c r="P28" s="56">
        <f t="shared" ref="P28:P91" si="6">O28/F28</f>
        <v>1.9520381066666666</v>
      </c>
      <c r="Q28" s="57"/>
      <c r="R28" s="56"/>
      <c r="S28" s="58"/>
      <c r="T28" s="63">
        <f>D30</f>
        <v>2</v>
      </c>
      <c r="U28" s="64">
        <f>Q30</f>
        <v>2.2033760233333326</v>
      </c>
    </row>
    <row r="29" spans="1:24" ht="14.4" customHeight="1" x14ac:dyDescent="0.3">
      <c r="A29" s="18">
        <v>3</v>
      </c>
      <c r="B29" s="30">
        <v>10</v>
      </c>
      <c r="D29" s="78"/>
      <c r="E29" s="22" t="s">
        <v>53</v>
      </c>
      <c r="F29" s="22">
        <f>F27</f>
        <v>10</v>
      </c>
      <c r="G29" s="65">
        <v>0.3019</v>
      </c>
      <c r="H29" s="66">
        <v>0.63460000000000005</v>
      </c>
      <c r="I29" s="56"/>
      <c r="J29" s="57">
        <f t="shared" si="1"/>
        <v>0.26279999999999998</v>
      </c>
      <c r="K29" s="58">
        <f t="shared" si="2"/>
        <v>0.5974666666666667</v>
      </c>
      <c r="L29" s="56"/>
      <c r="M29" s="62">
        <f t="shared" si="3"/>
        <v>0.1134333333333333</v>
      </c>
      <c r="N29" s="56">
        <f t="shared" si="4"/>
        <v>8.0499099333333302</v>
      </c>
      <c r="O29" s="58">
        <f t="shared" si="5"/>
        <v>16.09981986666666</v>
      </c>
      <c r="P29" s="56">
        <f t="shared" si="6"/>
        <v>1.609981986666666</v>
      </c>
      <c r="Q29" s="57"/>
      <c r="R29" s="56"/>
      <c r="S29" s="58"/>
      <c r="T29" s="63">
        <f>D33</f>
        <v>3</v>
      </c>
      <c r="U29" s="64">
        <f>Q33</f>
        <v>2.3020187633333333</v>
      </c>
    </row>
    <row r="30" spans="1:24" ht="14.4" customHeight="1" x14ac:dyDescent="0.3">
      <c r="A30" s="18">
        <v>4</v>
      </c>
      <c r="B30" s="30">
        <v>10</v>
      </c>
      <c r="D30" s="76">
        <f>A28</f>
        <v>2</v>
      </c>
      <c r="E30" s="12" t="s">
        <v>54</v>
      </c>
      <c r="F30" s="12">
        <f>B28</f>
        <v>10</v>
      </c>
      <c r="G30" s="54">
        <v>0.34560000000000002</v>
      </c>
      <c r="H30" s="55">
        <v>0.64859999999999995</v>
      </c>
      <c r="I30" s="56"/>
      <c r="J30" s="57">
        <f t="shared" si="1"/>
        <v>0.30649999999999999</v>
      </c>
      <c r="K30" s="58">
        <f t="shared" si="2"/>
        <v>0.6114666666666666</v>
      </c>
      <c r="L30" s="56"/>
      <c r="M30" s="62">
        <f t="shared" si="3"/>
        <v>0.15363333333333334</v>
      </c>
      <c r="N30" s="56">
        <f t="shared" si="4"/>
        <v>10.902743133333333</v>
      </c>
      <c r="O30" s="58">
        <f t="shared" si="5"/>
        <v>21.805486266666666</v>
      </c>
      <c r="P30" s="56">
        <f t="shared" si="6"/>
        <v>2.1805486266666665</v>
      </c>
      <c r="Q30" s="57">
        <f>AVERAGE(P30:P32)</f>
        <v>2.2033760233333326</v>
      </c>
      <c r="R30" s="56">
        <f>STDEV(P30:P32)</f>
        <v>0.27658772794727965</v>
      </c>
      <c r="S30" s="58">
        <f>R30/Q30*100</f>
        <v>12.55290631368719</v>
      </c>
      <c r="T30" s="63">
        <f>D36</f>
        <v>4</v>
      </c>
      <c r="U30" s="64">
        <f>Q36</f>
        <v>1.6137668399999996</v>
      </c>
    </row>
    <row r="31" spans="1:24" ht="14.4" customHeight="1" x14ac:dyDescent="0.3">
      <c r="A31" s="18">
        <v>5</v>
      </c>
      <c r="B31" s="30">
        <v>10</v>
      </c>
      <c r="D31" s="77"/>
      <c r="E31" s="17" t="s">
        <v>55</v>
      </c>
      <c r="F31" s="17">
        <f t="shared" ref="F31" si="7">F30</f>
        <v>10</v>
      </c>
      <c r="G31" s="57">
        <v>0.32819999999999999</v>
      </c>
      <c r="H31" s="58">
        <v>0.64710000000000001</v>
      </c>
      <c r="I31" s="56"/>
      <c r="J31" s="57">
        <f t="shared" si="1"/>
        <v>0.28909999999999997</v>
      </c>
      <c r="K31" s="58">
        <f t="shared" si="2"/>
        <v>0.60996666666666666</v>
      </c>
      <c r="L31" s="56"/>
      <c r="M31" s="62">
        <f t="shared" si="3"/>
        <v>0.1366083333333333</v>
      </c>
      <c r="N31" s="56">
        <f t="shared" si="4"/>
        <v>9.6945469833333302</v>
      </c>
      <c r="O31" s="58">
        <f t="shared" si="5"/>
        <v>19.38909396666666</v>
      </c>
      <c r="P31" s="56">
        <f t="shared" si="6"/>
        <v>1.938909396666666</v>
      </c>
      <c r="Q31" s="57"/>
      <c r="R31" s="56"/>
      <c r="S31" s="58"/>
      <c r="T31" s="63">
        <f>D39</f>
        <v>5</v>
      </c>
      <c r="U31" s="64">
        <f>Q39</f>
        <v>1.0577482299999996</v>
      </c>
    </row>
    <row r="32" spans="1:24" ht="14.4" customHeight="1" x14ac:dyDescent="0.3">
      <c r="A32" s="18">
        <v>6</v>
      </c>
      <c r="B32" s="30">
        <v>10</v>
      </c>
      <c r="D32" s="78"/>
      <c r="E32" s="22" t="s">
        <v>56</v>
      </c>
      <c r="F32" s="22">
        <f t="shared" ref="F32" si="8">F30</f>
        <v>10</v>
      </c>
      <c r="G32" s="65">
        <v>0.36899999999999999</v>
      </c>
      <c r="H32" s="66">
        <v>0.65480000000000005</v>
      </c>
      <c r="I32" s="56"/>
      <c r="J32" s="57">
        <f t="shared" si="1"/>
        <v>0.32989999999999997</v>
      </c>
      <c r="K32" s="58">
        <f t="shared" si="2"/>
        <v>0.6176666666666667</v>
      </c>
      <c r="L32" s="56"/>
      <c r="M32" s="62">
        <f t="shared" si="3"/>
        <v>0.1754833333333333</v>
      </c>
      <c r="N32" s="56">
        <f t="shared" si="4"/>
        <v>12.45335023333333</v>
      </c>
      <c r="O32" s="58">
        <f t="shared" si="5"/>
        <v>24.90670046666666</v>
      </c>
      <c r="P32" s="56">
        <f t="shared" si="6"/>
        <v>2.4906700466666658</v>
      </c>
      <c r="Q32" s="57"/>
      <c r="R32" s="56"/>
      <c r="S32" s="58"/>
      <c r="T32" s="63">
        <f>D42</f>
        <v>6</v>
      </c>
      <c r="U32" s="64">
        <f>Q42</f>
        <v>1.6788190066666662</v>
      </c>
    </row>
    <row r="33" spans="1:21" ht="14.4" customHeight="1" x14ac:dyDescent="0.3">
      <c r="A33" s="18">
        <v>7</v>
      </c>
      <c r="B33" s="30">
        <v>10</v>
      </c>
      <c r="D33" s="76">
        <f>A29</f>
        <v>3</v>
      </c>
      <c r="E33" s="12" t="s">
        <v>57</v>
      </c>
      <c r="F33" s="12">
        <f>B29</f>
        <v>10</v>
      </c>
      <c r="G33" s="54">
        <v>0.35880000000000001</v>
      </c>
      <c r="H33" s="55">
        <v>0.66449999999999998</v>
      </c>
      <c r="I33" s="56"/>
      <c r="J33" s="57">
        <f t="shared" si="1"/>
        <v>0.31969999999999998</v>
      </c>
      <c r="K33" s="58">
        <f t="shared" si="2"/>
        <v>0.62736666666666663</v>
      </c>
      <c r="L33" s="56"/>
      <c r="M33" s="62">
        <f t="shared" si="3"/>
        <v>0.16285833333333333</v>
      </c>
      <c r="N33" s="56">
        <f t="shared" si="4"/>
        <v>11.557404483333332</v>
      </c>
      <c r="O33" s="58">
        <f t="shared" si="5"/>
        <v>23.114808966666665</v>
      </c>
      <c r="P33" s="56">
        <f t="shared" si="6"/>
        <v>2.3114808966666667</v>
      </c>
      <c r="Q33" s="57">
        <f>AVERAGE(P33:P35)</f>
        <v>2.3020187633333333</v>
      </c>
      <c r="R33" s="56">
        <f>STDEV(P33:P35)</f>
        <v>7.1790039471379699E-2</v>
      </c>
      <c r="S33" s="58">
        <f>R33/Q33*100</f>
        <v>3.1185688238017399</v>
      </c>
      <c r="T33" s="63">
        <f>D45</f>
        <v>7</v>
      </c>
      <c r="U33" s="64">
        <f>Q45</f>
        <v>2.2822665600000001</v>
      </c>
    </row>
    <row r="34" spans="1:21" ht="14.4" customHeight="1" x14ac:dyDescent="0.3">
      <c r="A34" s="18">
        <v>8</v>
      </c>
      <c r="B34" s="30">
        <v>10</v>
      </c>
      <c r="D34" s="77"/>
      <c r="E34" s="17" t="s">
        <v>58</v>
      </c>
      <c r="F34" s="17">
        <f t="shared" ref="F34" si="9">F33</f>
        <v>10</v>
      </c>
      <c r="G34" s="57">
        <v>0.36130000000000001</v>
      </c>
      <c r="H34" s="58">
        <v>0.65839999999999999</v>
      </c>
      <c r="I34" s="56"/>
      <c r="J34" s="57">
        <f t="shared" si="1"/>
        <v>0.32219999999999999</v>
      </c>
      <c r="K34" s="58">
        <f t="shared" si="2"/>
        <v>0.62126666666666663</v>
      </c>
      <c r="L34" s="56"/>
      <c r="M34" s="62">
        <f t="shared" si="3"/>
        <v>0.16688333333333333</v>
      </c>
      <c r="N34" s="56">
        <f t="shared" si="4"/>
        <v>11.843042633333331</v>
      </c>
      <c r="O34" s="58">
        <f t="shared" si="5"/>
        <v>23.686085266666662</v>
      </c>
      <c r="P34" s="56">
        <f t="shared" si="6"/>
        <v>2.3686085266666663</v>
      </c>
      <c r="Q34" s="57"/>
      <c r="R34" s="56"/>
      <c r="S34" s="58"/>
      <c r="T34" s="63">
        <f>D48</f>
        <v>8</v>
      </c>
      <c r="U34" s="64">
        <f>Q48</f>
        <v>2.1300444899999995</v>
      </c>
    </row>
    <row r="35" spans="1:21" ht="14.4" customHeight="1" x14ac:dyDescent="0.3">
      <c r="A35" s="18">
        <v>9</v>
      </c>
      <c r="B35" s="30">
        <v>10</v>
      </c>
      <c r="D35" s="78"/>
      <c r="E35" s="22" t="s">
        <v>59</v>
      </c>
      <c r="F35" s="22">
        <f t="shared" ref="F35" si="10">F33</f>
        <v>10</v>
      </c>
      <c r="G35" s="65">
        <v>0.35639999999999999</v>
      </c>
      <c r="H35" s="66">
        <v>0.67900000000000005</v>
      </c>
      <c r="I35" s="56"/>
      <c r="J35" s="57">
        <f t="shared" si="1"/>
        <v>0.31729999999999997</v>
      </c>
      <c r="K35" s="58">
        <f t="shared" si="2"/>
        <v>0.6418666666666667</v>
      </c>
      <c r="L35" s="56"/>
      <c r="M35" s="62">
        <f t="shared" si="3"/>
        <v>0.1568333333333333</v>
      </c>
      <c r="N35" s="56">
        <f t="shared" si="4"/>
        <v>11.12983433333333</v>
      </c>
      <c r="O35" s="58">
        <f t="shared" si="5"/>
        <v>22.259668666666659</v>
      </c>
      <c r="P35" s="56">
        <f t="shared" si="6"/>
        <v>2.2259668666666661</v>
      </c>
      <c r="Q35" s="57"/>
      <c r="R35" s="56"/>
      <c r="S35" s="58"/>
      <c r="T35" s="63">
        <f>D51</f>
        <v>9</v>
      </c>
      <c r="U35" s="64">
        <f>Q51</f>
        <v>1.9344148833333328</v>
      </c>
    </row>
    <row r="36" spans="1:21" ht="14.4" customHeight="1" x14ac:dyDescent="0.3">
      <c r="A36" s="18">
        <v>10</v>
      </c>
      <c r="B36" s="30">
        <v>10</v>
      </c>
      <c r="D36" s="76">
        <f>A30</f>
        <v>4</v>
      </c>
      <c r="E36" s="12" t="s">
        <v>60</v>
      </c>
      <c r="F36" s="12">
        <f>B30</f>
        <v>10</v>
      </c>
      <c r="G36" s="54">
        <v>0.28100000000000003</v>
      </c>
      <c r="H36" s="55">
        <v>0.62529999999999997</v>
      </c>
      <c r="I36" s="56"/>
      <c r="J36" s="57">
        <f t="shared" si="1"/>
        <v>0.24190000000000003</v>
      </c>
      <c r="K36" s="58">
        <f t="shared" si="2"/>
        <v>0.58816666666666662</v>
      </c>
      <c r="L36" s="56"/>
      <c r="M36" s="62">
        <f t="shared" si="3"/>
        <v>9.4858333333333378E-2</v>
      </c>
      <c r="N36" s="56">
        <f t="shared" si="4"/>
        <v>6.7317164833333356</v>
      </c>
      <c r="O36" s="58">
        <f t="shared" si="5"/>
        <v>13.463432966666671</v>
      </c>
      <c r="P36" s="56">
        <f t="shared" si="6"/>
        <v>1.3463432966666671</v>
      </c>
      <c r="Q36" s="57">
        <f>AVERAGE(P36:P38)</f>
        <v>1.6137668399999996</v>
      </c>
      <c r="R36" s="56">
        <f>STDEV(P36:P38)</f>
        <v>0.27724017868083684</v>
      </c>
      <c r="S36" s="58">
        <f>R36/Q36*100</f>
        <v>17.179692369985549</v>
      </c>
      <c r="T36" s="63">
        <f>D54</f>
        <v>10</v>
      </c>
      <c r="U36" s="64">
        <f>Q54</f>
        <v>1.6266589966666665</v>
      </c>
    </row>
    <row r="37" spans="1:21" ht="14.4" customHeight="1" x14ac:dyDescent="0.3">
      <c r="A37" s="18">
        <v>11</v>
      </c>
      <c r="B37" s="30">
        <v>10</v>
      </c>
      <c r="D37" s="77"/>
      <c r="E37" s="17" t="s">
        <v>61</v>
      </c>
      <c r="F37" s="17">
        <f t="shared" ref="F37" si="11">F36</f>
        <v>10</v>
      </c>
      <c r="G37" s="57">
        <v>0.29089999999999999</v>
      </c>
      <c r="H37" s="58">
        <v>0.5948</v>
      </c>
      <c r="I37" s="56"/>
      <c r="J37" s="57">
        <f t="shared" si="1"/>
        <v>0.25179999999999997</v>
      </c>
      <c r="K37" s="58">
        <f t="shared" si="2"/>
        <v>0.55766666666666664</v>
      </c>
      <c r="L37" s="56"/>
      <c r="M37" s="62">
        <f t="shared" si="3"/>
        <v>0.11238333333333331</v>
      </c>
      <c r="N37" s="56">
        <f t="shared" si="4"/>
        <v>7.9753956333333305</v>
      </c>
      <c r="O37" s="58">
        <f t="shared" si="5"/>
        <v>15.950791266666661</v>
      </c>
      <c r="P37" s="56">
        <f t="shared" si="6"/>
        <v>1.5950791266666662</v>
      </c>
      <c r="Q37" s="57"/>
      <c r="R37" s="56"/>
      <c r="S37" s="58"/>
      <c r="T37" s="63">
        <f>D57</f>
        <v>11</v>
      </c>
      <c r="U37" s="64">
        <f>Q57</f>
        <v>0.13483539999999991</v>
      </c>
    </row>
    <row r="38" spans="1:21" ht="14.4" customHeight="1" x14ac:dyDescent="0.3">
      <c r="A38" s="18">
        <v>12</v>
      </c>
      <c r="B38" s="30">
        <v>10</v>
      </c>
      <c r="D38" s="78"/>
      <c r="E38" s="22" t="s">
        <v>62</v>
      </c>
      <c r="F38" s="22">
        <f t="shared" ref="F38" si="12">F36</f>
        <v>10</v>
      </c>
      <c r="G38" s="65">
        <v>0.31359999999999999</v>
      </c>
      <c r="H38" s="66">
        <v>0.59970000000000001</v>
      </c>
      <c r="I38" s="56"/>
      <c r="J38" s="57">
        <f t="shared" si="1"/>
        <v>0.27449999999999997</v>
      </c>
      <c r="K38" s="58">
        <f t="shared" si="2"/>
        <v>0.56256666666666666</v>
      </c>
      <c r="L38" s="56"/>
      <c r="M38" s="62">
        <f t="shared" si="3"/>
        <v>0.1338583333333333</v>
      </c>
      <c r="N38" s="56">
        <f t="shared" si="4"/>
        <v>9.4993904833333307</v>
      </c>
      <c r="O38" s="58">
        <f t="shared" si="5"/>
        <v>18.998780966666661</v>
      </c>
      <c r="P38" s="56">
        <f t="shared" si="6"/>
        <v>1.8998780966666662</v>
      </c>
      <c r="Q38" s="57"/>
      <c r="R38" s="56"/>
      <c r="S38" s="58"/>
      <c r="T38" s="63">
        <f>D60</f>
        <v>12</v>
      </c>
      <c r="U38" s="64">
        <f>Q60</f>
        <v>0.13010433333333329</v>
      </c>
    </row>
    <row r="39" spans="1:21" ht="14.4" customHeight="1" x14ac:dyDescent="0.3">
      <c r="A39" s="18">
        <v>13</v>
      </c>
      <c r="B39" s="30">
        <v>10</v>
      </c>
      <c r="D39" s="76">
        <f>A31</f>
        <v>5</v>
      </c>
      <c r="E39" s="12" t="s">
        <v>63</v>
      </c>
      <c r="F39" s="12">
        <f>B31</f>
        <v>10</v>
      </c>
      <c r="G39" s="54">
        <v>0.29799999999999999</v>
      </c>
      <c r="H39" s="55">
        <v>0.61119999999999997</v>
      </c>
      <c r="I39" s="56"/>
      <c r="J39" s="57">
        <f t="shared" si="1"/>
        <v>0.25889999999999996</v>
      </c>
      <c r="K39" s="58">
        <f t="shared" si="2"/>
        <v>0.57406666666666661</v>
      </c>
      <c r="L39" s="56"/>
      <c r="M39" s="62">
        <f t="shared" si="3"/>
        <v>0.11538333333333331</v>
      </c>
      <c r="N39" s="56">
        <f t="shared" si="4"/>
        <v>8.1882936333333305</v>
      </c>
      <c r="O39" s="58">
        <f t="shared" si="5"/>
        <v>16.376587266666661</v>
      </c>
      <c r="P39" s="56">
        <f t="shared" si="6"/>
        <v>1.637658726666666</v>
      </c>
      <c r="Q39" s="57">
        <f>AVERAGE(P39:P41)</f>
        <v>1.0577482299999996</v>
      </c>
      <c r="R39" s="56">
        <f>STDEV(P39:P41)</f>
        <v>0.90050138045091344</v>
      </c>
      <c r="S39" s="58">
        <f>R39/Q39*100</f>
        <v>85.133811138678411</v>
      </c>
      <c r="T39" s="63">
        <f>D63</f>
        <v>13</v>
      </c>
      <c r="U39" s="64">
        <f>Q63</f>
        <v>1.5554564433333331</v>
      </c>
    </row>
    <row r="40" spans="1:21" ht="14.4" customHeight="1" x14ac:dyDescent="0.3">
      <c r="A40" s="18">
        <v>14</v>
      </c>
      <c r="B40" s="30">
        <v>10</v>
      </c>
      <c r="D40" s="77"/>
      <c r="E40" s="17" t="s">
        <v>64</v>
      </c>
      <c r="F40" s="17">
        <f t="shared" ref="F40" si="13">F39</f>
        <v>10</v>
      </c>
      <c r="G40" s="57">
        <v>0.20399999999999999</v>
      </c>
      <c r="H40" s="58">
        <v>0.69099999999999995</v>
      </c>
      <c r="I40" s="56"/>
      <c r="J40" s="57">
        <f t="shared" si="1"/>
        <v>0.16489999999999999</v>
      </c>
      <c r="K40" s="58">
        <f t="shared" si="2"/>
        <v>0.6538666666666666</v>
      </c>
      <c r="L40" s="56"/>
      <c r="M40" s="62">
        <f t="shared" si="3"/>
        <v>1.433333333333342E-3</v>
      </c>
      <c r="N40" s="56">
        <f t="shared" si="4"/>
        <v>0.10171793333333394</v>
      </c>
      <c r="O40" s="58">
        <f t="shared" si="5"/>
        <v>0.20343586666666788</v>
      </c>
      <c r="P40" s="56">
        <f t="shared" si="6"/>
        <v>2.0343586666666788E-2</v>
      </c>
      <c r="Q40" s="57"/>
      <c r="R40" s="56"/>
      <c r="S40" s="58"/>
      <c r="T40" s="63">
        <f>D66</f>
        <v>14</v>
      </c>
      <c r="U40" s="64">
        <f>Q66</f>
        <v>2.29894357</v>
      </c>
    </row>
    <row r="41" spans="1:21" ht="14.4" customHeight="1" x14ac:dyDescent="0.3">
      <c r="A41" s="18">
        <v>15</v>
      </c>
      <c r="B41" s="30">
        <v>10</v>
      </c>
      <c r="D41" s="78"/>
      <c r="E41" s="22" t="s">
        <v>65</v>
      </c>
      <c r="F41" s="22">
        <f t="shared" ref="F41" si="14">F39</f>
        <v>10</v>
      </c>
      <c r="G41" s="65">
        <v>0.28799999999999998</v>
      </c>
      <c r="H41" s="66">
        <v>0.60570000000000002</v>
      </c>
      <c r="I41" s="56"/>
      <c r="J41" s="57">
        <f t="shared" si="1"/>
        <v>0.24889999999999998</v>
      </c>
      <c r="K41" s="58">
        <f t="shared" si="2"/>
        <v>0.56856666666666666</v>
      </c>
      <c r="L41" s="56"/>
      <c r="M41" s="62">
        <f t="shared" si="3"/>
        <v>0.10675833333333332</v>
      </c>
      <c r="N41" s="56">
        <f t="shared" si="4"/>
        <v>7.5762118833333316</v>
      </c>
      <c r="O41" s="58">
        <f t="shared" si="5"/>
        <v>15.152423766666663</v>
      </c>
      <c r="P41" s="56">
        <f t="shared" si="6"/>
        <v>1.5152423766666663</v>
      </c>
      <c r="Q41" s="57"/>
      <c r="R41" s="56"/>
      <c r="S41" s="58"/>
      <c r="T41" s="63">
        <f>D69</f>
        <v>15</v>
      </c>
      <c r="U41" s="64">
        <f>Q69</f>
        <v>2.3113626199999993</v>
      </c>
    </row>
    <row r="42" spans="1:21" ht="14.4" customHeight="1" x14ac:dyDescent="0.3">
      <c r="A42" s="18">
        <v>16</v>
      </c>
      <c r="B42" s="30">
        <v>10</v>
      </c>
      <c r="D42" s="76">
        <f>A32</f>
        <v>6</v>
      </c>
      <c r="E42" s="12" t="s">
        <v>66</v>
      </c>
      <c r="F42" s="12">
        <f>B32</f>
        <v>10</v>
      </c>
      <c r="G42" s="54">
        <v>0.33489999999999998</v>
      </c>
      <c r="H42" s="55">
        <v>0.79159999999999997</v>
      </c>
      <c r="I42" s="56"/>
      <c r="J42" s="57">
        <f t="shared" si="1"/>
        <v>0.29579999999999995</v>
      </c>
      <c r="K42" s="58">
        <f t="shared" si="2"/>
        <v>0.75446666666666662</v>
      </c>
      <c r="L42" s="56"/>
      <c r="M42" s="62">
        <f t="shared" si="3"/>
        <v>0.1071833333333333</v>
      </c>
      <c r="N42" s="56">
        <f t="shared" si="4"/>
        <v>7.6063724333333305</v>
      </c>
      <c r="O42" s="58">
        <f t="shared" si="5"/>
        <v>15.212744866666661</v>
      </c>
      <c r="P42" s="56">
        <f t="shared" si="6"/>
        <v>1.5212744866666661</v>
      </c>
      <c r="Q42" s="57">
        <f>AVERAGE(P42:P44)</f>
        <v>1.6788190066666662</v>
      </c>
      <c r="R42" s="56">
        <f>STDEV(P42:P44)</f>
        <v>0.6426981241977695</v>
      </c>
      <c r="S42" s="58">
        <f>R42/Q42*100</f>
        <v>38.28275243761157</v>
      </c>
      <c r="T42" s="63">
        <f>D72</f>
        <v>16</v>
      </c>
      <c r="U42" s="64">
        <f>Q72</f>
        <v>1.9332321166666666</v>
      </c>
    </row>
    <row r="43" spans="1:21" ht="14.4" customHeight="1" x14ac:dyDescent="0.3">
      <c r="A43" s="18">
        <v>17</v>
      </c>
      <c r="B43" s="30">
        <v>10</v>
      </c>
      <c r="D43" s="77"/>
      <c r="E43" s="17" t="s">
        <v>67</v>
      </c>
      <c r="F43" s="17">
        <f t="shared" ref="F43" si="15">F42</f>
        <v>10</v>
      </c>
      <c r="G43" s="57">
        <v>0.38379999999999997</v>
      </c>
      <c r="H43" s="58">
        <v>0.74360000000000004</v>
      </c>
      <c r="I43" s="56"/>
      <c r="J43" s="57">
        <f t="shared" si="1"/>
        <v>0.34469999999999995</v>
      </c>
      <c r="K43" s="58">
        <f t="shared" si="2"/>
        <v>0.70646666666666669</v>
      </c>
      <c r="L43" s="56"/>
      <c r="M43" s="62">
        <f t="shared" si="3"/>
        <v>0.16808333333333328</v>
      </c>
      <c r="N43" s="56">
        <f t="shared" si="4"/>
        <v>11.928201833333329</v>
      </c>
      <c r="O43" s="58">
        <f t="shared" si="5"/>
        <v>23.856403666666658</v>
      </c>
      <c r="P43" s="56">
        <f t="shared" si="6"/>
        <v>2.3856403666666659</v>
      </c>
      <c r="Q43" s="57"/>
      <c r="R43" s="56"/>
      <c r="S43" s="58"/>
      <c r="T43" s="63">
        <f>D75</f>
        <v>17</v>
      </c>
      <c r="U43" s="64">
        <f>Q75</f>
        <v>1.6459380933333332</v>
      </c>
    </row>
    <row r="44" spans="1:21" ht="14.4" customHeight="1" x14ac:dyDescent="0.3">
      <c r="A44" s="18">
        <v>18</v>
      </c>
      <c r="B44" s="30">
        <v>10</v>
      </c>
      <c r="D44" s="78"/>
      <c r="E44" s="22" t="s">
        <v>68</v>
      </c>
      <c r="F44" s="22">
        <f t="shared" ref="F44" si="16">F42</f>
        <v>10</v>
      </c>
      <c r="G44" s="65">
        <v>0.30120000000000002</v>
      </c>
      <c r="H44" s="66">
        <v>0.76719999999999999</v>
      </c>
      <c r="I44" s="56"/>
      <c r="J44" s="57">
        <f t="shared" si="1"/>
        <v>0.2621</v>
      </c>
      <c r="K44" s="58">
        <f t="shared" si="2"/>
        <v>0.73006666666666664</v>
      </c>
      <c r="L44" s="56"/>
      <c r="M44" s="62">
        <f t="shared" si="3"/>
        <v>7.9583333333333339E-2</v>
      </c>
      <c r="N44" s="56">
        <f t="shared" si="4"/>
        <v>5.647710833333333</v>
      </c>
      <c r="O44" s="58">
        <f t="shared" si="5"/>
        <v>11.295421666666666</v>
      </c>
      <c r="P44" s="56">
        <f t="shared" si="6"/>
        <v>1.1295421666666665</v>
      </c>
      <c r="Q44" s="57"/>
      <c r="R44" s="56"/>
      <c r="S44" s="58"/>
      <c r="T44" s="63">
        <f>D78</f>
        <v>18</v>
      </c>
      <c r="U44" s="64">
        <f>Q78</f>
        <v>2.3638774599999999</v>
      </c>
    </row>
    <row r="45" spans="1:21" ht="14.4" customHeight="1" x14ac:dyDescent="0.3">
      <c r="A45" s="18">
        <v>19</v>
      </c>
      <c r="B45" s="30">
        <v>10</v>
      </c>
      <c r="D45" s="76">
        <f>A33</f>
        <v>7</v>
      </c>
      <c r="E45" s="12" t="s">
        <v>69</v>
      </c>
      <c r="F45" s="12">
        <f>B33</f>
        <v>10</v>
      </c>
      <c r="G45" s="54">
        <v>0.38040000000000002</v>
      </c>
      <c r="H45" s="55">
        <v>0.68089999999999995</v>
      </c>
      <c r="I45" s="56"/>
      <c r="J45" s="57">
        <f t="shared" si="1"/>
        <v>0.34129999999999999</v>
      </c>
      <c r="K45" s="58">
        <f t="shared" si="2"/>
        <v>0.6437666666666666</v>
      </c>
      <c r="L45" s="56"/>
      <c r="M45" s="62">
        <f t="shared" si="3"/>
        <v>0.18035833333333334</v>
      </c>
      <c r="N45" s="56">
        <f t="shared" si="4"/>
        <v>12.799309483333333</v>
      </c>
      <c r="O45" s="58">
        <f t="shared" si="5"/>
        <v>25.598618966666667</v>
      </c>
      <c r="P45" s="56">
        <f t="shared" si="6"/>
        <v>2.5598618966666669</v>
      </c>
      <c r="Q45" s="57">
        <f>AVERAGE(P45:P47)</f>
        <v>2.2822665600000001</v>
      </c>
      <c r="R45" s="56">
        <f>STDEV(P45:P47)</f>
        <v>0.28145654490293848</v>
      </c>
      <c r="S45" s="58">
        <f>R45/Q45*100</f>
        <v>12.33232567290205</v>
      </c>
      <c r="T45" s="63">
        <f>D81</f>
        <v>19</v>
      </c>
      <c r="U45" s="64">
        <f>Q81</f>
        <v>2.3990056299999996</v>
      </c>
    </row>
    <row r="46" spans="1:21" ht="14.4" customHeight="1" x14ac:dyDescent="0.3">
      <c r="A46" s="18">
        <v>20</v>
      </c>
      <c r="B46" s="30">
        <v>10</v>
      </c>
      <c r="D46" s="77"/>
      <c r="E46" s="17" t="s">
        <v>70</v>
      </c>
      <c r="F46" s="17">
        <f t="shared" ref="F46" si="17">F45</f>
        <v>10</v>
      </c>
      <c r="G46" s="57">
        <v>0.3468</v>
      </c>
      <c r="H46" s="58">
        <v>0.70509999999999995</v>
      </c>
      <c r="I46" s="56"/>
      <c r="J46" s="57">
        <f t="shared" si="1"/>
        <v>0.30769999999999997</v>
      </c>
      <c r="K46" s="58">
        <f t="shared" si="2"/>
        <v>0.6679666666666666</v>
      </c>
      <c r="L46" s="56"/>
      <c r="M46" s="62">
        <f t="shared" si="3"/>
        <v>0.14070833333333332</v>
      </c>
      <c r="N46" s="56">
        <f t="shared" si="4"/>
        <v>9.985507583333332</v>
      </c>
      <c r="O46" s="58">
        <f t="shared" si="5"/>
        <v>19.971015166666664</v>
      </c>
      <c r="P46" s="56">
        <f t="shared" si="6"/>
        <v>1.9971015166666664</v>
      </c>
      <c r="Q46" s="57"/>
      <c r="R46" s="56"/>
      <c r="S46" s="58"/>
      <c r="T46" s="63">
        <f>D84</f>
        <v>20</v>
      </c>
      <c r="U46" s="64">
        <f>Q84</f>
        <v>1.8289120966666665</v>
      </c>
    </row>
    <row r="47" spans="1:21" ht="14.4" customHeight="1" x14ac:dyDescent="0.3">
      <c r="A47" s="18">
        <v>21</v>
      </c>
      <c r="B47" s="30">
        <v>10</v>
      </c>
      <c r="D47" s="78"/>
      <c r="E47" s="22" t="s">
        <v>71</v>
      </c>
      <c r="F47" s="22">
        <f t="shared" ref="F47" si="18">F45</f>
        <v>10</v>
      </c>
      <c r="G47" s="65">
        <v>0.36020000000000002</v>
      </c>
      <c r="H47" s="66">
        <v>0.67620000000000002</v>
      </c>
      <c r="I47" s="56"/>
      <c r="J47" s="57">
        <f t="shared" si="1"/>
        <v>0.3211</v>
      </c>
      <c r="K47" s="58">
        <f t="shared" si="2"/>
        <v>0.63906666666666667</v>
      </c>
      <c r="L47" s="56"/>
      <c r="M47" s="62">
        <f t="shared" si="3"/>
        <v>0.16133333333333333</v>
      </c>
      <c r="N47" s="56">
        <f t="shared" si="4"/>
        <v>11.449181333333332</v>
      </c>
      <c r="O47" s="58">
        <f t="shared" si="5"/>
        <v>22.898362666666664</v>
      </c>
      <c r="P47" s="56">
        <f t="shared" si="6"/>
        <v>2.2898362666666663</v>
      </c>
      <c r="Q47" s="57"/>
      <c r="R47" s="56"/>
      <c r="S47" s="58"/>
      <c r="T47" s="63">
        <f>D87</f>
        <v>21</v>
      </c>
      <c r="U47" s="64">
        <f>Q87</f>
        <v>0.99565297999999969</v>
      </c>
    </row>
    <row r="48" spans="1:21" ht="14.4" customHeight="1" x14ac:dyDescent="0.3">
      <c r="A48" s="18">
        <v>22</v>
      </c>
      <c r="B48" s="30">
        <v>10</v>
      </c>
      <c r="D48" s="76">
        <f>A34</f>
        <v>8</v>
      </c>
      <c r="E48" s="12" t="s">
        <v>72</v>
      </c>
      <c r="F48" s="12">
        <f>B34</f>
        <v>10</v>
      </c>
      <c r="G48" s="54">
        <v>0.38429999999999997</v>
      </c>
      <c r="H48" s="55">
        <v>0.72040000000000004</v>
      </c>
      <c r="I48" s="56"/>
      <c r="J48" s="57">
        <f t="shared" si="1"/>
        <v>0.34519999999999995</v>
      </c>
      <c r="K48" s="58">
        <f t="shared" si="2"/>
        <v>0.68326666666666669</v>
      </c>
      <c r="L48" s="56"/>
      <c r="M48" s="62">
        <f t="shared" si="3"/>
        <v>0.17438333333333328</v>
      </c>
      <c r="N48" s="56">
        <f t="shared" si="4"/>
        <v>12.375287633333329</v>
      </c>
      <c r="O48" s="58">
        <f t="shared" si="5"/>
        <v>24.750575266666658</v>
      </c>
      <c r="P48" s="56">
        <f t="shared" si="6"/>
        <v>2.4750575266666659</v>
      </c>
      <c r="Q48" s="57">
        <f>AVERAGE(P48:P50)</f>
        <v>2.1300444899999995</v>
      </c>
      <c r="R48" s="56">
        <f>STDEV(P48:P50)</f>
        <v>0.34560593792103367</v>
      </c>
      <c r="S48" s="58">
        <f>R48/Q48*100</f>
        <v>16.225291985381666</v>
      </c>
      <c r="T48" s="63">
        <f>D90</f>
        <v>22</v>
      </c>
      <c r="U48" s="64">
        <f>Q90</f>
        <v>2.1272058499999993</v>
      </c>
    </row>
    <row r="49" spans="1:22" ht="14.4" customHeight="1" x14ac:dyDescent="0.3">
      <c r="A49" s="18">
        <v>23</v>
      </c>
      <c r="B49" s="30">
        <v>10</v>
      </c>
      <c r="D49" s="77"/>
      <c r="E49" s="17" t="s">
        <v>73</v>
      </c>
      <c r="F49" s="17">
        <f t="shared" ref="F49" si="19">F48</f>
        <v>10</v>
      </c>
      <c r="G49" s="57">
        <v>0.3412</v>
      </c>
      <c r="H49" s="58">
        <v>0.74280000000000002</v>
      </c>
      <c r="I49" s="56"/>
      <c r="J49" s="57">
        <f t="shared" si="1"/>
        <v>0.30209999999999998</v>
      </c>
      <c r="K49" s="58">
        <f t="shared" si="2"/>
        <v>0.70566666666666666</v>
      </c>
      <c r="L49" s="56"/>
      <c r="M49" s="62">
        <f t="shared" si="3"/>
        <v>0.12568333333333331</v>
      </c>
      <c r="N49" s="56">
        <f t="shared" si="4"/>
        <v>8.9192434333333317</v>
      </c>
      <c r="O49" s="58">
        <f t="shared" si="5"/>
        <v>17.838486866666663</v>
      </c>
      <c r="P49" s="56">
        <f t="shared" si="6"/>
        <v>1.7838486866666663</v>
      </c>
      <c r="Q49" s="57"/>
      <c r="R49" s="56"/>
      <c r="S49" s="58"/>
      <c r="T49" s="63">
        <f>D93</f>
        <v>23</v>
      </c>
      <c r="U49" s="64">
        <f>Q93</f>
        <v>2.2039674066666661</v>
      </c>
    </row>
    <row r="50" spans="1:22" ht="14.4" customHeight="1" x14ac:dyDescent="0.3">
      <c r="A50" s="23">
        <v>24</v>
      </c>
      <c r="B50" s="30">
        <v>10</v>
      </c>
      <c r="D50" s="78"/>
      <c r="E50" s="22" t="s">
        <v>74</v>
      </c>
      <c r="F50" s="22">
        <f t="shared" ref="F50" si="20">F48</f>
        <v>10</v>
      </c>
      <c r="G50" s="65">
        <v>0.35870000000000002</v>
      </c>
      <c r="H50" s="66">
        <v>0.71489999999999998</v>
      </c>
      <c r="I50" s="56"/>
      <c r="J50" s="57">
        <f t="shared" si="1"/>
        <v>0.3196</v>
      </c>
      <c r="K50" s="58">
        <f t="shared" si="2"/>
        <v>0.67776666666666663</v>
      </c>
      <c r="L50" s="56"/>
      <c r="M50" s="62">
        <f t="shared" si="3"/>
        <v>0.15015833333333334</v>
      </c>
      <c r="N50" s="56">
        <f t="shared" si="4"/>
        <v>10.656136283333332</v>
      </c>
      <c r="O50" s="58">
        <f t="shared" si="5"/>
        <v>21.312272566666664</v>
      </c>
      <c r="P50" s="56">
        <f t="shared" si="6"/>
        <v>2.1312272566666666</v>
      </c>
      <c r="Q50" s="57"/>
      <c r="R50" s="56"/>
      <c r="S50" s="58"/>
      <c r="T50" s="67">
        <f>D96</f>
        <v>24</v>
      </c>
      <c r="U50" s="68">
        <f>Q96</f>
        <v>2.1721509833333328</v>
      </c>
    </row>
    <row r="51" spans="1:22" ht="14.4" customHeight="1" x14ac:dyDescent="0.3">
      <c r="D51" s="76">
        <f>A35</f>
        <v>9</v>
      </c>
      <c r="E51" s="12" t="s">
        <v>75</v>
      </c>
      <c r="F51" s="12">
        <f>B35</f>
        <v>10</v>
      </c>
      <c r="G51" s="54">
        <v>0.36849999999999999</v>
      </c>
      <c r="H51" s="55">
        <v>0.69530000000000003</v>
      </c>
      <c r="I51" s="56"/>
      <c r="J51" s="57">
        <f t="shared" si="1"/>
        <v>0.32939999999999997</v>
      </c>
      <c r="K51" s="58">
        <f t="shared" si="2"/>
        <v>0.65816666666666668</v>
      </c>
      <c r="L51" s="56"/>
      <c r="M51" s="62">
        <f t="shared" si="3"/>
        <v>0.1648583333333333</v>
      </c>
      <c r="N51" s="56">
        <f t="shared" si="4"/>
        <v>11.69933648333333</v>
      </c>
      <c r="O51" s="58">
        <f t="shared" si="5"/>
        <v>23.398672966666659</v>
      </c>
      <c r="P51" s="56">
        <f t="shared" si="6"/>
        <v>2.3398672966666658</v>
      </c>
      <c r="Q51" s="57">
        <f>AVERAGE(P51:P53)</f>
        <v>1.9344148833333328</v>
      </c>
      <c r="R51" s="56">
        <f>STDEV(P51:P53)</f>
        <v>0.71582758465350282</v>
      </c>
      <c r="S51" s="58">
        <f>R51/Q51*100</f>
        <v>37.004863373466584</v>
      </c>
      <c r="T51" s="56"/>
      <c r="U51" s="56"/>
      <c r="V51" s="56"/>
    </row>
    <row r="52" spans="1:22" ht="14.4" customHeight="1" x14ac:dyDescent="0.3">
      <c r="D52" s="77"/>
      <c r="E52" s="17" t="s">
        <v>76</v>
      </c>
      <c r="F52" s="17">
        <f t="shared" ref="F52" si="21">F51</f>
        <v>10</v>
      </c>
      <c r="G52" s="57">
        <v>0.36259999999999998</v>
      </c>
      <c r="H52" s="58">
        <v>0.6673</v>
      </c>
      <c r="I52" s="56"/>
      <c r="J52" s="57">
        <f t="shared" si="1"/>
        <v>0.32349999999999995</v>
      </c>
      <c r="K52" s="58">
        <f t="shared" si="2"/>
        <v>0.63016666666666665</v>
      </c>
      <c r="L52" s="56"/>
      <c r="M52" s="62">
        <f t="shared" si="3"/>
        <v>0.16595833333333329</v>
      </c>
      <c r="N52" s="56">
        <f t="shared" si="4"/>
        <v>11.777399083333329</v>
      </c>
      <c r="O52" s="58">
        <f t="shared" si="5"/>
        <v>23.554798166666657</v>
      </c>
      <c r="P52" s="56">
        <f t="shared" si="6"/>
        <v>2.3554798166666657</v>
      </c>
      <c r="Q52" s="57"/>
      <c r="R52" s="56"/>
      <c r="S52" s="58"/>
      <c r="T52" s="56"/>
    </row>
    <row r="53" spans="1:22" ht="14.4" customHeight="1" x14ac:dyDescent="0.3">
      <c r="D53" s="78"/>
      <c r="E53" s="22" t="s">
        <v>77</v>
      </c>
      <c r="F53" s="22">
        <f t="shared" ref="F53" si="22">F51</f>
        <v>10</v>
      </c>
      <c r="G53" s="65">
        <v>0.2828</v>
      </c>
      <c r="H53" s="66">
        <v>0.69969999999999999</v>
      </c>
      <c r="I53" s="56"/>
      <c r="J53" s="57">
        <f t="shared" si="1"/>
        <v>0.2437</v>
      </c>
      <c r="K53" s="58">
        <f t="shared" si="2"/>
        <v>0.66256666666666664</v>
      </c>
      <c r="L53" s="56"/>
      <c r="M53" s="62">
        <f t="shared" si="3"/>
        <v>7.8058333333333341E-2</v>
      </c>
      <c r="N53" s="56">
        <f t="shared" si="4"/>
        <v>5.5394876833333333</v>
      </c>
      <c r="O53" s="58">
        <f t="shared" si="5"/>
        <v>11.078975366666667</v>
      </c>
      <c r="P53" s="56">
        <f t="shared" si="6"/>
        <v>1.1078975366666666</v>
      </c>
      <c r="Q53" s="57"/>
      <c r="R53" s="56"/>
      <c r="S53" s="58"/>
      <c r="T53" s="56"/>
    </row>
    <row r="54" spans="1:22" ht="14.4" customHeight="1" x14ac:dyDescent="0.3">
      <c r="D54" s="76">
        <f>A36</f>
        <v>10</v>
      </c>
      <c r="E54" s="12" t="s">
        <v>78</v>
      </c>
      <c r="F54" s="12">
        <f>B36</f>
        <v>10</v>
      </c>
      <c r="G54" s="54">
        <v>0.31690000000000002</v>
      </c>
      <c r="H54" s="55">
        <v>0.77539999999999998</v>
      </c>
      <c r="I54" s="56"/>
      <c r="J54" s="57">
        <f t="shared" si="1"/>
        <v>0.27779999999999999</v>
      </c>
      <c r="K54" s="58">
        <f t="shared" si="2"/>
        <v>0.73826666666666663</v>
      </c>
      <c r="L54" s="56"/>
      <c r="M54" s="62">
        <f t="shared" si="3"/>
        <v>9.3233333333333335E-2</v>
      </c>
      <c r="N54" s="56">
        <f t="shared" si="4"/>
        <v>6.6163967333333327</v>
      </c>
      <c r="O54" s="58">
        <f t="shared" si="5"/>
        <v>13.232793466666665</v>
      </c>
      <c r="P54" s="56">
        <f t="shared" si="6"/>
        <v>1.3232793466666666</v>
      </c>
      <c r="Q54" s="57">
        <f>AVERAGE(P54:P56)</f>
        <v>1.6266589966666665</v>
      </c>
      <c r="R54" s="56">
        <f>STDEV(P54:P56)</f>
        <v>0.80199657470844432</v>
      </c>
      <c r="S54" s="58">
        <f>R54/Q54*100</f>
        <v>49.303300590467195</v>
      </c>
      <c r="T54" s="56"/>
    </row>
    <row r="55" spans="1:22" ht="14.4" customHeight="1" x14ac:dyDescent="0.3">
      <c r="D55" s="77"/>
      <c r="E55" s="17" t="s">
        <v>79</v>
      </c>
      <c r="F55" s="17">
        <f t="shared" ref="F55" si="23">F54</f>
        <v>10</v>
      </c>
      <c r="G55" s="57">
        <v>0.39300000000000002</v>
      </c>
      <c r="H55" s="58">
        <v>0.73799999999999999</v>
      </c>
      <c r="I55" s="56"/>
      <c r="J55" s="57">
        <f t="shared" si="1"/>
        <v>0.35389999999999999</v>
      </c>
      <c r="K55" s="58">
        <f t="shared" si="2"/>
        <v>0.70086666666666664</v>
      </c>
      <c r="L55" s="56"/>
      <c r="M55" s="62">
        <f t="shared" si="3"/>
        <v>0.17868333333333333</v>
      </c>
      <c r="N55" s="56">
        <f t="shared" si="4"/>
        <v>12.680441433333332</v>
      </c>
      <c r="O55" s="58">
        <f t="shared" si="5"/>
        <v>25.360882866666664</v>
      </c>
      <c r="P55" s="56">
        <f t="shared" si="6"/>
        <v>2.5360882866666663</v>
      </c>
      <c r="Q55" s="57"/>
      <c r="R55" s="56"/>
      <c r="S55" s="58"/>
      <c r="T55" s="56"/>
    </row>
    <row r="56" spans="1:22" ht="14.4" customHeight="1" x14ac:dyDescent="0.3">
      <c r="D56" s="78"/>
      <c r="E56" s="22" t="s">
        <v>80</v>
      </c>
      <c r="F56" s="22">
        <f t="shared" ref="F56" si="24">F54</f>
        <v>10</v>
      </c>
      <c r="G56" s="65">
        <v>0.3075</v>
      </c>
      <c r="H56" s="66">
        <v>0.82310000000000005</v>
      </c>
      <c r="I56" s="56"/>
      <c r="J56" s="57">
        <f t="shared" si="1"/>
        <v>0.26839999999999997</v>
      </c>
      <c r="K56" s="58">
        <f t="shared" si="2"/>
        <v>0.7859666666666667</v>
      </c>
      <c r="L56" s="56"/>
      <c r="M56" s="62">
        <f t="shared" si="3"/>
        <v>7.1908333333333296E-2</v>
      </c>
      <c r="N56" s="56">
        <f t="shared" si="4"/>
        <v>5.1030467833333306</v>
      </c>
      <c r="O56" s="58">
        <f t="shared" si="5"/>
        <v>10.206093566666661</v>
      </c>
      <c r="P56" s="56">
        <f t="shared" si="6"/>
        <v>1.0206093566666661</v>
      </c>
      <c r="Q56" s="57"/>
      <c r="R56" s="56"/>
      <c r="S56" s="58"/>
      <c r="T56" s="56"/>
    </row>
    <row r="57" spans="1:22" ht="14.4" customHeight="1" x14ac:dyDescent="0.3">
      <c r="D57" s="76">
        <f>A37</f>
        <v>11</v>
      </c>
      <c r="E57" s="12" t="s">
        <v>81</v>
      </c>
      <c r="F57" s="12">
        <f>B37</f>
        <v>10</v>
      </c>
      <c r="G57" s="54">
        <v>5.0999999999999997E-2</v>
      </c>
      <c r="H57" s="55">
        <v>4.8300000000000003E-2</v>
      </c>
      <c r="I57" s="56"/>
      <c r="J57" s="57">
        <f t="shared" si="1"/>
        <v>1.1899999999999994E-2</v>
      </c>
      <c r="K57" s="58">
        <f t="shared" si="2"/>
        <v>1.1166666666666672E-2</v>
      </c>
      <c r="L57" s="56"/>
      <c r="M57" s="62">
        <f t="shared" si="3"/>
        <v>9.1083333333333259E-3</v>
      </c>
      <c r="N57" s="56">
        <f t="shared" si="4"/>
        <v>0.64638198333333274</v>
      </c>
      <c r="O57" s="58">
        <f t="shared" si="5"/>
        <v>1.2927639666666655</v>
      </c>
      <c r="P57" s="56">
        <f t="shared" si="6"/>
        <v>0.12927639666666654</v>
      </c>
      <c r="Q57" s="57">
        <f>AVERAGE(P57:P59)</f>
        <v>0.13483539999999991</v>
      </c>
      <c r="R57" s="56">
        <f>STDEV(P57:P59)</f>
        <v>4.8175060588684033E-3</v>
      </c>
      <c r="S57" s="58">
        <f>R57/Q57*100</f>
        <v>3.5728792727046508</v>
      </c>
      <c r="T57" s="56"/>
    </row>
    <row r="58" spans="1:22" ht="14.4" customHeight="1" x14ac:dyDescent="0.3">
      <c r="D58" s="77"/>
      <c r="E58" s="17" t="s">
        <v>82</v>
      </c>
      <c r="F58" s="17">
        <f t="shared" ref="F58" si="25">F57</f>
        <v>10</v>
      </c>
      <c r="G58" s="57">
        <v>5.1799999999999999E-2</v>
      </c>
      <c r="H58" s="58">
        <v>4.9200000000000001E-2</v>
      </c>
      <c r="I58" s="56"/>
      <c r="J58" s="57">
        <f t="shared" si="1"/>
        <v>1.2699999999999996E-2</v>
      </c>
      <c r="K58" s="58">
        <f t="shared" si="2"/>
        <v>1.206666666666667E-2</v>
      </c>
      <c r="L58" s="56"/>
      <c r="M58" s="62">
        <f t="shared" si="3"/>
        <v>9.6833333333333285E-3</v>
      </c>
      <c r="N58" s="56">
        <f t="shared" si="4"/>
        <v>0.68718743333333299</v>
      </c>
      <c r="O58" s="58">
        <f t="shared" si="5"/>
        <v>1.374374866666666</v>
      </c>
      <c r="P58" s="56">
        <f t="shared" si="6"/>
        <v>0.13743748666666661</v>
      </c>
      <c r="Q58" s="57"/>
      <c r="R58" s="56"/>
      <c r="S58" s="58"/>
      <c r="T58" s="56"/>
    </row>
    <row r="59" spans="1:22" ht="14.4" customHeight="1" x14ac:dyDescent="0.3">
      <c r="D59" s="78"/>
      <c r="E59" s="22" t="s">
        <v>83</v>
      </c>
      <c r="F59" s="22">
        <f t="shared" ref="F59" si="26">F57</f>
        <v>10</v>
      </c>
      <c r="G59" s="65">
        <v>5.1900000000000002E-2</v>
      </c>
      <c r="H59" s="66">
        <v>4.9500000000000002E-2</v>
      </c>
      <c r="I59" s="56"/>
      <c r="J59" s="57">
        <f t="shared" si="1"/>
        <v>1.2799999999999999E-2</v>
      </c>
      <c r="K59" s="58">
        <f t="shared" si="2"/>
        <v>1.2366666666666672E-2</v>
      </c>
      <c r="L59" s="56"/>
      <c r="M59" s="62">
        <f t="shared" si="3"/>
        <v>9.708333333333331E-3</v>
      </c>
      <c r="N59" s="56">
        <f t="shared" si="4"/>
        <v>0.68896158333333313</v>
      </c>
      <c r="O59" s="58">
        <f t="shared" si="5"/>
        <v>1.3779231666666663</v>
      </c>
      <c r="P59" s="56">
        <f t="shared" si="6"/>
        <v>0.13779231666666664</v>
      </c>
      <c r="Q59" s="57"/>
      <c r="R59" s="56"/>
      <c r="S59" s="58"/>
      <c r="T59" s="56"/>
    </row>
    <row r="60" spans="1:22" ht="14.4" customHeight="1" x14ac:dyDescent="0.3">
      <c r="D60" s="76">
        <f>A38</f>
        <v>12</v>
      </c>
      <c r="E60" s="12" t="s">
        <v>84</v>
      </c>
      <c r="F60" s="12">
        <f>B38</f>
        <v>10</v>
      </c>
      <c r="G60" s="54">
        <v>0.05</v>
      </c>
      <c r="H60" s="55">
        <v>4.7699999999999999E-2</v>
      </c>
      <c r="I60" s="56"/>
      <c r="J60" s="57">
        <f t="shared" si="1"/>
        <v>1.09E-2</v>
      </c>
      <c r="K60" s="58">
        <f t="shared" si="2"/>
        <v>1.0566666666666669E-2</v>
      </c>
      <c r="L60" s="56"/>
      <c r="M60" s="62">
        <f t="shared" si="3"/>
        <v>8.2583333333333328E-3</v>
      </c>
      <c r="N60" s="56">
        <f t="shared" si="4"/>
        <v>0.58606088333333328</v>
      </c>
      <c r="O60" s="58">
        <f t="shared" si="5"/>
        <v>1.1721217666666666</v>
      </c>
      <c r="P60" s="56">
        <f t="shared" si="6"/>
        <v>0.11721217666666665</v>
      </c>
      <c r="Q60" s="57">
        <f>AVERAGE(P60:P62)</f>
        <v>0.13010433333333329</v>
      </c>
      <c r="R60" s="56">
        <f>STDEV(P60:P62)</f>
        <v>1.1662703088119515E-2</v>
      </c>
      <c r="S60" s="58">
        <f>R60/Q60*100</f>
        <v>8.9641157902397719</v>
      </c>
      <c r="T60" s="56"/>
    </row>
    <row r="61" spans="1:22" ht="14.4" customHeight="1" x14ac:dyDescent="0.3">
      <c r="D61" s="77"/>
      <c r="E61" s="17" t="s">
        <v>85</v>
      </c>
      <c r="F61" s="17">
        <f t="shared" ref="F61" si="27">F60</f>
        <v>10</v>
      </c>
      <c r="G61" s="57">
        <v>5.1999999999999998E-2</v>
      </c>
      <c r="H61" s="58">
        <v>4.9299999999999997E-2</v>
      </c>
      <c r="I61" s="56"/>
      <c r="J61" s="57">
        <f t="shared" si="1"/>
        <v>1.2899999999999995E-2</v>
      </c>
      <c r="K61" s="58">
        <f t="shared" si="2"/>
        <v>1.2166666666666666E-2</v>
      </c>
      <c r="L61" s="56"/>
      <c r="M61" s="62">
        <f t="shared" si="3"/>
        <v>9.8583333333333283E-3</v>
      </c>
      <c r="N61" s="56">
        <f t="shared" si="4"/>
        <v>0.69960648333333297</v>
      </c>
      <c r="O61" s="58">
        <f t="shared" si="5"/>
        <v>1.3992129666666659</v>
      </c>
      <c r="P61" s="56">
        <f t="shared" si="6"/>
        <v>0.13992129666666658</v>
      </c>
      <c r="Q61" s="57"/>
      <c r="R61" s="56"/>
      <c r="S61" s="58"/>
      <c r="T61" s="56"/>
    </row>
    <row r="62" spans="1:22" ht="14.4" customHeight="1" x14ac:dyDescent="0.3">
      <c r="D62" s="78"/>
      <c r="E62" s="22" t="s">
        <v>86</v>
      </c>
      <c r="F62" s="22">
        <f t="shared" ref="F62" si="28">F60</f>
        <v>10</v>
      </c>
      <c r="G62" s="65">
        <v>5.1299999999999998E-2</v>
      </c>
      <c r="H62" s="66">
        <v>4.8399999999999999E-2</v>
      </c>
      <c r="I62" s="56"/>
      <c r="J62" s="57">
        <f t="shared" si="1"/>
        <v>1.2199999999999996E-2</v>
      </c>
      <c r="K62" s="58">
        <f t="shared" si="2"/>
        <v>1.1266666666666668E-2</v>
      </c>
      <c r="L62" s="56"/>
      <c r="M62" s="62">
        <f t="shared" si="3"/>
        <v>9.3833333333333286E-3</v>
      </c>
      <c r="N62" s="56">
        <f t="shared" si="4"/>
        <v>0.66589763333333296</v>
      </c>
      <c r="O62" s="58">
        <f t="shared" si="5"/>
        <v>1.3317952666666659</v>
      </c>
      <c r="P62" s="56">
        <f t="shared" si="6"/>
        <v>0.1331795266666666</v>
      </c>
      <c r="Q62" s="57"/>
      <c r="R62" s="56"/>
      <c r="S62" s="58"/>
      <c r="T62" s="56"/>
    </row>
    <row r="63" spans="1:22" ht="14.4" customHeight="1" x14ac:dyDescent="0.3">
      <c r="D63" s="76">
        <f>A39</f>
        <v>13</v>
      </c>
      <c r="E63" s="12" t="s">
        <v>87</v>
      </c>
      <c r="F63" s="12">
        <f>B39</f>
        <v>10</v>
      </c>
      <c r="G63" s="54">
        <v>0.30330000000000001</v>
      </c>
      <c r="H63" s="55">
        <v>0.67069999999999996</v>
      </c>
      <c r="I63" s="56"/>
      <c r="J63" s="57">
        <f t="shared" si="1"/>
        <v>0.26419999999999999</v>
      </c>
      <c r="K63" s="58">
        <f t="shared" si="2"/>
        <v>0.63356666666666661</v>
      </c>
      <c r="L63" s="56"/>
      <c r="M63" s="62">
        <f t="shared" si="3"/>
        <v>0.10580833333333334</v>
      </c>
      <c r="N63" s="56">
        <f t="shared" si="4"/>
        <v>7.5087941833333334</v>
      </c>
      <c r="O63" s="58">
        <f t="shared" si="5"/>
        <v>15.017588366666667</v>
      </c>
      <c r="P63" s="56">
        <f t="shared" si="6"/>
        <v>1.5017588366666668</v>
      </c>
      <c r="Q63" s="57">
        <f>AVERAGE(P63:P65)</f>
        <v>1.5554564433333331</v>
      </c>
      <c r="R63" s="56">
        <f>STDEV(P63:P65)</f>
        <v>0.21757107766186398</v>
      </c>
      <c r="S63" s="58">
        <f>R63/Q63*100</f>
        <v>13.987603355553343</v>
      </c>
      <c r="T63" s="56"/>
    </row>
    <row r="64" spans="1:22" ht="14.4" customHeight="1" x14ac:dyDescent="0.3">
      <c r="D64" s="77"/>
      <c r="E64" s="17" t="s">
        <v>88</v>
      </c>
      <c r="F64" s="17">
        <f t="shared" ref="F64" si="29">F63</f>
        <v>10</v>
      </c>
      <c r="G64" s="57">
        <v>0.32150000000000001</v>
      </c>
      <c r="H64" s="58">
        <v>0.66090000000000004</v>
      </c>
      <c r="I64" s="56"/>
      <c r="J64" s="57">
        <f t="shared" si="1"/>
        <v>0.28239999999999998</v>
      </c>
      <c r="K64" s="58">
        <f t="shared" si="2"/>
        <v>0.62376666666666669</v>
      </c>
      <c r="L64" s="56"/>
      <c r="M64" s="62">
        <f t="shared" si="3"/>
        <v>0.12645833333333331</v>
      </c>
      <c r="N64" s="56">
        <f t="shared" si="4"/>
        <v>8.9742420833333316</v>
      </c>
      <c r="O64" s="58">
        <f t="shared" si="5"/>
        <v>17.948484166666663</v>
      </c>
      <c r="P64" s="56">
        <f t="shared" si="6"/>
        <v>1.7948484166666663</v>
      </c>
      <c r="Q64" s="57"/>
      <c r="R64" s="56"/>
      <c r="S64" s="58"/>
      <c r="T64" s="56"/>
    </row>
    <row r="65" spans="4:20" ht="14.4" customHeight="1" x14ac:dyDescent="0.3">
      <c r="D65" s="78"/>
      <c r="E65" s="22" t="s">
        <v>89</v>
      </c>
      <c r="F65" s="22">
        <f t="shared" ref="F65" si="30">F63</f>
        <v>10</v>
      </c>
      <c r="G65" s="65">
        <v>0.29220000000000002</v>
      </c>
      <c r="H65" s="66">
        <v>0.66349999999999998</v>
      </c>
      <c r="I65" s="56"/>
      <c r="J65" s="57">
        <f t="shared" si="1"/>
        <v>0.25309999999999999</v>
      </c>
      <c r="K65" s="58">
        <f t="shared" si="2"/>
        <v>0.62636666666666663</v>
      </c>
      <c r="L65" s="56"/>
      <c r="M65" s="62">
        <f t="shared" si="3"/>
        <v>9.6508333333333335E-2</v>
      </c>
      <c r="N65" s="56">
        <f t="shared" si="4"/>
        <v>6.8488103833333325</v>
      </c>
      <c r="O65" s="58">
        <f t="shared" si="5"/>
        <v>13.697620766666665</v>
      </c>
      <c r="P65" s="56">
        <f t="shared" si="6"/>
        <v>1.3697620766666665</v>
      </c>
      <c r="Q65" s="57"/>
      <c r="R65" s="56"/>
      <c r="S65" s="58"/>
      <c r="T65" s="56"/>
    </row>
    <row r="66" spans="4:20" ht="14.4" customHeight="1" x14ac:dyDescent="0.3">
      <c r="D66" s="76">
        <f>A40</f>
        <v>14</v>
      </c>
      <c r="E66" s="12" t="s">
        <v>90</v>
      </c>
      <c r="F66" s="12">
        <f>B40</f>
        <v>10</v>
      </c>
      <c r="G66" s="54">
        <v>0.37469999999999998</v>
      </c>
      <c r="H66" s="55">
        <v>0.63749999999999996</v>
      </c>
      <c r="I66" s="56"/>
      <c r="J66" s="57">
        <f t="shared" si="1"/>
        <v>0.33559999999999995</v>
      </c>
      <c r="K66" s="58">
        <f t="shared" si="2"/>
        <v>0.6003666666666666</v>
      </c>
      <c r="L66" s="56"/>
      <c r="M66" s="62">
        <f t="shared" si="3"/>
        <v>0.1855083333333333</v>
      </c>
      <c r="N66" s="56">
        <f t="shared" si="4"/>
        <v>13.16478438333333</v>
      </c>
      <c r="O66" s="58">
        <f t="shared" si="5"/>
        <v>26.329568766666661</v>
      </c>
      <c r="P66" s="56">
        <f t="shared" si="6"/>
        <v>2.632956876666666</v>
      </c>
      <c r="Q66" s="57">
        <f>AVERAGE(P66:P68)</f>
        <v>2.29894357</v>
      </c>
      <c r="R66" s="56">
        <f>STDEV(P66:P68)</f>
        <v>0.30750013552127076</v>
      </c>
      <c r="S66" s="58">
        <f>R66/Q66*100</f>
        <v>13.375714808052933</v>
      </c>
      <c r="T66" s="56"/>
    </row>
    <row r="67" spans="4:20" ht="14.4" customHeight="1" x14ac:dyDescent="0.3">
      <c r="D67" s="77"/>
      <c r="E67" s="17" t="s">
        <v>91</v>
      </c>
      <c r="F67" s="17">
        <f t="shared" ref="F67" si="31">F66</f>
        <v>10</v>
      </c>
      <c r="G67" s="57">
        <v>0.34010000000000001</v>
      </c>
      <c r="H67" s="58">
        <v>0.6109</v>
      </c>
      <c r="I67" s="56"/>
      <c r="J67" s="57">
        <f t="shared" si="1"/>
        <v>0.30099999999999999</v>
      </c>
      <c r="K67" s="58">
        <f t="shared" si="2"/>
        <v>0.57376666666666665</v>
      </c>
      <c r="L67" s="56"/>
      <c r="M67" s="62">
        <f t="shared" si="3"/>
        <v>0.15755833333333333</v>
      </c>
      <c r="N67" s="56">
        <f t="shared" si="4"/>
        <v>11.181284683333333</v>
      </c>
      <c r="O67" s="58">
        <f t="shared" si="5"/>
        <v>22.362569366666666</v>
      </c>
      <c r="P67" s="56">
        <f t="shared" si="6"/>
        <v>2.2362569366666665</v>
      </c>
      <c r="Q67" s="57"/>
      <c r="R67" s="56"/>
      <c r="S67" s="58"/>
      <c r="T67" s="56"/>
    </row>
    <row r="68" spans="4:20" ht="14.4" customHeight="1" x14ac:dyDescent="0.3">
      <c r="D68" s="78"/>
      <c r="E68" s="22" t="s">
        <v>92</v>
      </c>
      <c r="F68" s="22">
        <f t="shared" ref="F68" si="32">F66</f>
        <v>10</v>
      </c>
      <c r="G68" s="65">
        <v>0.32540000000000002</v>
      </c>
      <c r="H68" s="66">
        <v>0.6109</v>
      </c>
      <c r="I68" s="56"/>
      <c r="J68" s="57">
        <f t="shared" si="1"/>
        <v>0.2863</v>
      </c>
      <c r="K68" s="58">
        <f t="shared" si="2"/>
        <v>0.57376666666666665</v>
      </c>
      <c r="L68" s="56"/>
      <c r="M68" s="62">
        <f t="shared" si="3"/>
        <v>0.14285833333333334</v>
      </c>
      <c r="N68" s="56">
        <f t="shared" si="4"/>
        <v>10.138084483333333</v>
      </c>
      <c r="O68" s="58">
        <f t="shared" si="5"/>
        <v>20.276168966666667</v>
      </c>
      <c r="P68" s="56">
        <f t="shared" si="6"/>
        <v>2.0276168966666668</v>
      </c>
      <c r="Q68" s="57"/>
      <c r="R68" s="56"/>
      <c r="S68" s="58"/>
      <c r="T68" s="56"/>
    </row>
    <row r="69" spans="4:20" ht="14.4" customHeight="1" x14ac:dyDescent="0.3">
      <c r="D69" s="76">
        <f>A41</f>
        <v>15</v>
      </c>
      <c r="E69" s="12" t="s">
        <v>93</v>
      </c>
      <c r="F69" s="12">
        <f>B41</f>
        <v>10</v>
      </c>
      <c r="G69" s="54">
        <v>0.3705</v>
      </c>
      <c r="H69" s="55">
        <v>0.75170000000000003</v>
      </c>
      <c r="I69" s="56"/>
      <c r="J69" s="57">
        <f t="shared" si="1"/>
        <v>0.33139999999999997</v>
      </c>
      <c r="K69" s="58">
        <f t="shared" si="2"/>
        <v>0.71456666666666668</v>
      </c>
      <c r="L69" s="56"/>
      <c r="M69" s="62">
        <f t="shared" si="3"/>
        <v>0.1527583333333333</v>
      </c>
      <c r="N69" s="56">
        <f t="shared" si="4"/>
        <v>10.840647883333331</v>
      </c>
      <c r="O69" s="58">
        <f t="shared" si="5"/>
        <v>21.681295766666661</v>
      </c>
      <c r="P69" s="56">
        <f t="shared" si="6"/>
        <v>2.1681295766666659</v>
      </c>
      <c r="Q69" s="57">
        <f>AVERAGE(P69:P71)</f>
        <v>2.3113626199999993</v>
      </c>
      <c r="R69" s="56">
        <f>STDEV(P69:P71)</f>
        <v>0.38309684525669124</v>
      </c>
      <c r="S69" s="58">
        <f>R69/Q69*100</f>
        <v>16.574502068251469</v>
      </c>
      <c r="T69" s="56"/>
    </row>
    <row r="70" spans="4:20" ht="14.4" customHeight="1" x14ac:dyDescent="0.3">
      <c r="D70" s="77"/>
      <c r="E70" s="17" t="s">
        <v>94</v>
      </c>
      <c r="F70" s="17">
        <f t="shared" ref="F70" si="33">F69</f>
        <v>10</v>
      </c>
      <c r="G70" s="57">
        <v>0.35199999999999998</v>
      </c>
      <c r="H70" s="58">
        <v>0.71930000000000005</v>
      </c>
      <c r="I70" s="56"/>
      <c r="J70" s="57">
        <f t="shared" si="1"/>
        <v>0.31289999999999996</v>
      </c>
      <c r="K70" s="58">
        <f t="shared" si="2"/>
        <v>0.6821666666666667</v>
      </c>
      <c r="L70" s="56"/>
      <c r="M70" s="62">
        <f t="shared" si="3"/>
        <v>0.14235833333333328</v>
      </c>
      <c r="N70" s="56">
        <f t="shared" si="4"/>
        <v>10.102601483333329</v>
      </c>
      <c r="O70" s="58">
        <f t="shared" si="5"/>
        <v>20.205202966666658</v>
      </c>
      <c r="P70" s="56">
        <f t="shared" si="6"/>
        <v>2.0205202966666658</v>
      </c>
      <c r="Q70" s="57"/>
      <c r="R70" s="56"/>
      <c r="S70" s="58"/>
      <c r="T70" s="56"/>
    </row>
    <row r="71" spans="4:20" ht="14.4" customHeight="1" x14ac:dyDescent="0.3">
      <c r="D71" s="78"/>
      <c r="E71" s="22" t="s">
        <v>95</v>
      </c>
      <c r="F71" s="22">
        <f t="shared" ref="F71" si="34">F69</f>
        <v>10</v>
      </c>
      <c r="G71" s="65">
        <v>0.40339999999999998</v>
      </c>
      <c r="H71" s="66">
        <v>0.72060000000000002</v>
      </c>
      <c r="I71" s="56"/>
      <c r="J71" s="57">
        <f t="shared" si="1"/>
        <v>0.36429999999999996</v>
      </c>
      <c r="K71" s="58">
        <f t="shared" si="2"/>
        <v>0.68346666666666667</v>
      </c>
      <c r="L71" s="56"/>
      <c r="M71" s="62">
        <f t="shared" si="3"/>
        <v>0.19343333333333329</v>
      </c>
      <c r="N71" s="56">
        <f t="shared" si="4"/>
        <v>13.72718993333333</v>
      </c>
      <c r="O71" s="58">
        <f t="shared" si="5"/>
        <v>27.45437986666666</v>
      </c>
      <c r="P71" s="56">
        <f t="shared" si="6"/>
        <v>2.7454379866666661</v>
      </c>
      <c r="Q71" s="57"/>
      <c r="R71" s="56"/>
      <c r="S71" s="58"/>
      <c r="T71" s="56"/>
    </row>
    <row r="72" spans="4:20" ht="14.4" customHeight="1" x14ac:dyDescent="0.3">
      <c r="D72" s="76">
        <f>A42</f>
        <v>16</v>
      </c>
      <c r="E72" s="12" t="s">
        <v>96</v>
      </c>
      <c r="F72" s="12">
        <f>B42</f>
        <v>10</v>
      </c>
      <c r="G72" s="54">
        <v>0.38200000000000001</v>
      </c>
      <c r="H72" s="55">
        <v>0.78759999999999997</v>
      </c>
      <c r="I72" s="56"/>
      <c r="J72" s="57">
        <f t="shared" si="1"/>
        <v>0.34289999999999998</v>
      </c>
      <c r="K72" s="58">
        <f t="shared" si="2"/>
        <v>0.75046666666666662</v>
      </c>
      <c r="L72" s="56"/>
      <c r="M72" s="62">
        <f t="shared" si="3"/>
        <v>0.15528333333333333</v>
      </c>
      <c r="N72" s="56">
        <f t="shared" si="4"/>
        <v>11.019837033333332</v>
      </c>
      <c r="O72" s="58">
        <f t="shared" si="5"/>
        <v>22.039674066666663</v>
      </c>
      <c r="P72" s="56">
        <f t="shared" si="6"/>
        <v>2.2039674066666661</v>
      </c>
      <c r="Q72" s="57">
        <f>AVERAGE(P72:P74)</f>
        <v>1.9332321166666666</v>
      </c>
      <c r="R72" s="56">
        <f>STDEV(P72:P74)</f>
        <v>0.38384324647051954</v>
      </c>
      <c r="S72" s="58">
        <f>R72/Q72*100</f>
        <v>19.855000502079019</v>
      </c>
      <c r="T72" s="56"/>
    </row>
    <row r="73" spans="4:20" ht="14.4" customHeight="1" x14ac:dyDescent="0.3">
      <c r="D73" s="77"/>
      <c r="E73" s="17" t="s">
        <v>97</v>
      </c>
      <c r="F73" s="17">
        <f t="shared" ref="F73" si="35">F72</f>
        <v>10</v>
      </c>
      <c r="G73" s="57">
        <v>0.3705</v>
      </c>
      <c r="H73" s="58">
        <v>0.77039999999999997</v>
      </c>
      <c r="I73" s="56"/>
      <c r="J73" s="57">
        <f t="shared" si="1"/>
        <v>0.33139999999999997</v>
      </c>
      <c r="K73" s="58">
        <f t="shared" si="2"/>
        <v>0.73326666666666662</v>
      </c>
      <c r="L73" s="56"/>
      <c r="M73" s="62">
        <f t="shared" si="3"/>
        <v>0.14808333333333332</v>
      </c>
      <c r="N73" s="56">
        <f t="shared" si="4"/>
        <v>10.508881833333332</v>
      </c>
      <c r="O73" s="58">
        <f t="shared" si="5"/>
        <v>21.017763666666664</v>
      </c>
      <c r="P73" s="56">
        <f t="shared" si="6"/>
        <v>2.1017763666666665</v>
      </c>
      <c r="Q73" s="57"/>
      <c r="R73" s="56"/>
      <c r="S73" s="58"/>
      <c r="T73" s="56"/>
    </row>
    <row r="74" spans="4:20" ht="14.4" customHeight="1" x14ac:dyDescent="0.3">
      <c r="D74" s="78"/>
      <c r="E74" s="22" t="s">
        <v>98</v>
      </c>
      <c r="F74" s="22">
        <f t="shared" ref="F74" si="36">F72</f>
        <v>10</v>
      </c>
      <c r="G74" s="65">
        <v>0.33250000000000002</v>
      </c>
      <c r="H74" s="66">
        <v>0.78969999999999996</v>
      </c>
      <c r="I74" s="56"/>
      <c r="J74" s="57">
        <f t="shared" si="1"/>
        <v>0.29339999999999999</v>
      </c>
      <c r="K74" s="58">
        <f t="shared" si="2"/>
        <v>0.75256666666666661</v>
      </c>
      <c r="L74" s="56"/>
      <c r="M74" s="62">
        <f t="shared" si="3"/>
        <v>0.10525833333333334</v>
      </c>
      <c r="N74" s="56">
        <f t="shared" si="4"/>
        <v>7.4697628833333329</v>
      </c>
      <c r="O74" s="58">
        <f t="shared" si="5"/>
        <v>14.939525766666666</v>
      </c>
      <c r="P74" s="56">
        <f t="shared" si="6"/>
        <v>1.4939525766666666</v>
      </c>
      <c r="Q74" s="57"/>
      <c r="R74" s="56"/>
      <c r="S74" s="58"/>
      <c r="T74" s="56"/>
    </row>
    <row r="75" spans="4:20" ht="14.4" customHeight="1" x14ac:dyDescent="0.3">
      <c r="D75" s="76">
        <f>A43</f>
        <v>17</v>
      </c>
      <c r="E75" s="12" t="s">
        <v>99</v>
      </c>
      <c r="F75" s="12">
        <f>B43</f>
        <v>10</v>
      </c>
      <c r="G75" s="54">
        <v>0.375</v>
      </c>
      <c r="H75" s="55">
        <v>0.75209999999999999</v>
      </c>
      <c r="I75" s="56"/>
      <c r="J75" s="57">
        <f t="shared" si="1"/>
        <v>0.33589999999999998</v>
      </c>
      <c r="K75" s="58">
        <f t="shared" si="2"/>
        <v>0.71496666666666664</v>
      </c>
      <c r="L75" s="56"/>
      <c r="M75" s="62">
        <f t="shared" si="3"/>
        <v>0.15715833333333332</v>
      </c>
      <c r="N75" s="56">
        <f t="shared" si="4"/>
        <v>11.152898283333331</v>
      </c>
      <c r="O75" s="58">
        <f t="shared" si="5"/>
        <v>22.305796566666661</v>
      </c>
      <c r="P75" s="56">
        <f t="shared" si="6"/>
        <v>2.230579656666666</v>
      </c>
      <c r="Q75" s="57">
        <f>AVERAGE(P75:P77)</f>
        <v>1.6459380933333332</v>
      </c>
      <c r="R75" s="56">
        <f>STDEV(P75:P77)</f>
        <v>0.51648920401908927</v>
      </c>
      <c r="S75" s="58">
        <f>R75/Q75*100</f>
        <v>31.379625157900186</v>
      </c>
      <c r="T75" s="56"/>
    </row>
    <row r="76" spans="4:20" ht="14.4" customHeight="1" x14ac:dyDescent="0.3">
      <c r="D76" s="77"/>
      <c r="E76" s="17" t="s">
        <v>100</v>
      </c>
      <c r="F76" s="17">
        <f t="shared" ref="F76" si="37">F75</f>
        <v>10</v>
      </c>
      <c r="G76" s="57">
        <v>0.30990000000000001</v>
      </c>
      <c r="H76" s="58">
        <v>0.76759999999999995</v>
      </c>
      <c r="I76" s="56"/>
      <c r="J76" s="57">
        <f t="shared" si="1"/>
        <v>0.27079999999999999</v>
      </c>
      <c r="K76" s="58">
        <f t="shared" si="2"/>
        <v>0.7304666666666666</v>
      </c>
      <c r="L76" s="56"/>
      <c r="M76" s="62">
        <f t="shared" si="3"/>
        <v>8.8183333333333336E-2</v>
      </c>
      <c r="N76" s="56">
        <f t="shared" si="4"/>
        <v>6.2580184333333326</v>
      </c>
      <c r="O76" s="58">
        <f t="shared" si="5"/>
        <v>12.516036866666665</v>
      </c>
      <c r="P76" s="56">
        <f t="shared" si="6"/>
        <v>1.2516036866666664</v>
      </c>
      <c r="Q76" s="57"/>
      <c r="R76" s="56"/>
      <c r="S76" s="58"/>
      <c r="T76" s="56"/>
    </row>
    <row r="77" spans="4:20" ht="14.4" customHeight="1" x14ac:dyDescent="0.3">
      <c r="D77" s="78"/>
      <c r="E77" s="22" t="s">
        <v>101</v>
      </c>
      <c r="F77" s="22">
        <f t="shared" ref="F77" si="38">F75</f>
        <v>10</v>
      </c>
      <c r="G77" s="65">
        <v>0.32150000000000001</v>
      </c>
      <c r="H77" s="66">
        <v>0.75649999999999995</v>
      </c>
      <c r="I77" s="56"/>
      <c r="J77" s="57">
        <f t="shared" si="1"/>
        <v>0.28239999999999998</v>
      </c>
      <c r="K77" s="58">
        <f t="shared" si="2"/>
        <v>0.7193666666666666</v>
      </c>
      <c r="L77" s="56"/>
      <c r="M77" s="62">
        <f t="shared" si="3"/>
        <v>0.10255833333333333</v>
      </c>
      <c r="N77" s="56">
        <f t="shared" si="4"/>
        <v>7.2781546833333328</v>
      </c>
      <c r="O77" s="58">
        <f t="shared" si="5"/>
        <v>14.556309366666666</v>
      </c>
      <c r="P77" s="56">
        <f t="shared" si="6"/>
        <v>1.4556309366666667</v>
      </c>
      <c r="Q77" s="57"/>
      <c r="R77" s="56"/>
      <c r="S77" s="58"/>
      <c r="T77" s="56"/>
    </row>
    <row r="78" spans="4:20" ht="14.4" customHeight="1" x14ac:dyDescent="0.3">
      <c r="D78" s="76">
        <f>A44</f>
        <v>18</v>
      </c>
      <c r="E78" s="12" t="s">
        <v>102</v>
      </c>
      <c r="F78" s="12">
        <f>B44</f>
        <v>10</v>
      </c>
      <c r="G78" s="54">
        <v>0.35759999999999997</v>
      </c>
      <c r="H78" s="55">
        <v>0.75829999999999997</v>
      </c>
      <c r="I78" s="56"/>
      <c r="J78" s="57">
        <f t="shared" si="1"/>
        <v>0.31849999999999995</v>
      </c>
      <c r="K78" s="58">
        <f t="shared" si="2"/>
        <v>0.72116666666666662</v>
      </c>
      <c r="L78" s="56"/>
      <c r="M78" s="62">
        <f t="shared" si="3"/>
        <v>0.13820833333333329</v>
      </c>
      <c r="N78" s="56">
        <f t="shared" si="4"/>
        <v>9.8080925833333303</v>
      </c>
      <c r="O78" s="58">
        <f t="shared" si="5"/>
        <v>19.616185166666661</v>
      </c>
      <c r="P78" s="56">
        <f t="shared" si="6"/>
        <v>1.961618516666666</v>
      </c>
      <c r="Q78" s="57">
        <f>AVERAGE(P78:P80)</f>
        <v>2.3638774599999999</v>
      </c>
      <c r="R78" s="56">
        <f>STDEV(P78:P80)</f>
        <v>0.38508559564401074</v>
      </c>
      <c r="S78" s="58">
        <f>R78/Q78*100</f>
        <v>16.290421232072273</v>
      </c>
      <c r="T78" s="56"/>
    </row>
    <row r="79" spans="4:20" ht="14.4" customHeight="1" x14ac:dyDescent="0.3">
      <c r="D79" s="77"/>
      <c r="E79" s="17" t="s">
        <v>103</v>
      </c>
      <c r="F79" s="17">
        <f t="shared" ref="F79" si="39">F78</f>
        <v>10</v>
      </c>
      <c r="G79" s="57">
        <v>0.40689999999999998</v>
      </c>
      <c r="H79" s="58">
        <v>0.73919999999999997</v>
      </c>
      <c r="I79" s="56"/>
      <c r="J79" s="57">
        <f t="shared" si="1"/>
        <v>0.36779999999999996</v>
      </c>
      <c r="K79" s="58">
        <f t="shared" si="2"/>
        <v>0.70206666666666662</v>
      </c>
      <c r="L79" s="56"/>
      <c r="M79" s="62">
        <f t="shared" si="3"/>
        <v>0.19228333333333331</v>
      </c>
      <c r="N79" s="56">
        <f t="shared" si="4"/>
        <v>13.64557903333333</v>
      </c>
      <c r="O79" s="58">
        <f t="shared" si="5"/>
        <v>27.291158066666661</v>
      </c>
      <c r="P79" s="56">
        <f t="shared" si="6"/>
        <v>2.7291158066666661</v>
      </c>
      <c r="Q79" s="57"/>
      <c r="R79" s="56"/>
      <c r="S79" s="58"/>
      <c r="T79" s="56"/>
    </row>
    <row r="80" spans="4:20" ht="14.4" customHeight="1" x14ac:dyDescent="0.3">
      <c r="D80" s="78"/>
      <c r="E80" s="22" t="s">
        <v>104</v>
      </c>
      <c r="F80" s="22">
        <f t="shared" ref="F80" si="40">F78</f>
        <v>10</v>
      </c>
      <c r="G80" s="65">
        <v>0.38590000000000002</v>
      </c>
      <c r="H80" s="66">
        <v>0.74770000000000003</v>
      </c>
      <c r="I80" s="56"/>
      <c r="J80" s="57">
        <f t="shared" si="1"/>
        <v>0.3468</v>
      </c>
      <c r="K80" s="58">
        <f t="shared" si="2"/>
        <v>0.71056666666666668</v>
      </c>
      <c r="L80" s="56"/>
      <c r="M80" s="62">
        <f t="shared" si="3"/>
        <v>0.16915833333333333</v>
      </c>
      <c r="N80" s="56">
        <f t="shared" si="4"/>
        <v>12.004490283333332</v>
      </c>
      <c r="O80" s="58">
        <f t="shared" si="5"/>
        <v>24.008980566666665</v>
      </c>
      <c r="P80" s="56">
        <f t="shared" si="6"/>
        <v>2.4008980566666667</v>
      </c>
      <c r="Q80" s="57"/>
      <c r="R80" s="56"/>
      <c r="S80" s="58"/>
      <c r="T80" s="56"/>
    </row>
    <row r="81" spans="4:20" ht="14.4" customHeight="1" x14ac:dyDescent="0.3">
      <c r="D81" s="76">
        <f>A45</f>
        <v>19</v>
      </c>
      <c r="E81" s="12" t="s">
        <v>105</v>
      </c>
      <c r="F81" s="12">
        <f>B45</f>
        <v>10</v>
      </c>
      <c r="G81" s="54">
        <v>0.3589</v>
      </c>
      <c r="H81" s="55">
        <v>0.71020000000000005</v>
      </c>
      <c r="I81" s="56"/>
      <c r="J81" s="57">
        <f t="shared" si="1"/>
        <v>0.31979999999999997</v>
      </c>
      <c r="K81" s="58">
        <f t="shared" si="2"/>
        <v>0.6730666666666667</v>
      </c>
      <c r="L81" s="56"/>
      <c r="M81" s="62">
        <f t="shared" si="3"/>
        <v>0.1515333333333333</v>
      </c>
      <c r="N81" s="56">
        <f t="shared" si="4"/>
        <v>10.75371453333333</v>
      </c>
      <c r="O81" s="58">
        <f t="shared" si="5"/>
        <v>21.50742906666666</v>
      </c>
      <c r="P81" s="56">
        <f t="shared" si="6"/>
        <v>2.1507429066666659</v>
      </c>
      <c r="Q81" s="57">
        <f>AVERAGE(P81:P83)</f>
        <v>2.3990056299999996</v>
      </c>
      <c r="R81" s="56">
        <f>STDEV(P81:P83)</f>
        <v>0.21506337724683336</v>
      </c>
      <c r="S81" s="58">
        <f>R81/Q81*100</f>
        <v>8.9646883090821845</v>
      </c>
      <c r="T81" s="56"/>
    </row>
    <row r="82" spans="4:20" ht="14.4" customHeight="1" x14ac:dyDescent="0.3">
      <c r="D82" s="77"/>
      <c r="E82" s="17" t="s">
        <v>106</v>
      </c>
      <c r="F82" s="17">
        <f t="shared" ref="F82" si="41">F81</f>
        <v>10</v>
      </c>
      <c r="G82" s="57">
        <v>0.3851</v>
      </c>
      <c r="H82" s="58">
        <v>0.71150000000000002</v>
      </c>
      <c r="I82" s="56"/>
      <c r="J82" s="57">
        <f t="shared" si="1"/>
        <v>0.34599999999999997</v>
      </c>
      <c r="K82" s="58">
        <f t="shared" si="2"/>
        <v>0.67436666666666667</v>
      </c>
      <c r="L82" s="56"/>
      <c r="M82" s="62">
        <f t="shared" si="3"/>
        <v>0.17740833333333331</v>
      </c>
      <c r="N82" s="56">
        <f t="shared" si="4"/>
        <v>12.589959783333331</v>
      </c>
      <c r="O82" s="58">
        <f t="shared" si="5"/>
        <v>25.179919566666662</v>
      </c>
      <c r="P82" s="56">
        <f t="shared" si="6"/>
        <v>2.5179919566666662</v>
      </c>
      <c r="Q82" s="57"/>
      <c r="R82" s="56"/>
      <c r="S82" s="58"/>
      <c r="T82" s="56"/>
    </row>
    <row r="83" spans="4:20" ht="14.4" customHeight="1" x14ac:dyDescent="0.3">
      <c r="D83" s="78"/>
      <c r="E83" s="22" t="s">
        <v>107</v>
      </c>
      <c r="F83" s="22">
        <f t="shared" ref="F83" si="42">F81</f>
        <v>10</v>
      </c>
      <c r="G83" s="65">
        <v>0.38640000000000002</v>
      </c>
      <c r="H83" s="66">
        <v>0.71379999999999999</v>
      </c>
      <c r="I83" s="56"/>
      <c r="J83" s="57">
        <f t="shared" si="1"/>
        <v>0.3473</v>
      </c>
      <c r="K83" s="58">
        <f t="shared" si="2"/>
        <v>0.67666666666666664</v>
      </c>
      <c r="L83" s="56"/>
      <c r="M83" s="62">
        <f t="shared" si="3"/>
        <v>0.17813333333333334</v>
      </c>
      <c r="N83" s="56">
        <f t="shared" si="4"/>
        <v>12.641410133333332</v>
      </c>
      <c r="O83" s="58">
        <f t="shared" si="5"/>
        <v>25.282820266666665</v>
      </c>
      <c r="P83" s="56">
        <f t="shared" si="6"/>
        <v>2.5282820266666666</v>
      </c>
      <c r="Q83" s="57"/>
      <c r="R83" s="56"/>
      <c r="S83" s="58"/>
      <c r="T83" s="56"/>
    </row>
    <row r="84" spans="4:20" ht="14.4" customHeight="1" x14ac:dyDescent="0.3">
      <c r="D84" s="76">
        <f>A46</f>
        <v>20</v>
      </c>
      <c r="E84" s="12" t="s">
        <v>108</v>
      </c>
      <c r="F84" s="12">
        <f>B46</f>
        <v>10</v>
      </c>
      <c r="G84" s="54">
        <v>0.4</v>
      </c>
      <c r="H84" s="55">
        <v>0.72199999999999998</v>
      </c>
      <c r="I84" s="56"/>
      <c r="J84" s="57">
        <f t="shared" si="1"/>
        <v>0.3609</v>
      </c>
      <c r="K84" s="58">
        <f t="shared" si="2"/>
        <v>0.68486666666666662</v>
      </c>
      <c r="L84" s="56"/>
      <c r="M84" s="62">
        <f t="shared" si="3"/>
        <v>0.18968333333333334</v>
      </c>
      <c r="N84" s="56">
        <f t="shared" si="4"/>
        <v>13.461067433333334</v>
      </c>
      <c r="O84" s="58">
        <f t="shared" si="5"/>
        <v>26.922134866666667</v>
      </c>
      <c r="P84" s="56">
        <f t="shared" si="6"/>
        <v>2.6922134866666667</v>
      </c>
      <c r="Q84" s="57">
        <f>AVERAGE(P84:P86)</f>
        <v>1.8289120966666665</v>
      </c>
      <c r="R84" s="56">
        <f>STDEV(P84:P86)</f>
        <v>0.75053272208177635</v>
      </c>
      <c r="S84" s="58">
        <f>R84/Q84*100</f>
        <v>41.03711290715831</v>
      </c>
      <c r="T84" s="56"/>
    </row>
    <row r="85" spans="4:20" ht="14.4" customHeight="1" x14ac:dyDescent="0.3">
      <c r="D85" s="77"/>
      <c r="E85" s="17" t="s">
        <v>109</v>
      </c>
      <c r="F85" s="17">
        <f t="shared" ref="F85" si="43">F84</f>
        <v>10</v>
      </c>
      <c r="G85" s="57">
        <v>0.31630000000000003</v>
      </c>
      <c r="H85" s="58">
        <v>0.77070000000000005</v>
      </c>
      <c r="I85" s="56"/>
      <c r="J85" s="57">
        <f t="shared" si="1"/>
        <v>0.2772</v>
      </c>
      <c r="K85" s="58">
        <f t="shared" si="2"/>
        <v>0.7335666666666667</v>
      </c>
      <c r="L85" s="56"/>
      <c r="M85" s="62">
        <f t="shared" si="3"/>
        <v>9.3808333333333327E-2</v>
      </c>
      <c r="N85" s="56">
        <f t="shared" si="4"/>
        <v>6.6572021833333324</v>
      </c>
      <c r="O85" s="58">
        <f t="shared" si="5"/>
        <v>13.314404366666665</v>
      </c>
      <c r="P85" s="56">
        <f t="shared" si="6"/>
        <v>1.3314404366666666</v>
      </c>
      <c r="Q85" s="57"/>
      <c r="R85" s="56"/>
      <c r="S85" s="58"/>
      <c r="T85" s="56"/>
    </row>
    <row r="86" spans="4:20" ht="14.4" customHeight="1" x14ac:dyDescent="0.3">
      <c r="D86" s="78"/>
      <c r="E86" s="22" t="s">
        <v>110</v>
      </c>
      <c r="F86" s="22">
        <f t="shared" ref="F86" si="44">F84</f>
        <v>10</v>
      </c>
      <c r="G86" s="65">
        <v>0.32750000000000001</v>
      </c>
      <c r="H86" s="66">
        <v>0.77839999999999998</v>
      </c>
      <c r="I86" s="56"/>
      <c r="J86" s="57">
        <f t="shared" si="1"/>
        <v>0.28839999999999999</v>
      </c>
      <c r="K86" s="58">
        <f t="shared" si="2"/>
        <v>0.74126666666666663</v>
      </c>
      <c r="L86" s="56"/>
      <c r="M86" s="62">
        <f t="shared" si="3"/>
        <v>0.10308333333333333</v>
      </c>
      <c r="N86" s="56">
        <f t="shared" si="4"/>
        <v>7.3154118333333322</v>
      </c>
      <c r="O86" s="58">
        <f t="shared" si="5"/>
        <v>14.630823666666664</v>
      </c>
      <c r="P86" s="56">
        <f t="shared" si="6"/>
        <v>1.4630823666666664</v>
      </c>
      <c r="Q86" s="57"/>
      <c r="R86" s="56"/>
      <c r="S86" s="58"/>
      <c r="T86" s="56"/>
    </row>
    <row r="87" spans="4:20" ht="14.4" customHeight="1" x14ac:dyDescent="0.3">
      <c r="D87" s="76">
        <f>A47</f>
        <v>21</v>
      </c>
      <c r="E87" s="12" t="s">
        <v>111</v>
      </c>
      <c r="F87" s="12">
        <f>B47</f>
        <v>10</v>
      </c>
      <c r="G87" s="54">
        <v>0.33729999999999999</v>
      </c>
      <c r="H87" s="55">
        <v>0.77980000000000005</v>
      </c>
      <c r="I87" s="56"/>
      <c r="J87" s="57">
        <f t="shared" si="1"/>
        <v>0.29819999999999997</v>
      </c>
      <c r="K87" s="58">
        <f t="shared" si="2"/>
        <v>0.7426666666666667</v>
      </c>
      <c r="L87" s="56"/>
      <c r="M87" s="62">
        <f t="shared" si="3"/>
        <v>0.11253333333333329</v>
      </c>
      <c r="N87" s="56">
        <f t="shared" si="4"/>
        <v>7.9860405333333295</v>
      </c>
      <c r="O87" s="58">
        <f t="shared" si="5"/>
        <v>15.972081066666659</v>
      </c>
      <c r="P87" s="56">
        <f t="shared" si="6"/>
        <v>1.5972081066666659</v>
      </c>
      <c r="Q87" s="57">
        <f>AVERAGE(P87:P89)</f>
        <v>0.99565297999999969</v>
      </c>
      <c r="R87" s="56">
        <f>STDEV(P87:P89)</f>
        <v>0.78051795754062125</v>
      </c>
      <c r="S87" s="58">
        <f>R87/Q87*100</f>
        <v>78.392569822933851</v>
      </c>
      <c r="T87" s="56"/>
    </row>
    <row r="88" spans="4:20" ht="14.4" customHeight="1" x14ac:dyDescent="0.3">
      <c r="D88" s="77"/>
      <c r="E88" s="17" t="s">
        <v>112</v>
      </c>
      <c r="F88" s="17">
        <f t="shared" ref="F88:F97" si="45">F87</f>
        <v>10</v>
      </c>
      <c r="G88" s="57">
        <v>0.2397</v>
      </c>
      <c r="H88" s="58">
        <v>0.8075</v>
      </c>
      <c r="I88" s="56"/>
      <c r="J88" s="57">
        <f t="shared" si="1"/>
        <v>0.2006</v>
      </c>
      <c r="K88" s="58">
        <f t="shared" si="2"/>
        <v>0.77036666666666664</v>
      </c>
      <c r="L88" s="56"/>
      <c r="M88" s="62">
        <f t="shared" si="3"/>
        <v>8.0083333333333395E-3</v>
      </c>
      <c r="N88" s="56">
        <f t="shared" si="4"/>
        <v>0.56831938333333376</v>
      </c>
      <c r="O88" s="58">
        <f t="shared" si="5"/>
        <v>1.1366387666666675</v>
      </c>
      <c r="P88" s="56">
        <f t="shared" si="6"/>
        <v>0.11366387666666675</v>
      </c>
      <c r="Q88" s="57"/>
      <c r="R88" s="56"/>
      <c r="S88" s="58"/>
      <c r="T88" s="56"/>
    </row>
    <row r="89" spans="4:20" ht="14.4" customHeight="1" x14ac:dyDescent="0.3">
      <c r="D89" s="78"/>
      <c r="E89" s="22" t="s">
        <v>113</v>
      </c>
      <c r="F89" s="22">
        <f t="shared" ref="F89:F98" si="46">F87</f>
        <v>10</v>
      </c>
      <c r="G89" s="65">
        <v>0.30349999999999999</v>
      </c>
      <c r="H89" s="66">
        <v>0.73509999999999998</v>
      </c>
      <c r="I89" s="56"/>
      <c r="J89" s="57">
        <f t="shared" si="1"/>
        <v>0.26439999999999997</v>
      </c>
      <c r="K89" s="58">
        <f t="shared" si="2"/>
        <v>0.69796666666666662</v>
      </c>
      <c r="L89" s="56"/>
      <c r="M89" s="62">
        <f t="shared" si="3"/>
        <v>8.9908333333333312E-2</v>
      </c>
      <c r="N89" s="56">
        <f t="shared" si="4"/>
        <v>6.3804347833333317</v>
      </c>
      <c r="O89" s="58">
        <f t="shared" si="5"/>
        <v>12.760869566666663</v>
      </c>
      <c r="P89" s="56">
        <f t="shared" si="6"/>
        <v>1.2760869566666664</v>
      </c>
      <c r="Q89" s="57"/>
      <c r="R89" s="56"/>
      <c r="S89" s="58"/>
      <c r="T89" s="56"/>
    </row>
    <row r="90" spans="4:20" ht="14.4" customHeight="1" x14ac:dyDescent="0.3">
      <c r="D90" s="76">
        <f>A48</f>
        <v>22</v>
      </c>
      <c r="E90" s="12" t="s">
        <v>114</v>
      </c>
      <c r="F90" s="12">
        <f>B48</f>
        <v>10</v>
      </c>
      <c r="G90" s="54">
        <v>0.3619</v>
      </c>
      <c r="H90" s="55">
        <v>0.70750000000000002</v>
      </c>
      <c r="I90" s="56"/>
      <c r="J90" s="57">
        <f t="shared" si="1"/>
        <v>0.32279999999999998</v>
      </c>
      <c r="K90" s="58">
        <f t="shared" si="2"/>
        <v>0.67036666666666667</v>
      </c>
      <c r="L90" s="56"/>
      <c r="M90" s="62">
        <f t="shared" si="3"/>
        <v>0.15520833333333331</v>
      </c>
      <c r="N90" s="56">
        <f t="shared" si="4"/>
        <v>11.01451458333333</v>
      </c>
      <c r="O90" s="58">
        <f t="shared" si="5"/>
        <v>22.02902916666666</v>
      </c>
      <c r="P90" s="56">
        <f t="shared" si="6"/>
        <v>2.202902916666666</v>
      </c>
      <c r="Q90" s="57">
        <f>AVERAGE(P90:P92)</f>
        <v>2.1272058499999993</v>
      </c>
      <c r="R90" s="56">
        <f>STDEV(P90:P92)</f>
        <v>0.15859842560507803</v>
      </c>
      <c r="S90" s="58">
        <f>R90/Q90*100</f>
        <v>7.4557159385904317</v>
      </c>
      <c r="T90" s="56"/>
    </row>
    <row r="91" spans="4:20" ht="14.4" customHeight="1" x14ac:dyDescent="0.3">
      <c r="D91" s="77"/>
      <c r="E91" s="17" t="s">
        <v>115</v>
      </c>
      <c r="F91" s="17">
        <f t="shared" si="45"/>
        <v>10</v>
      </c>
      <c r="G91" s="57">
        <v>0.34089999999999998</v>
      </c>
      <c r="H91" s="58">
        <v>0.69620000000000004</v>
      </c>
      <c r="I91" s="56"/>
      <c r="J91" s="57">
        <f t="shared" ref="J91:J98" si="47">G91-$J$14</f>
        <v>0.30179999999999996</v>
      </c>
      <c r="K91" s="58">
        <f t="shared" ref="K91:K98" si="48">H91-$K$14</f>
        <v>0.65906666666666669</v>
      </c>
      <c r="L91" s="56"/>
      <c r="M91" s="62">
        <f t="shared" si="3"/>
        <v>0.13703333333333328</v>
      </c>
      <c r="N91" s="56">
        <f t="shared" si="4"/>
        <v>9.7247075333333299</v>
      </c>
      <c r="O91" s="58">
        <f t="shared" si="5"/>
        <v>19.44941506666666</v>
      </c>
      <c r="P91" s="56">
        <f t="shared" si="6"/>
        <v>1.944941506666666</v>
      </c>
      <c r="Q91" s="57"/>
      <c r="R91" s="56"/>
      <c r="S91" s="58"/>
      <c r="T91" s="56"/>
    </row>
    <row r="92" spans="4:20" ht="14.4" customHeight="1" x14ac:dyDescent="0.3">
      <c r="D92" s="78"/>
      <c r="E92" s="22" t="s">
        <v>116</v>
      </c>
      <c r="F92" s="22">
        <f t="shared" si="46"/>
        <v>10</v>
      </c>
      <c r="G92" s="65">
        <v>0.3599</v>
      </c>
      <c r="H92" s="66">
        <v>0.69079999999999997</v>
      </c>
      <c r="I92" s="56"/>
      <c r="J92" s="57">
        <f t="shared" si="47"/>
        <v>0.32079999999999997</v>
      </c>
      <c r="K92" s="58">
        <f t="shared" si="48"/>
        <v>0.65366666666666662</v>
      </c>
      <c r="L92" s="56"/>
      <c r="M92" s="62">
        <f t="shared" ref="M92:M98" si="49">J92-(0.25*K92)</f>
        <v>0.15738333333333332</v>
      </c>
      <c r="N92" s="56">
        <f t="shared" ref="N92:N98" si="50">M92*70.966</f>
        <v>11.168865633333331</v>
      </c>
      <c r="O92" s="58">
        <f t="shared" ref="O92:O98" si="51">N92*2</f>
        <v>22.337731266666662</v>
      </c>
      <c r="P92" s="56">
        <f t="shared" ref="P92:P98" si="52">O92/F92</f>
        <v>2.2337731266666663</v>
      </c>
      <c r="Q92" s="57"/>
      <c r="R92" s="56"/>
      <c r="S92" s="58"/>
      <c r="T92" s="56"/>
    </row>
    <row r="93" spans="4:20" ht="14.4" customHeight="1" x14ac:dyDescent="0.3">
      <c r="D93" s="76">
        <f>A49</f>
        <v>23</v>
      </c>
      <c r="E93" s="12" t="s">
        <v>117</v>
      </c>
      <c r="F93" s="12">
        <f>B49</f>
        <v>10</v>
      </c>
      <c r="G93" s="54">
        <v>0.36370000000000002</v>
      </c>
      <c r="H93" s="55">
        <v>0.75109999999999999</v>
      </c>
      <c r="I93" s="56"/>
      <c r="J93" s="57">
        <f t="shared" si="47"/>
        <v>0.3246</v>
      </c>
      <c r="K93" s="58">
        <f t="shared" si="48"/>
        <v>0.71396666666666664</v>
      </c>
      <c r="L93" s="56"/>
      <c r="M93" s="62">
        <f t="shared" si="49"/>
        <v>0.14610833333333334</v>
      </c>
      <c r="N93" s="56">
        <f t="shared" si="50"/>
        <v>10.368723983333332</v>
      </c>
      <c r="O93" s="58">
        <f t="shared" si="51"/>
        <v>20.737447966666664</v>
      </c>
      <c r="P93" s="56">
        <f t="shared" si="52"/>
        <v>2.0737447966666664</v>
      </c>
      <c r="Q93" s="57">
        <f>AVERAGE(P93:P95)</f>
        <v>2.2039674066666661</v>
      </c>
      <c r="R93" s="56">
        <f>STDEV(P93:P95)</f>
        <v>0.18058825262088499</v>
      </c>
      <c r="S93" s="58">
        <f>R93/Q93*100</f>
        <v>8.1937805466012321</v>
      </c>
      <c r="T93" s="56"/>
    </row>
    <row r="94" spans="4:20" ht="14.4" customHeight="1" x14ac:dyDescent="0.3">
      <c r="D94" s="77"/>
      <c r="E94" s="17" t="s">
        <v>118</v>
      </c>
      <c r="F94" s="17">
        <f t="shared" si="45"/>
        <v>10</v>
      </c>
      <c r="G94" s="57">
        <v>0.37209999999999999</v>
      </c>
      <c r="H94" s="58">
        <v>0.76939999999999997</v>
      </c>
      <c r="I94" s="56"/>
      <c r="J94" s="57">
        <f t="shared" si="47"/>
        <v>0.33299999999999996</v>
      </c>
      <c r="K94" s="58">
        <f t="shared" si="48"/>
        <v>0.73226666666666662</v>
      </c>
      <c r="L94" s="56"/>
      <c r="M94" s="62">
        <f t="shared" si="49"/>
        <v>0.14993333333333331</v>
      </c>
      <c r="N94" s="56">
        <f t="shared" si="50"/>
        <v>10.64016893333333</v>
      </c>
      <c r="O94" s="58">
        <f t="shared" si="51"/>
        <v>21.28033786666666</v>
      </c>
      <c r="P94" s="56">
        <f t="shared" si="52"/>
        <v>2.1280337866666659</v>
      </c>
      <c r="Q94" s="57"/>
      <c r="R94" s="56"/>
      <c r="S94" s="58"/>
      <c r="T94" s="56"/>
    </row>
    <row r="95" spans="4:20" ht="14.4" customHeight="1" x14ac:dyDescent="0.3">
      <c r="D95" s="78"/>
      <c r="E95" s="22" t="s">
        <v>119</v>
      </c>
      <c r="F95" s="22">
        <f t="shared" si="46"/>
        <v>10</v>
      </c>
      <c r="G95" s="65">
        <v>0.38879999999999998</v>
      </c>
      <c r="H95" s="66">
        <v>0.75670000000000004</v>
      </c>
      <c r="I95" s="56"/>
      <c r="J95" s="57">
        <f t="shared" si="47"/>
        <v>0.34969999999999996</v>
      </c>
      <c r="K95" s="58">
        <f t="shared" si="48"/>
        <v>0.71956666666666669</v>
      </c>
      <c r="L95" s="56"/>
      <c r="M95" s="62">
        <f t="shared" si="49"/>
        <v>0.16980833333333328</v>
      </c>
      <c r="N95" s="56">
        <f t="shared" si="50"/>
        <v>12.050618183333329</v>
      </c>
      <c r="O95" s="58">
        <f t="shared" si="51"/>
        <v>24.101236366666658</v>
      </c>
      <c r="P95" s="56">
        <f t="shared" si="52"/>
        <v>2.4101236366666656</v>
      </c>
      <c r="Q95" s="57"/>
      <c r="R95" s="56"/>
      <c r="S95" s="58"/>
      <c r="T95" s="56"/>
    </row>
    <row r="96" spans="4:20" ht="14.4" customHeight="1" x14ac:dyDescent="0.3">
      <c r="D96" s="76">
        <f>A50</f>
        <v>24</v>
      </c>
      <c r="E96" s="12" t="s">
        <v>120</v>
      </c>
      <c r="F96" s="12">
        <f>B50</f>
        <v>10</v>
      </c>
      <c r="G96" s="54">
        <v>0.36720000000000003</v>
      </c>
      <c r="H96" s="55">
        <v>0.70199999999999996</v>
      </c>
      <c r="I96" s="56"/>
      <c r="J96" s="57">
        <f t="shared" si="47"/>
        <v>0.3281</v>
      </c>
      <c r="K96" s="58">
        <f t="shared" si="48"/>
        <v>0.66486666666666661</v>
      </c>
      <c r="L96" s="56"/>
      <c r="M96" s="62">
        <f t="shared" si="49"/>
        <v>0.16188333333333335</v>
      </c>
      <c r="N96" s="56">
        <f t="shared" si="50"/>
        <v>11.488212633333333</v>
      </c>
      <c r="O96" s="58">
        <f t="shared" si="51"/>
        <v>22.976425266666666</v>
      </c>
      <c r="P96" s="56">
        <f t="shared" si="52"/>
        <v>2.2976425266666665</v>
      </c>
      <c r="Q96" s="57">
        <f>AVERAGE(P96:P98)</f>
        <v>2.1721509833333328</v>
      </c>
      <c r="R96" s="56">
        <f>STDEV(P96:P98)</f>
        <v>0.23950692070772506</v>
      </c>
      <c r="S96" s="58">
        <f>R96/Q96*100</f>
        <v>11.026255658351303</v>
      </c>
      <c r="T96" s="56"/>
    </row>
    <row r="97" spans="4:20" ht="14.4" customHeight="1" x14ac:dyDescent="0.3">
      <c r="D97" s="77"/>
      <c r="E97" s="17" t="s">
        <v>121</v>
      </c>
      <c r="F97" s="17">
        <f t="shared" si="45"/>
        <v>10</v>
      </c>
      <c r="G97" s="57">
        <v>0.36580000000000001</v>
      </c>
      <c r="H97" s="58">
        <v>0.68930000000000002</v>
      </c>
      <c r="I97" s="56"/>
      <c r="J97" s="57">
        <f t="shared" si="47"/>
        <v>0.32669999999999999</v>
      </c>
      <c r="K97" s="58">
        <f t="shared" si="48"/>
        <v>0.65216666666666667</v>
      </c>
      <c r="L97" s="56"/>
      <c r="M97" s="62">
        <f t="shared" si="49"/>
        <v>0.16365833333333332</v>
      </c>
      <c r="N97" s="56">
        <f t="shared" si="50"/>
        <v>11.614177283333332</v>
      </c>
      <c r="O97" s="58">
        <f t="shared" si="51"/>
        <v>23.228354566666663</v>
      </c>
      <c r="P97" s="56">
        <f t="shared" si="52"/>
        <v>2.3228354566666662</v>
      </c>
      <c r="Q97" s="57"/>
      <c r="R97" s="56"/>
      <c r="S97" s="58"/>
      <c r="T97" s="56"/>
    </row>
    <row r="98" spans="4:20" ht="14.4" customHeight="1" x14ac:dyDescent="0.3">
      <c r="D98" s="78"/>
      <c r="E98" s="22" t="s">
        <v>122</v>
      </c>
      <c r="F98" s="22">
        <f t="shared" si="46"/>
        <v>10</v>
      </c>
      <c r="G98" s="65">
        <v>0.33329999999999999</v>
      </c>
      <c r="H98" s="66">
        <v>0.67959999999999998</v>
      </c>
      <c r="I98" s="56"/>
      <c r="J98" s="65">
        <f t="shared" si="47"/>
        <v>0.29419999999999996</v>
      </c>
      <c r="K98" s="58">
        <f t="shared" si="48"/>
        <v>0.64246666666666663</v>
      </c>
      <c r="L98" s="56"/>
      <c r="M98" s="69">
        <f t="shared" si="49"/>
        <v>0.1335833333333333</v>
      </c>
      <c r="N98" s="56">
        <f t="shared" si="50"/>
        <v>9.47987483333333</v>
      </c>
      <c r="O98" s="58">
        <f t="shared" si="51"/>
        <v>18.95974966666666</v>
      </c>
      <c r="P98" s="70">
        <f t="shared" si="52"/>
        <v>1.8959749666666661</v>
      </c>
      <c r="Q98" s="65"/>
      <c r="R98" s="70"/>
      <c r="S98" s="66"/>
      <c r="T98" s="56"/>
    </row>
    <row r="99" spans="4:20" x14ac:dyDescent="0.3">
      <c r="N99" s="35"/>
    </row>
  </sheetData>
  <mergeCells count="31">
    <mergeCell ref="D96:D98"/>
    <mergeCell ref="D78:D80"/>
    <mergeCell ref="D81:D83"/>
    <mergeCell ref="D84:D86"/>
    <mergeCell ref="D87:D89"/>
    <mergeCell ref="D90:D92"/>
    <mergeCell ref="D93:D95"/>
    <mergeCell ref="D60:D62"/>
    <mergeCell ref="D63:D65"/>
    <mergeCell ref="D66:D68"/>
    <mergeCell ref="D69:D71"/>
    <mergeCell ref="D72:D74"/>
    <mergeCell ref="D75:D77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8F79-F7D5-47BA-A2CE-14793C268930}">
  <dimension ref="A1:X99"/>
  <sheetViews>
    <sheetView zoomScale="80" zoomScaleNormal="80" workbookViewId="0">
      <selection activeCell="H24" sqref="H24"/>
    </sheetView>
  </sheetViews>
  <sheetFormatPr defaultColWidth="8.88671875" defaultRowHeight="14.4" x14ac:dyDescent="0.3"/>
  <cols>
    <col min="1" max="1" width="10.5546875" bestFit="1" customWidth="1"/>
    <col min="2" max="2" width="9.109375" bestFit="1" customWidth="1"/>
    <col min="4" max="4" width="9.44140625" customWidth="1"/>
    <col min="5" max="5" width="10" customWidth="1"/>
    <col min="6" max="6" width="11.6640625" customWidth="1"/>
    <col min="7" max="7" width="12.5546875" customWidth="1"/>
    <col min="8" max="8" width="12.6640625" customWidth="1"/>
    <col min="10" max="11" width="9" customWidth="1"/>
    <col min="12" max="12" width="11.6640625" customWidth="1"/>
    <col min="13" max="13" width="9" customWidth="1"/>
    <col min="14" max="14" width="11.6640625" bestFit="1" customWidth="1"/>
    <col min="15" max="15" width="9" customWidth="1"/>
    <col min="16" max="16" width="9" bestFit="1" customWidth="1"/>
    <col min="17" max="17" width="10.88671875" customWidth="1"/>
    <col min="18" max="18" width="10.6640625" customWidth="1"/>
    <col min="19" max="19" width="9" bestFit="1" customWidth="1"/>
    <col min="20" max="20" width="9.5546875" bestFit="1" customWidth="1"/>
    <col min="21" max="21" width="9.5546875" customWidth="1"/>
  </cols>
  <sheetData>
    <row r="1" spans="5:17" x14ac:dyDescent="0.3">
      <c r="E1" s="79" t="s">
        <v>0</v>
      </c>
      <c r="F1" s="79"/>
      <c r="G1" s="79"/>
    </row>
    <row r="2" spans="5:17" x14ac:dyDescent="0.3">
      <c r="E2" s="79"/>
      <c r="F2" s="79"/>
      <c r="G2" s="79"/>
    </row>
    <row r="4" spans="5:17" ht="28.5" customHeight="1" x14ac:dyDescent="0.3">
      <c r="E4" s="1"/>
      <c r="F4" s="80" t="s">
        <v>1</v>
      </c>
      <c r="G4" s="81"/>
      <c r="I4" s="1"/>
      <c r="J4" s="80" t="s">
        <v>1</v>
      </c>
      <c r="K4" s="81"/>
      <c r="L4" s="2"/>
      <c r="M4" s="71" t="s">
        <v>2</v>
      </c>
      <c r="N4" s="72"/>
      <c r="O4" s="2"/>
      <c r="P4" s="82" t="s">
        <v>3</v>
      </c>
      <c r="Q4" s="83"/>
    </row>
    <row r="5" spans="5:17" ht="17.25" customHeight="1" x14ac:dyDescent="0.3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2" t="s">
        <v>1</v>
      </c>
      <c r="Q5" s="83"/>
    </row>
    <row r="6" spans="5:17" x14ac:dyDescent="0.3">
      <c r="E6" s="11" t="s">
        <v>8</v>
      </c>
      <c r="F6">
        <v>4.2000000000000003E-2</v>
      </c>
      <c r="G6">
        <v>3.8100000000000002E-2</v>
      </c>
      <c r="I6" s="13">
        <v>12.5</v>
      </c>
      <c r="J6" s="14">
        <f>AVERAGE(F9:F11)</f>
        <v>0.26476666666666665</v>
      </c>
      <c r="K6" s="15">
        <f>AVERAGE(G9:G11)</f>
        <v>3.6366666666666665E-2</v>
      </c>
      <c r="M6" s="14">
        <f>J6-$J$14</f>
        <v>0.22566666666666665</v>
      </c>
      <c r="N6" s="15">
        <f>K6-$K$14</f>
        <v>-7.666666666666655E-4</v>
      </c>
      <c r="P6" s="1" t="s">
        <v>5</v>
      </c>
      <c r="Q6" s="7" t="s">
        <v>7</v>
      </c>
    </row>
    <row r="7" spans="5:17" x14ac:dyDescent="0.3">
      <c r="E7" s="16" t="s">
        <v>9</v>
      </c>
      <c r="F7">
        <v>3.5799999999999998E-2</v>
      </c>
      <c r="G7">
        <v>3.49E-2</v>
      </c>
      <c r="I7" s="18">
        <v>25</v>
      </c>
      <c r="J7" s="19">
        <f>AVERAGE(F12:F14)</f>
        <v>0.56596666666666673</v>
      </c>
      <c r="K7" s="20">
        <f>AVERAGE(G12:G14)</f>
        <v>3.6399999999999995E-2</v>
      </c>
      <c r="M7" s="19">
        <f>J7-$J$14</f>
        <v>0.52686666666666671</v>
      </c>
      <c r="N7" s="20">
        <f>K7-$K$14</f>
        <v>-7.3333333333333584E-4</v>
      </c>
      <c r="P7" s="17">
        <f>M6</f>
        <v>0.22566666666666665</v>
      </c>
      <c r="Q7" s="12">
        <v>12.5</v>
      </c>
    </row>
    <row r="8" spans="5:17" x14ac:dyDescent="0.3">
      <c r="E8" s="21" t="s">
        <v>10</v>
      </c>
      <c r="F8">
        <v>3.95E-2</v>
      </c>
      <c r="G8">
        <v>3.8399999999999997E-2</v>
      </c>
      <c r="I8" s="18">
        <v>50</v>
      </c>
      <c r="J8" s="19">
        <f>AVERAGE(F15:F17)</f>
        <v>1.1274333333333333</v>
      </c>
      <c r="K8" s="20">
        <f>AVERAGE(G15:G17)</f>
        <v>3.7200000000000004E-2</v>
      </c>
      <c r="M8" s="19">
        <f>J8-$J$14</f>
        <v>1.0883333333333334</v>
      </c>
      <c r="N8" s="20">
        <f>K8-$K$14</f>
        <v>6.6666666666673202E-5</v>
      </c>
      <c r="P8" s="17">
        <f>M7</f>
        <v>0.52686666666666671</v>
      </c>
      <c r="Q8" s="17">
        <v>25</v>
      </c>
    </row>
    <row r="9" spans="5:17" x14ac:dyDescent="0.3">
      <c r="E9" s="11" t="s">
        <v>11</v>
      </c>
      <c r="F9">
        <v>0.31159999999999999</v>
      </c>
      <c r="G9">
        <v>3.56E-2</v>
      </c>
      <c r="I9" s="18">
        <v>100</v>
      </c>
      <c r="J9" s="19">
        <f>AVERAGE(F18:F20)</f>
        <v>1.7840999999999998</v>
      </c>
      <c r="K9" s="20">
        <f>AVERAGE(G18:G20)</f>
        <v>3.833333333333333E-2</v>
      </c>
      <c r="M9" s="19">
        <f>J9-$J$14</f>
        <v>1.7449999999999999</v>
      </c>
      <c r="N9" s="20">
        <f>K9-$K$14</f>
        <v>1.1999999999999997E-3</v>
      </c>
      <c r="P9" s="17">
        <f>M8</f>
        <v>1.0883333333333334</v>
      </c>
      <c r="Q9" s="17">
        <v>50</v>
      </c>
    </row>
    <row r="10" spans="5:17" x14ac:dyDescent="0.3">
      <c r="E10" s="16" t="s">
        <v>12</v>
      </c>
      <c r="F10">
        <v>0.17879999999999999</v>
      </c>
      <c r="G10">
        <v>3.6999999999999998E-2</v>
      </c>
      <c r="I10" s="23">
        <v>250</v>
      </c>
      <c r="J10" s="24">
        <f>AVERAGE(F21:F23)</f>
        <v>3.8068999999999997</v>
      </c>
      <c r="K10" s="25">
        <f>AVERAGE(G21:G23)</f>
        <v>3.5266666666666668E-2</v>
      </c>
      <c r="M10" s="19">
        <f>J10-$J$14</f>
        <v>3.7677999999999998</v>
      </c>
      <c r="N10" s="20">
        <f>K10-$K$14</f>
        <v>-1.8666666666666623E-3</v>
      </c>
      <c r="P10" s="17">
        <f>M9</f>
        <v>1.7449999999999999</v>
      </c>
      <c r="Q10" s="17">
        <v>100</v>
      </c>
    </row>
    <row r="11" spans="5:17" x14ac:dyDescent="0.3">
      <c r="E11" s="21" t="s">
        <v>13</v>
      </c>
      <c r="F11">
        <v>0.3039</v>
      </c>
      <c r="G11">
        <v>3.6499999999999998E-2</v>
      </c>
      <c r="I11" s="26" t="s">
        <v>14</v>
      </c>
      <c r="J11" s="13">
        <f t="shared" ref="J11:K13" si="0">F6</f>
        <v>4.2000000000000003E-2</v>
      </c>
      <c r="K11" s="27">
        <f t="shared" si="0"/>
        <v>3.8100000000000002E-2</v>
      </c>
      <c r="M11" s="23"/>
      <c r="N11" s="28"/>
      <c r="P11" s="22">
        <f>M10</f>
        <v>3.7677999999999998</v>
      </c>
      <c r="Q11" s="22">
        <v>250</v>
      </c>
    </row>
    <row r="12" spans="5:17" x14ac:dyDescent="0.3">
      <c r="E12" s="11" t="s">
        <v>15</v>
      </c>
      <c r="F12">
        <v>0.55330000000000001</v>
      </c>
      <c r="G12">
        <v>3.5499999999999997E-2</v>
      </c>
      <c r="I12" s="29" t="s">
        <v>14</v>
      </c>
      <c r="J12" s="18">
        <f t="shared" si="0"/>
        <v>3.5799999999999998E-2</v>
      </c>
      <c r="K12" s="30">
        <f t="shared" si="0"/>
        <v>3.49E-2</v>
      </c>
    </row>
    <row r="13" spans="5:17" x14ac:dyDescent="0.3">
      <c r="E13" s="16" t="s">
        <v>16</v>
      </c>
      <c r="F13">
        <v>0.54720000000000002</v>
      </c>
      <c r="G13">
        <v>3.7400000000000003E-2</v>
      </c>
      <c r="I13" s="31" t="s">
        <v>14</v>
      </c>
      <c r="J13" s="23">
        <f t="shared" si="0"/>
        <v>3.95E-2</v>
      </c>
      <c r="K13" s="28">
        <f t="shared" si="0"/>
        <v>3.8399999999999997E-2</v>
      </c>
    </row>
    <row r="14" spans="5:17" x14ac:dyDescent="0.3">
      <c r="E14" s="21" t="s">
        <v>17</v>
      </c>
      <c r="F14">
        <v>0.59740000000000004</v>
      </c>
      <c r="G14">
        <v>3.6299999999999999E-2</v>
      </c>
      <c r="I14" s="32" t="s">
        <v>18</v>
      </c>
      <c r="J14" s="33">
        <f>AVERAGE(J11:J13)</f>
        <v>3.9100000000000003E-2</v>
      </c>
      <c r="K14" s="34">
        <f>AVERAGE(K11:K13)</f>
        <v>3.7133333333333331E-2</v>
      </c>
    </row>
    <row r="15" spans="5:17" x14ac:dyDescent="0.3">
      <c r="E15" s="11" t="s">
        <v>19</v>
      </c>
      <c r="F15">
        <v>1.2909999999999999</v>
      </c>
      <c r="G15">
        <v>3.8300000000000001E-2</v>
      </c>
      <c r="M15" s="13" t="s">
        <v>20</v>
      </c>
      <c r="N15" s="35"/>
      <c r="O15" s="27"/>
    </row>
    <row r="16" spans="5:17" x14ac:dyDescent="0.3">
      <c r="E16" s="16" t="s">
        <v>21</v>
      </c>
      <c r="F16">
        <v>1.0270999999999999</v>
      </c>
      <c r="G16">
        <v>3.6799999999999999E-2</v>
      </c>
      <c r="M16" s="18" t="s">
        <v>22</v>
      </c>
      <c r="O16" s="30"/>
    </row>
    <row r="17" spans="1:24" x14ac:dyDescent="0.3">
      <c r="E17" s="21" t="s">
        <v>23</v>
      </c>
      <c r="F17">
        <v>1.0642</v>
      </c>
      <c r="G17">
        <v>3.6499999999999998E-2</v>
      </c>
      <c r="M17" s="23" t="s">
        <v>24</v>
      </c>
      <c r="N17" s="36"/>
      <c r="O17" s="28"/>
    </row>
    <row r="18" spans="1:24" x14ac:dyDescent="0.3">
      <c r="E18" s="11" t="s">
        <v>25</v>
      </c>
      <c r="F18">
        <v>2.1677</v>
      </c>
      <c r="G18">
        <v>4.1599999999999998E-2</v>
      </c>
      <c r="I18" s="82" t="s">
        <v>26</v>
      </c>
      <c r="J18" s="84"/>
      <c r="K18" s="83"/>
      <c r="W18" s="37"/>
      <c r="X18" s="37"/>
    </row>
    <row r="19" spans="1:24" ht="15.6" x14ac:dyDescent="0.3">
      <c r="E19" s="16" t="s">
        <v>27</v>
      </c>
      <c r="F19">
        <v>1.1813</v>
      </c>
      <c r="G19">
        <v>3.78E-2</v>
      </c>
      <c r="I19" s="38" t="s">
        <v>28</v>
      </c>
      <c r="J19" s="36"/>
      <c r="K19" s="28"/>
    </row>
    <row r="20" spans="1:24" x14ac:dyDescent="0.3">
      <c r="E20" s="21" t="s">
        <v>29</v>
      </c>
      <c r="F20">
        <v>2.0032999999999999</v>
      </c>
      <c r="G20">
        <v>3.56E-2</v>
      </c>
      <c r="U20" s="37"/>
      <c r="V20" s="37"/>
    </row>
    <row r="21" spans="1:24" x14ac:dyDescent="0.3">
      <c r="E21" s="11" t="s">
        <v>30</v>
      </c>
      <c r="F21">
        <v>3.8005</v>
      </c>
      <c r="G21">
        <v>3.4299999999999997E-2</v>
      </c>
      <c r="U21" s="37"/>
      <c r="V21" s="37"/>
    </row>
    <row r="22" spans="1:24" x14ac:dyDescent="0.3">
      <c r="E22" s="16" t="s">
        <v>31</v>
      </c>
      <c r="F22" s="39" t="s">
        <v>123</v>
      </c>
      <c r="G22">
        <v>3.4799999999999998E-2</v>
      </c>
      <c r="U22" s="37"/>
      <c r="V22" s="37"/>
    </row>
    <row r="23" spans="1:24" x14ac:dyDescent="0.3">
      <c r="E23" s="21" t="s">
        <v>32</v>
      </c>
      <c r="F23">
        <v>3.8132999999999999</v>
      </c>
      <c r="G23">
        <v>3.6700000000000003E-2</v>
      </c>
      <c r="U23" s="37"/>
      <c r="V23" s="37"/>
    </row>
    <row r="24" spans="1:24" x14ac:dyDescent="0.3">
      <c r="E24" s="39"/>
      <c r="V24" s="37"/>
      <c r="W24" s="37"/>
    </row>
    <row r="25" spans="1:24" ht="31.5" customHeight="1" x14ac:dyDescent="0.3">
      <c r="A25" s="85" t="s">
        <v>33</v>
      </c>
      <c r="B25" s="86"/>
      <c r="J25" s="36"/>
      <c r="K25" s="36"/>
      <c r="M25" s="73"/>
      <c r="N25" s="41" t="s">
        <v>34</v>
      </c>
      <c r="O25" s="42" t="s">
        <v>124</v>
      </c>
      <c r="P25" s="75" t="s">
        <v>35</v>
      </c>
      <c r="Q25" s="71" t="s">
        <v>36</v>
      </c>
      <c r="R25" s="75" t="s">
        <v>37</v>
      </c>
      <c r="S25" s="74" t="s">
        <v>37</v>
      </c>
      <c r="T25" s="72" t="s">
        <v>38</v>
      </c>
      <c r="U25" s="6" t="s">
        <v>36</v>
      </c>
      <c r="V25" s="37"/>
    </row>
    <row r="26" spans="1:24" ht="30.75" customHeight="1" x14ac:dyDescent="0.3">
      <c r="A26" s="45" t="s">
        <v>39</v>
      </c>
      <c r="B26" s="1" t="s">
        <v>40</v>
      </c>
      <c r="D26" s="46" t="s">
        <v>38</v>
      </c>
      <c r="E26" s="46" t="s">
        <v>41</v>
      </c>
      <c r="F26" s="47" t="s">
        <v>42</v>
      </c>
      <c r="G26" s="47" t="s">
        <v>5</v>
      </c>
      <c r="H26" s="47" t="s">
        <v>6</v>
      </c>
      <c r="I26" s="48"/>
      <c r="J26" s="49" t="s">
        <v>43</v>
      </c>
      <c r="K26" s="50" t="s">
        <v>44</v>
      </c>
      <c r="M26" s="47" t="s">
        <v>45</v>
      </c>
      <c r="N26" s="51" t="s">
        <v>46</v>
      </c>
      <c r="O26" s="52" t="s">
        <v>47</v>
      </c>
      <c r="P26" s="53" t="s">
        <v>48</v>
      </c>
      <c r="Q26" s="71" t="s">
        <v>49</v>
      </c>
      <c r="R26" s="41" t="s">
        <v>49</v>
      </c>
      <c r="S26" s="74" t="s">
        <v>50</v>
      </c>
      <c r="T26" s="74"/>
      <c r="U26" s="6" t="s">
        <v>49</v>
      </c>
      <c r="V26" s="37"/>
    </row>
    <row r="27" spans="1:24" ht="15" customHeight="1" x14ac:dyDescent="0.3">
      <c r="A27" s="18">
        <v>1</v>
      </c>
      <c r="B27" s="30">
        <v>10</v>
      </c>
      <c r="D27" s="76">
        <f>A27</f>
        <v>1</v>
      </c>
      <c r="E27" s="12" t="s">
        <v>51</v>
      </c>
      <c r="F27" s="12">
        <f>B27</f>
        <v>10</v>
      </c>
      <c r="G27" s="54">
        <v>0.22420000000000001</v>
      </c>
      <c r="H27" s="55">
        <v>0.68049999999999999</v>
      </c>
      <c r="I27" s="56"/>
      <c r="J27" s="57">
        <f t="shared" ref="J27:J90" si="1">G27-$J$14</f>
        <v>0.18510000000000001</v>
      </c>
      <c r="K27" s="58">
        <f t="shared" ref="K27:K90" si="2">H27-$K$14</f>
        <v>0.64336666666666664</v>
      </c>
      <c r="L27" s="56"/>
      <c r="M27" s="59">
        <f>J27-(0.25*K27)</f>
        <v>2.4258333333333354E-2</v>
      </c>
      <c r="N27" s="56">
        <f>M27*70.966</f>
        <v>1.7215168833333347</v>
      </c>
      <c r="O27" s="58">
        <f>N27*2</f>
        <v>3.4430337666666695</v>
      </c>
      <c r="P27" s="56">
        <f>O27/F27</f>
        <v>0.34430337666666694</v>
      </c>
      <c r="Q27" s="57">
        <f>AVERAGE(P27:P29)</f>
        <v>1.3021078233333332</v>
      </c>
      <c r="R27" s="56">
        <f>STDEV(P27:P29)</f>
        <v>0.84693129346375728</v>
      </c>
      <c r="S27" s="58">
        <f>R27/Q27*100</f>
        <v>65.043099986578227</v>
      </c>
      <c r="T27" s="60">
        <f>D27</f>
        <v>1</v>
      </c>
      <c r="U27" s="61">
        <f>Q27</f>
        <v>1.3021078233333332</v>
      </c>
      <c r="V27" s="37"/>
    </row>
    <row r="28" spans="1:24" ht="14.4" customHeight="1" x14ac:dyDescent="0.3">
      <c r="A28" s="18">
        <v>2</v>
      </c>
      <c r="B28" s="30">
        <v>10</v>
      </c>
      <c r="D28" s="77"/>
      <c r="E28" s="17" t="s">
        <v>52</v>
      </c>
      <c r="F28" s="17">
        <f>F27</f>
        <v>10</v>
      </c>
      <c r="G28" s="57">
        <v>0.32040000000000002</v>
      </c>
      <c r="H28" s="58">
        <v>0.61219999999999997</v>
      </c>
      <c r="I28" s="56"/>
      <c r="J28" s="57">
        <f t="shared" si="1"/>
        <v>0.28129999999999999</v>
      </c>
      <c r="K28" s="58">
        <f t="shared" si="2"/>
        <v>0.57506666666666661</v>
      </c>
      <c r="L28" s="56"/>
      <c r="M28" s="62">
        <f t="shared" ref="M28:M91" si="3">J28-(0.25*K28)</f>
        <v>0.13753333333333334</v>
      </c>
      <c r="N28" s="56">
        <f t="shared" ref="N28:N91" si="4">M28*70.966</f>
        <v>9.7601905333333328</v>
      </c>
      <c r="O28" s="58">
        <f t="shared" ref="O28:O91" si="5">N28*2</f>
        <v>19.520381066666666</v>
      </c>
      <c r="P28" s="56">
        <f t="shared" ref="P28:P91" si="6">O28/F28</f>
        <v>1.9520381066666666</v>
      </c>
      <c r="Q28" s="57"/>
      <c r="R28" s="56"/>
      <c r="S28" s="58"/>
      <c r="T28" s="63">
        <f>D30</f>
        <v>2</v>
      </c>
      <c r="U28" s="64">
        <f>Q30</f>
        <v>2.2033760233333326</v>
      </c>
    </row>
    <row r="29" spans="1:24" ht="14.4" customHeight="1" x14ac:dyDescent="0.3">
      <c r="A29" s="18">
        <v>3</v>
      </c>
      <c r="B29" s="30">
        <v>10</v>
      </c>
      <c r="D29" s="78"/>
      <c r="E29" s="22" t="s">
        <v>53</v>
      </c>
      <c r="F29" s="22">
        <f>F27</f>
        <v>10</v>
      </c>
      <c r="G29" s="65">
        <v>0.3019</v>
      </c>
      <c r="H29" s="66">
        <v>0.63460000000000005</v>
      </c>
      <c r="I29" s="56"/>
      <c r="J29" s="57">
        <f t="shared" si="1"/>
        <v>0.26279999999999998</v>
      </c>
      <c r="K29" s="58">
        <f t="shared" si="2"/>
        <v>0.5974666666666667</v>
      </c>
      <c r="L29" s="56"/>
      <c r="M29" s="62">
        <f t="shared" si="3"/>
        <v>0.1134333333333333</v>
      </c>
      <c r="N29" s="56">
        <f t="shared" si="4"/>
        <v>8.0499099333333302</v>
      </c>
      <c r="O29" s="58">
        <f t="shared" si="5"/>
        <v>16.09981986666666</v>
      </c>
      <c r="P29" s="56">
        <f t="shared" si="6"/>
        <v>1.609981986666666</v>
      </c>
      <c r="Q29" s="57"/>
      <c r="R29" s="56"/>
      <c r="S29" s="58"/>
      <c r="T29" s="63">
        <f>D33</f>
        <v>3</v>
      </c>
      <c r="U29" s="64">
        <f>Q33</f>
        <v>2.3020187633333333</v>
      </c>
    </row>
    <row r="30" spans="1:24" ht="14.4" customHeight="1" x14ac:dyDescent="0.3">
      <c r="A30" s="18">
        <v>4</v>
      </c>
      <c r="B30" s="30">
        <v>10</v>
      </c>
      <c r="D30" s="76">
        <f>A28</f>
        <v>2</v>
      </c>
      <c r="E30" s="12" t="s">
        <v>54</v>
      </c>
      <c r="F30" s="12">
        <f>B28</f>
        <v>10</v>
      </c>
      <c r="G30" s="54">
        <v>0.34560000000000002</v>
      </c>
      <c r="H30" s="55">
        <v>0.64859999999999995</v>
      </c>
      <c r="I30" s="56"/>
      <c r="J30" s="57">
        <f t="shared" si="1"/>
        <v>0.30649999999999999</v>
      </c>
      <c r="K30" s="58">
        <f t="shared" si="2"/>
        <v>0.6114666666666666</v>
      </c>
      <c r="L30" s="56"/>
      <c r="M30" s="62">
        <f t="shared" si="3"/>
        <v>0.15363333333333334</v>
      </c>
      <c r="N30" s="56">
        <f t="shared" si="4"/>
        <v>10.902743133333333</v>
      </c>
      <c r="O30" s="58">
        <f t="shared" si="5"/>
        <v>21.805486266666666</v>
      </c>
      <c r="P30" s="56">
        <f t="shared" si="6"/>
        <v>2.1805486266666665</v>
      </c>
      <c r="Q30" s="57">
        <f>AVERAGE(P30:P32)</f>
        <v>2.2033760233333326</v>
      </c>
      <c r="R30" s="56">
        <f>STDEV(P30:P32)</f>
        <v>0.27658772794727965</v>
      </c>
      <c r="S30" s="58">
        <f>R30/Q30*100</f>
        <v>12.55290631368719</v>
      </c>
      <c r="T30" s="63">
        <f>D36</f>
        <v>4</v>
      </c>
      <c r="U30" s="64">
        <f>Q36</f>
        <v>1.6137668399999996</v>
      </c>
    </row>
    <row r="31" spans="1:24" ht="14.4" customHeight="1" x14ac:dyDescent="0.3">
      <c r="A31" s="18">
        <v>5</v>
      </c>
      <c r="B31" s="30">
        <v>10</v>
      </c>
      <c r="D31" s="77"/>
      <c r="E31" s="17" t="s">
        <v>55</v>
      </c>
      <c r="F31" s="17">
        <f t="shared" ref="F31" si="7">F30</f>
        <v>10</v>
      </c>
      <c r="G31" s="57">
        <v>0.32819999999999999</v>
      </c>
      <c r="H31" s="58">
        <v>0.64710000000000001</v>
      </c>
      <c r="I31" s="56"/>
      <c r="J31" s="57">
        <f t="shared" si="1"/>
        <v>0.28909999999999997</v>
      </c>
      <c r="K31" s="58">
        <f t="shared" si="2"/>
        <v>0.60996666666666666</v>
      </c>
      <c r="L31" s="56"/>
      <c r="M31" s="62">
        <f t="shared" si="3"/>
        <v>0.1366083333333333</v>
      </c>
      <c r="N31" s="56">
        <f t="shared" si="4"/>
        <v>9.6945469833333302</v>
      </c>
      <c r="O31" s="58">
        <f t="shared" si="5"/>
        <v>19.38909396666666</v>
      </c>
      <c r="P31" s="56">
        <f t="shared" si="6"/>
        <v>1.938909396666666</v>
      </c>
      <c r="Q31" s="57"/>
      <c r="R31" s="56"/>
      <c r="S31" s="58"/>
      <c r="T31" s="63">
        <f>D39</f>
        <v>5</v>
      </c>
      <c r="U31" s="64">
        <f>Q39</f>
        <v>1.0577482299999996</v>
      </c>
    </row>
    <row r="32" spans="1:24" ht="14.4" customHeight="1" x14ac:dyDescent="0.3">
      <c r="A32" s="18">
        <v>6</v>
      </c>
      <c r="B32" s="30">
        <v>10</v>
      </c>
      <c r="D32" s="78"/>
      <c r="E32" s="22" t="s">
        <v>56</v>
      </c>
      <c r="F32" s="22">
        <f t="shared" ref="F32" si="8">F30</f>
        <v>10</v>
      </c>
      <c r="G32" s="65">
        <v>0.36899999999999999</v>
      </c>
      <c r="H32" s="66">
        <v>0.65480000000000005</v>
      </c>
      <c r="I32" s="56"/>
      <c r="J32" s="57">
        <f t="shared" si="1"/>
        <v>0.32989999999999997</v>
      </c>
      <c r="K32" s="58">
        <f t="shared" si="2"/>
        <v>0.6176666666666667</v>
      </c>
      <c r="L32" s="56"/>
      <c r="M32" s="62">
        <f t="shared" si="3"/>
        <v>0.1754833333333333</v>
      </c>
      <c r="N32" s="56">
        <f t="shared" si="4"/>
        <v>12.45335023333333</v>
      </c>
      <c r="O32" s="58">
        <f t="shared" si="5"/>
        <v>24.90670046666666</v>
      </c>
      <c r="P32" s="56">
        <f t="shared" si="6"/>
        <v>2.4906700466666658</v>
      </c>
      <c r="Q32" s="57"/>
      <c r="R32" s="56"/>
      <c r="S32" s="58"/>
      <c r="T32" s="63">
        <f>D42</f>
        <v>6</v>
      </c>
      <c r="U32" s="64">
        <f>Q42</f>
        <v>1.6788190066666662</v>
      </c>
    </row>
    <row r="33" spans="1:21" ht="14.4" customHeight="1" x14ac:dyDescent="0.3">
      <c r="A33" s="18">
        <v>7</v>
      </c>
      <c r="B33" s="30">
        <v>10</v>
      </c>
      <c r="D33" s="76">
        <f>A29</f>
        <v>3</v>
      </c>
      <c r="E33" s="12" t="s">
        <v>57</v>
      </c>
      <c r="F33" s="12">
        <f>B29</f>
        <v>10</v>
      </c>
      <c r="G33" s="54">
        <v>0.35880000000000001</v>
      </c>
      <c r="H33" s="55">
        <v>0.66449999999999998</v>
      </c>
      <c r="I33" s="56"/>
      <c r="J33" s="57">
        <f t="shared" si="1"/>
        <v>0.31969999999999998</v>
      </c>
      <c r="K33" s="58">
        <f t="shared" si="2"/>
        <v>0.62736666666666663</v>
      </c>
      <c r="L33" s="56"/>
      <c r="M33" s="62">
        <f t="shared" si="3"/>
        <v>0.16285833333333333</v>
      </c>
      <c r="N33" s="56">
        <f t="shared" si="4"/>
        <v>11.557404483333332</v>
      </c>
      <c r="O33" s="58">
        <f t="shared" si="5"/>
        <v>23.114808966666665</v>
      </c>
      <c r="P33" s="56">
        <f t="shared" si="6"/>
        <v>2.3114808966666667</v>
      </c>
      <c r="Q33" s="57">
        <f>AVERAGE(P33:P35)</f>
        <v>2.3020187633333333</v>
      </c>
      <c r="R33" s="56">
        <f>STDEV(P33:P35)</f>
        <v>7.1790039471379699E-2</v>
      </c>
      <c r="S33" s="58">
        <f>R33/Q33*100</f>
        <v>3.1185688238017399</v>
      </c>
      <c r="T33" s="63">
        <f>D45</f>
        <v>7</v>
      </c>
      <c r="U33" s="64">
        <f>Q45</f>
        <v>2.2822665600000001</v>
      </c>
    </row>
    <row r="34" spans="1:21" ht="14.4" customHeight="1" x14ac:dyDescent="0.3">
      <c r="A34" s="18">
        <v>8</v>
      </c>
      <c r="B34" s="30">
        <v>10</v>
      </c>
      <c r="D34" s="77"/>
      <c r="E34" s="17" t="s">
        <v>58</v>
      </c>
      <c r="F34" s="17">
        <f t="shared" ref="F34" si="9">F33</f>
        <v>10</v>
      </c>
      <c r="G34" s="57">
        <v>0.36130000000000001</v>
      </c>
      <c r="H34" s="58">
        <v>0.65839999999999999</v>
      </c>
      <c r="I34" s="56"/>
      <c r="J34" s="57">
        <f t="shared" si="1"/>
        <v>0.32219999999999999</v>
      </c>
      <c r="K34" s="58">
        <f t="shared" si="2"/>
        <v>0.62126666666666663</v>
      </c>
      <c r="L34" s="56"/>
      <c r="M34" s="62">
        <f t="shared" si="3"/>
        <v>0.16688333333333333</v>
      </c>
      <c r="N34" s="56">
        <f t="shared" si="4"/>
        <v>11.843042633333331</v>
      </c>
      <c r="O34" s="58">
        <f t="shared" si="5"/>
        <v>23.686085266666662</v>
      </c>
      <c r="P34" s="56">
        <f t="shared" si="6"/>
        <v>2.3686085266666663</v>
      </c>
      <c r="Q34" s="57"/>
      <c r="R34" s="56"/>
      <c r="S34" s="58"/>
      <c r="T34" s="63">
        <f>D48</f>
        <v>8</v>
      </c>
      <c r="U34" s="64">
        <f>Q48</f>
        <v>2.1300444899999995</v>
      </c>
    </row>
    <row r="35" spans="1:21" ht="14.4" customHeight="1" x14ac:dyDescent="0.3">
      <c r="A35" s="18">
        <v>9</v>
      </c>
      <c r="B35" s="30">
        <v>10</v>
      </c>
      <c r="D35" s="78"/>
      <c r="E35" s="22" t="s">
        <v>59</v>
      </c>
      <c r="F35" s="22">
        <f t="shared" ref="F35" si="10">F33</f>
        <v>10</v>
      </c>
      <c r="G35" s="65">
        <v>0.35639999999999999</v>
      </c>
      <c r="H35" s="66">
        <v>0.67900000000000005</v>
      </c>
      <c r="I35" s="56"/>
      <c r="J35" s="57">
        <f t="shared" si="1"/>
        <v>0.31729999999999997</v>
      </c>
      <c r="K35" s="58">
        <f t="shared" si="2"/>
        <v>0.6418666666666667</v>
      </c>
      <c r="L35" s="56"/>
      <c r="M35" s="62">
        <f t="shared" si="3"/>
        <v>0.1568333333333333</v>
      </c>
      <c r="N35" s="56">
        <f t="shared" si="4"/>
        <v>11.12983433333333</v>
      </c>
      <c r="O35" s="58">
        <f t="shared" si="5"/>
        <v>22.259668666666659</v>
      </c>
      <c r="P35" s="56">
        <f t="shared" si="6"/>
        <v>2.2259668666666661</v>
      </c>
      <c r="Q35" s="57"/>
      <c r="R35" s="56"/>
      <c r="S35" s="58"/>
      <c r="T35" s="63">
        <f>D51</f>
        <v>9</v>
      </c>
      <c r="U35" s="64">
        <f>Q51</f>
        <v>1.9344148833333328</v>
      </c>
    </row>
    <row r="36" spans="1:21" ht="14.4" customHeight="1" x14ac:dyDescent="0.3">
      <c r="A36" s="18">
        <v>10</v>
      </c>
      <c r="B36" s="30">
        <v>10</v>
      </c>
      <c r="D36" s="76">
        <f>A30</f>
        <v>4</v>
      </c>
      <c r="E36" s="12" t="s">
        <v>60</v>
      </c>
      <c r="F36" s="12">
        <f>B30</f>
        <v>10</v>
      </c>
      <c r="G36" s="54">
        <v>0.28100000000000003</v>
      </c>
      <c r="H36" s="55">
        <v>0.62529999999999997</v>
      </c>
      <c r="I36" s="56"/>
      <c r="J36" s="57">
        <f t="shared" si="1"/>
        <v>0.24190000000000003</v>
      </c>
      <c r="K36" s="58">
        <f t="shared" si="2"/>
        <v>0.58816666666666662</v>
      </c>
      <c r="L36" s="56"/>
      <c r="M36" s="62">
        <f t="shared" si="3"/>
        <v>9.4858333333333378E-2</v>
      </c>
      <c r="N36" s="56">
        <f t="shared" si="4"/>
        <v>6.7317164833333356</v>
      </c>
      <c r="O36" s="58">
        <f t="shared" si="5"/>
        <v>13.463432966666671</v>
      </c>
      <c r="P36" s="56">
        <f t="shared" si="6"/>
        <v>1.3463432966666671</v>
      </c>
      <c r="Q36" s="57">
        <f>AVERAGE(P36:P38)</f>
        <v>1.6137668399999996</v>
      </c>
      <c r="R36" s="56">
        <f>STDEV(P36:P38)</f>
        <v>0.27724017868083684</v>
      </c>
      <c r="S36" s="58">
        <f>R36/Q36*100</f>
        <v>17.179692369985549</v>
      </c>
      <c r="T36" s="63">
        <f>D54</f>
        <v>10</v>
      </c>
      <c r="U36" s="64">
        <f>Q54</f>
        <v>1.6266589966666665</v>
      </c>
    </row>
    <row r="37" spans="1:21" ht="14.4" customHeight="1" x14ac:dyDescent="0.3">
      <c r="A37" s="18">
        <v>11</v>
      </c>
      <c r="B37" s="30">
        <v>10</v>
      </c>
      <c r="D37" s="77"/>
      <c r="E37" s="17" t="s">
        <v>61</v>
      </c>
      <c r="F37" s="17">
        <f t="shared" ref="F37" si="11">F36</f>
        <v>10</v>
      </c>
      <c r="G37" s="57">
        <v>0.29089999999999999</v>
      </c>
      <c r="H37" s="58">
        <v>0.5948</v>
      </c>
      <c r="I37" s="56"/>
      <c r="J37" s="57">
        <f t="shared" si="1"/>
        <v>0.25179999999999997</v>
      </c>
      <c r="K37" s="58">
        <f t="shared" si="2"/>
        <v>0.55766666666666664</v>
      </c>
      <c r="L37" s="56"/>
      <c r="M37" s="62">
        <f t="shared" si="3"/>
        <v>0.11238333333333331</v>
      </c>
      <c r="N37" s="56">
        <f t="shared" si="4"/>
        <v>7.9753956333333305</v>
      </c>
      <c r="O37" s="58">
        <f t="shared" si="5"/>
        <v>15.950791266666661</v>
      </c>
      <c r="P37" s="56">
        <f t="shared" si="6"/>
        <v>1.5950791266666662</v>
      </c>
      <c r="Q37" s="57"/>
      <c r="R37" s="56"/>
      <c r="S37" s="58"/>
      <c r="T37" s="63">
        <f>D57</f>
        <v>11</v>
      </c>
      <c r="U37" s="64">
        <f>Q57</f>
        <v>0.13483539999999991</v>
      </c>
    </row>
    <row r="38" spans="1:21" ht="14.4" customHeight="1" x14ac:dyDescent="0.3">
      <c r="A38" s="18">
        <v>12</v>
      </c>
      <c r="B38" s="30">
        <v>10</v>
      </c>
      <c r="D38" s="78"/>
      <c r="E38" s="22" t="s">
        <v>62</v>
      </c>
      <c r="F38" s="22">
        <f t="shared" ref="F38" si="12">F36</f>
        <v>10</v>
      </c>
      <c r="G38" s="65">
        <v>0.31359999999999999</v>
      </c>
      <c r="H38" s="66">
        <v>0.59970000000000001</v>
      </c>
      <c r="I38" s="56"/>
      <c r="J38" s="57">
        <f t="shared" si="1"/>
        <v>0.27449999999999997</v>
      </c>
      <c r="K38" s="58">
        <f t="shared" si="2"/>
        <v>0.56256666666666666</v>
      </c>
      <c r="L38" s="56"/>
      <c r="M38" s="62">
        <f t="shared" si="3"/>
        <v>0.1338583333333333</v>
      </c>
      <c r="N38" s="56">
        <f t="shared" si="4"/>
        <v>9.4993904833333307</v>
      </c>
      <c r="O38" s="58">
        <f t="shared" si="5"/>
        <v>18.998780966666661</v>
      </c>
      <c r="P38" s="56">
        <f t="shared" si="6"/>
        <v>1.8998780966666662</v>
      </c>
      <c r="Q38" s="57"/>
      <c r="R38" s="56"/>
      <c r="S38" s="58"/>
      <c r="T38" s="63">
        <f>D60</f>
        <v>12</v>
      </c>
      <c r="U38" s="64">
        <f>Q60</f>
        <v>0.13010433333333329</v>
      </c>
    </row>
    <row r="39" spans="1:21" ht="14.4" customHeight="1" x14ac:dyDescent="0.3">
      <c r="A39" s="18">
        <v>13</v>
      </c>
      <c r="B39" s="30">
        <v>10</v>
      </c>
      <c r="D39" s="76">
        <f>A31</f>
        <v>5</v>
      </c>
      <c r="E39" s="12" t="s">
        <v>63</v>
      </c>
      <c r="F39" s="12">
        <f>B31</f>
        <v>10</v>
      </c>
      <c r="G39" s="54">
        <v>0.29799999999999999</v>
      </c>
      <c r="H39" s="55">
        <v>0.61119999999999997</v>
      </c>
      <c r="I39" s="56"/>
      <c r="J39" s="57">
        <f t="shared" si="1"/>
        <v>0.25889999999999996</v>
      </c>
      <c r="K39" s="58">
        <f t="shared" si="2"/>
        <v>0.57406666666666661</v>
      </c>
      <c r="L39" s="56"/>
      <c r="M39" s="62">
        <f t="shared" si="3"/>
        <v>0.11538333333333331</v>
      </c>
      <c r="N39" s="56">
        <f t="shared" si="4"/>
        <v>8.1882936333333305</v>
      </c>
      <c r="O39" s="58">
        <f t="shared" si="5"/>
        <v>16.376587266666661</v>
      </c>
      <c r="P39" s="56">
        <f t="shared" si="6"/>
        <v>1.637658726666666</v>
      </c>
      <c r="Q39" s="57">
        <f>AVERAGE(P39:P41)</f>
        <v>1.0577482299999996</v>
      </c>
      <c r="R39" s="56">
        <f>STDEV(P39:P41)</f>
        <v>0.90050138045091344</v>
      </c>
      <c r="S39" s="58">
        <f>R39/Q39*100</f>
        <v>85.133811138678411</v>
      </c>
      <c r="T39" s="63">
        <f>D63</f>
        <v>13</v>
      </c>
      <c r="U39" s="64">
        <f>Q63</f>
        <v>1.5554564433333331</v>
      </c>
    </row>
    <row r="40" spans="1:21" ht="14.4" customHeight="1" x14ac:dyDescent="0.3">
      <c r="A40" s="18">
        <v>14</v>
      </c>
      <c r="B40" s="30">
        <v>10</v>
      </c>
      <c r="D40" s="77"/>
      <c r="E40" s="17" t="s">
        <v>64</v>
      </c>
      <c r="F40" s="17">
        <f t="shared" ref="F40" si="13">F39</f>
        <v>10</v>
      </c>
      <c r="G40" s="57">
        <v>0.20399999999999999</v>
      </c>
      <c r="H40" s="58">
        <v>0.69099999999999995</v>
      </c>
      <c r="I40" s="56"/>
      <c r="J40" s="57">
        <f t="shared" si="1"/>
        <v>0.16489999999999999</v>
      </c>
      <c r="K40" s="58">
        <f t="shared" si="2"/>
        <v>0.6538666666666666</v>
      </c>
      <c r="L40" s="56"/>
      <c r="M40" s="62">
        <f t="shared" si="3"/>
        <v>1.433333333333342E-3</v>
      </c>
      <c r="N40" s="56">
        <f t="shared" si="4"/>
        <v>0.10171793333333394</v>
      </c>
      <c r="O40" s="58">
        <f t="shared" si="5"/>
        <v>0.20343586666666788</v>
      </c>
      <c r="P40" s="56">
        <f t="shared" si="6"/>
        <v>2.0343586666666788E-2</v>
      </c>
      <c r="Q40" s="57"/>
      <c r="R40" s="56"/>
      <c r="S40" s="58"/>
      <c r="T40" s="63">
        <f>D66</f>
        <v>14</v>
      </c>
      <c r="U40" s="64">
        <f>Q66</f>
        <v>2.29894357</v>
      </c>
    </row>
    <row r="41" spans="1:21" ht="14.4" customHeight="1" x14ac:dyDescent="0.3">
      <c r="A41" s="18">
        <v>15</v>
      </c>
      <c r="B41" s="30">
        <v>10</v>
      </c>
      <c r="D41" s="78"/>
      <c r="E41" s="22" t="s">
        <v>65</v>
      </c>
      <c r="F41" s="22">
        <f t="shared" ref="F41" si="14">F39</f>
        <v>10</v>
      </c>
      <c r="G41" s="65">
        <v>0.28799999999999998</v>
      </c>
      <c r="H41" s="66">
        <v>0.60570000000000002</v>
      </c>
      <c r="I41" s="56"/>
      <c r="J41" s="57">
        <f t="shared" si="1"/>
        <v>0.24889999999999998</v>
      </c>
      <c r="K41" s="58">
        <f t="shared" si="2"/>
        <v>0.56856666666666666</v>
      </c>
      <c r="L41" s="56"/>
      <c r="M41" s="62">
        <f t="shared" si="3"/>
        <v>0.10675833333333332</v>
      </c>
      <c r="N41" s="56">
        <f t="shared" si="4"/>
        <v>7.5762118833333316</v>
      </c>
      <c r="O41" s="58">
        <f t="shared" si="5"/>
        <v>15.152423766666663</v>
      </c>
      <c r="P41" s="56">
        <f t="shared" si="6"/>
        <v>1.5152423766666663</v>
      </c>
      <c r="Q41" s="57"/>
      <c r="R41" s="56"/>
      <c r="S41" s="58"/>
      <c r="T41" s="63">
        <f>D69</f>
        <v>15</v>
      </c>
      <c r="U41" s="64">
        <f>Q69</f>
        <v>2.3113626199999993</v>
      </c>
    </row>
    <row r="42" spans="1:21" ht="14.4" customHeight="1" x14ac:dyDescent="0.3">
      <c r="A42" s="18">
        <v>16</v>
      </c>
      <c r="B42" s="30">
        <v>10</v>
      </c>
      <c r="D42" s="76">
        <f>A32</f>
        <v>6</v>
      </c>
      <c r="E42" s="12" t="s">
        <v>66</v>
      </c>
      <c r="F42" s="12">
        <f>B32</f>
        <v>10</v>
      </c>
      <c r="G42" s="54">
        <v>0.33489999999999998</v>
      </c>
      <c r="H42" s="55">
        <v>0.79159999999999997</v>
      </c>
      <c r="I42" s="56"/>
      <c r="J42" s="57">
        <f t="shared" si="1"/>
        <v>0.29579999999999995</v>
      </c>
      <c r="K42" s="58">
        <f t="shared" si="2"/>
        <v>0.75446666666666662</v>
      </c>
      <c r="L42" s="56"/>
      <c r="M42" s="62">
        <f t="shared" si="3"/>
        <v>0.1071833333333333</v>
      </c>
      <c r="N42" s="56">
        <f t="shared" si="4"/>
        <v>7.6063724333333305</v>
      </c>
      <c r="O42" s="58">
        <f t="shared" si="5"/>
        <v>15.212744866666661</v>
      </c>
      <c r="P42" s="56">
        <f t="shared" si="6"/>
        <v>1.5212744866666661</v>
      </c>
      <c r="Q42" s="57">
        <f>AVERAGE(P42:P44)</f>
        <v>1.6788190066666662</v>
      </c>
      <c r="R42" s="56">
        <f>STDEV(P42:P44)</f>
        <v>0.6426981241977695</v>
      </c>
      <c r="S42" s="58">
        <f>R42/Q42*100</f>
        <v>38.28275243761157</v>
      </c>
      <c r="T42" s="63">
        <f>D72</f>
        <v>16</v>
      </c>
      <c r="U42" s="64">
        <f>Q72</f>
        <v>1.9332321166666666</v>
      </c>
    </row>
    <row r="43" spans="1:21" ht="14.4" customHeight="1" x14ac:dyDescent="0.3">
      <c r="A43" s="18">
        <v>17</v>
      </c>
      <c r="B43" s="30">
        <v>10</v>
      </c>
      <c r="D43" s="77"/>
      <c r="E43" s="17" t="s">
        <v>67</v>
      </c>
      <c r="F43" s="17">
        <f t="shared" ref="F43" si="15">F42</f>
        <v>10</v>
      </c>
      <c r="G43" s="57">
        <v>0.38379999999999997</v>
      </c>
      <c r="H43" s="58">
        <v>0.74360000000000004</v>
      </c>
      <c r="I43" s="56"/>
      <c r="J43" s="57">
        <f t="shared" si="1"/>
        <v>0.34469999999999995</v>
      </c>
      <c r="K43" s="58">
        <f t="shared" si="2"/>
        <v>0.70646666666666669</v>
      </c>
      <c r="L43" s="56"/>
      <c r="M43" s="62">
        <f t="shared" si="3"/>
        <v>0.16808333333333328</v>
      </c>
      <c r="N43" s="56">
        <f t="shared" si="4"/>
        <v>11.928201833333329</v>
      </c>
      <c r="O43" s="58">
        <f t="shared" si="5"/>
        <v>23.856403666666658</v>
      </c>
      <c r="P43" s="56">
        <f t="shared" si="6"/>
        <v>2.3856403666666659</v>
      </c>
      <c r="Q43" s="57"/>
      <c r="R43" s="56"/>
      <c r="S43" s="58"/>
      <c r="T43" s="63">
        <f>D75</f>
        <v>17</v>
      </c>
      <c r="U43" s="64">
        <f>Q75</f>
        <v>1.6459380933333332</v>
      </c>
    </row>
    <row r="44" spans="1:21" ht="14.4" customHeight="1" x14ac:dyDescent="0.3">
      <c r="A44" s="18">
        <v>18</v>
      </c>
      <c r="B44" s="30">
        <v>10</v>
      </c>
      <c r="D44" s="78"/>
      <c r="E44" s="22" t="s">
        <v>68</v>
      </c>
      <c r="F44" s="22">
        <f t="shared" ref="F44" si="16">F42</f>
        <v>10</v>
      </c>
      <c r="G44" s="65">
        <v>0.30120000000000002</v>
      </c>
      <c r="H44" s="66">
        <v>0.76719999999999999</v>
      </c>
      <c r="I44" s="56"/>
      <c r="J44" s="57">
        <f t="shared" si="1"/>
        <v>0.2621</v>
      </c>
      <c r="K44" s="58">
        <f t="shared" si="2"/>
        <v>0.73006666666666664</v>
      </c>
      <c r="L44" s="56"/>
      <c r="M44" s="62">
        <f t="shared" si="3"/>
        <v>7.9583333333333339E-2</v>
      </c>
      <c r="N44" s="56">
        <f t="shared" si="4"/>
        <v>5.647710833333333</v>
      </c>
      <c r="O44" s="58">
        <f t="shared" si="5"/>
        <v>11.295421666666666</v>
      </c>
      <c r="P44" s="56">
        <f t="shared" si="6"/>
        <v>1.1295421666666665</v>
      </c>
      <c r="Q44" s="57"/>
      <c r="R44" s="56"/>
      <c r="S44" s="58"/>
      <c r="T44" s="63">
        <f>D78</f>
        <v>18</v>
      </c>
      <c r="U44" s="64">
        <f>Q78</f>
        <v>2.3638774599999999</v>
      </c>
    </row>
    <row r="45" spans="1:21" ht="14.4" customHeight="1" x14ac:dyDescent="0.3">
      <c r="A45" s="18">
        <v>19</v>
      </c>
      <c r="B45" s="30">
        <v>10</v>
      </c>
      <c r="D45" s="76">
        <f>A33</f>
        <v>7</v>
      </c>
      <c r="E45" s="12" t="s">
        <v>69</v>
      </c>
      <c r="F45" s="12">
        <f>B33</f>
        <v>10</v>
      </c>
      <c r="G45" s="54">
        <v>0.38040000000000002</v>
      </c>
      <c r="H45" s="55">
        <v>0.68089999999999995</v>
      </c>
      <c r="I45" s="56"/>
      <c r="J45" s="57">
        <f t="shared" si="1"/>
        <v>0.34129999999999999</v>
      </c>
      <c r="K45" s="58">
        <f t="shared" si="2"/>
        <v>0.6437666666666666</v>
      </c>
      <c r="L45" s="56"/>
      <c r="M45" s="62">
        <f t="shared" si="3"/>
        <v>0.18035833333333334</v>
      </c>
      <c r="N45" s="56">
        <f t="shared" si="4"/>
        <v>12.799309483333333</v>
      </c>
      <c r="O45" s="58">
        <f t="shared" si="5"/>
        <v>25.598618966666667</v>
      </c>
      <c r="P45" s="56">
        <f t="shared" si="6"/>
        <v>2.5598618966666669</v>
      </c>
      <c r="Q45" s="57">
        <f>AVERAGE(P45:P47)</f>
        <v>2.2822665600000001</v>
      </c>
      <c r="R45" s="56">
        <f>STDEV(P45:P47)</f>
        <v>0.28145654490293848</v>
      </c>
      <c r="S45" s="58">
        <f>R45/Q45*100</f>
        <v>12.33232567290205</v>
      </c>
      <c r="T45" s="63">
        <f>D81</f>
        <v>19</v>
      </c>
      <c r="U45" s="64">
        <f>Q81</f>
        <v>2.3990056299999996</v>
      </c>
    </row>
    <row r="46" spans="1:21" ht="14.4" customHeight="1" x14ac:dyDescent="0.3">
      <c r="A46" s="18">
        <v>20</v>
      </c>
      <c r="B46" s="30">
        <v>10</v>
      </c>
      <c r="D46" s="77"/>
      <c r="E46" s="17" t="s">
        <v>70</v>
      </c>
      <c r="F46" s="17">
        <f t="shared" ref="F46" si="17">F45</f>
        <v>10</v>
      </c>
      <c r="G46" s="57">
        <v>0.3468</v>
      </c>
      <c r="H46" s="58">
        <v>0.70509999999999995</v>
      </c>
      <c r="I46" s="56"/>
      <c r="J46" s="57">
        <f t="shared" si="1"/>
        <v>0.30769999999999997</v>
      </c>
      <c r="K46" s="58">
        <f t="shared" si="2"/>
        <v>0.6679666666666666</v>
      </c>
      <c r="L46" s="56"/>
      <c r="M46" s="62">
        <f t="shared" si="3"/>
        <v>0.14070833333333332</v>
      </c>
      <c r="N46" s="56">
        <f t="shared" si="4"/>
        <v>9.985507583333332</v>
      </c>
      <c r="O46" s="58">
        <f t="shared" si="5"/>
        <v>19.971015166666664</v>
      </c>
      <c r="P46" s="56">
        <f t="shared" si="6"/>
        <v>1.9971015166666664</v>
      </c>
      <c r="Q46" s="57"/>
      <c r="R46" s="56"/>
      <c r="S46" s="58"/>
      <c r="T46" s="63">
        <f>D84</f>
        <v>20</v>
      </c>
      <c r="U46" s="64">
        <f>Q84</f>
        <v>1.8289120966666665</v>
      </c>
    </row>
    <row r="47" spans="1:21" ht="14.4" customHeight="1" x14ac:dyDescent="0.3">
      <c r="A47" s="18">
        <v>21</v>
      </c>
      <c r="B47" s="30">
        <v>10</v>
      </c>
      <c r="D47" s="78"/>
      <c r="E47" s="22" t="s">
        <v>71</v>
      </c>
      <c r="F47" s="22">
        <f t="shared" ref="F47" si="18">F45</f>
        <v>10</v>
      </c>
      <c r="G47" s="65">
        <v>0.36020000000000002</v>
      </c>
      <c r="H47" s="66">
        <v>0.67620000000000002</v>
      </c>
      <c r="I47" s="56"/>
      <c r="J47" s="57">
        <f t="shared" si="1"/>
        <v>0.3211</v>
      </c>
      <c r="K47" s="58">
        <f t="shared" si="2"/>
        <v>0.63906666666666667</v>
      </c>
      <c r="L47" s="56"/>
      <c r="M47" s="62">
        <f t="shared" si="3"/>
        <v>0.16133333333333333</v>
      </c>
      <c r="N47" s="56">
        <f t="shared" si="4"/>
        <v>11.449181333333332</v>
      </c>
      <c r="O47" s="58">
        <f t="shared" si="5"/>
        <v>22.898362666666664</v>
      </c>
      <c r="P47" s="56">
        <f t="shared" si="6"/>
        <v>2.2898362666666663</v>
      </c>
      <c r="Q47" s="57"/>
      <c r="R47" s="56"/>
      <c r="S47" s="58"/>
      <c r="T47" s="63">
        <f>D87</f>
        <v>21</v>
      </c>
      <c r="U47" s="64">
        <f>Q87</f>
        <v>0.99565297999999969</v>
      </c>
    </row>
    <row r="48" spans="1:21" ht="14.4" customHeight="1" x14ac:dyDescent="0.3">
      <c r="A48" s="18">
        <v>22</v>
      </c>
      <c r="B48" s="30">
        <v>10</v>
      </c>
      <c r="D48" s="76">
        <f>A34</f>
        <v>8</v>
      </c>
      <c r="E48" s="12" t="s">
        <v>72</v>
      </c>
      <c r="F48" s="12">
        <f>B34</f>
        <v>10</v>
      </c>
      <c r="G48" s="54">
        <v>0.38429999999999997</v>
      </c>
      <c r="H48" s="55">
        <v>0.72040000000000004</v>
      </c>
      <c r="I48" s="56"/>
      <c r="J48" s="57">
        <f t="shared" si="1"/>
        <v>0.34519999999999995</v>
      </c>
      <c r="K48" s="58">
        <f t="shared" si="2"/>
        <v>0.68326666666666669</v>
      </c>
      <c r="L48" s="56"/>
      <c r="M48" s="62">
        <f t="shared" si="3"/>
        <v>0.17438333333333328</v>
      </c>
      <c r="N48" s="56">
        <f t="shared" si="4"/>
        <v>12.375287633333329</v>
      </c>
      <c r="O48" s="58">
        <f t="shared" si="5"/>
        <v>24.750575266666658</v>
      </c>
      <c r="P48" s="56">
        <f t="shared" si="6"/>
        <v>2.4750575266666659</v>
      </c>
      <c r="Q48" s="57">
        <f>AVERAGE(P48:P50)</f>
        <v>2.1300444899999995</v>
      </c>
      <c r="R48" s="56">
        <f>STDEV(P48:P50)</f>
        <v>0.34560593792103367</v>
      </c>
      <c r="S48" s="58">
        <f>R48/Q48*100</f>
        <v>16.225291985381666</v>
      </c>
      <c r="T48" s="63">
        <f>D90</f>
        <v>22</v>
      </c>
      <c r="U48" s="64">
        <f>Q90</f>
        <v>2.1272058499999993</v>
      </c>
    </row>
    <row r="49" spans="1:22" ht="14.4" customHeight="1" x14ac:dyDescent="0.3">
      <c r="A49" s="18">
        <v>23</v>
      </c>
      <c r="B49" s="30">
        <v>10</v>
      </c>
      <c r="D49" s="77"/>
      <c r="E49" s="17" t="s">
        <v>73</v>
      </c>
      <c r="F49" s="17">
        <f t="shared" ref="F49" si="19">F48</f>
        <v>10</v>
      </c>
      <c r="G49" s="57">
        <v>0.3412</v>
      </c>
      <c r="H49" s="58">
        <v>0.74280000000000002</v>
      </c>
      <c r="I49" s="56"/>
      <c r="J49" s="57">
        <f t="shared" si="1"/>
        <v>0.30209999999999998</v>
      </c>
      <c r="K49" s="58">
        <f t="shared" si="2"/>
        <v>0.70566666666666666</v>
      </c>
      <c r="L49" s="56"/>
      <c r="M49" s="62">
        <f t="shared" si="3"/>
        <v>0.12568333333333331</v>
      </c>
      <c r="N49" s="56">
        <f t="shared" si="4"/>
        <v>8.9192434333333317</v>
      </c>
      <c r="O49" s="58">
        <f t="shared" si="5"/>
        <v>17.838486866666663</v>
      </c>
      <c r="P49" s="56">
        <f t="shared" si="6"/>
        <v>1.7838486866666663</v>
      </c>
      <c r="Q49" s="57"/>
      <c r="R49" s="56"/>
      <c r="S49" s="58"/>
      <c r="T49" s="63">
        <f>D93</f>
        <v>23</v>
      </c>
      <c r="U49" s="64">
        <f>Q93</f>
        <v>2.2039674066666661</v>
      </c>
    </row>
    <row r="50" spans="1:22" ht="14.4" customHeight="1" x14ac:dyDescent="0.3">
      <c r="A50" s="23">
        <v>24</v>
      </c>
      <c r="B50" s="30">
        <v>10</v>
      </c>
      <c r="D50" s="78"/>
      <c r="E50" s="22" t="s">
        <v>74</v>
      </c>
      <c r="F50" s="22">
        <f t="shared" ref="F50" si="20">F48</f>
        <v>10</v>
      </c>
      <c r="G50" s="65">
        <v>0.35870000000000002</v>
      </c>
      <c r="H50" s="66">
        <v>0.71489999999999998</v>
      </c>
      <c r="I50" s="56"/>
      <c r="J50" s="57">
        <f t="shared" si="1"/>
        <v>0.3196</v>
      </c>
      <c r="K50" s="58">
        <f t="shared" si="2"/>
        <v>0.67776666666666663</v>
      </c>
      <c r="L50" s="56"/>
      <c r="M50" s="62">
        <f t="shared" si="3"/>
        <v>0.15015833333333334</v>
      </c>
      <c r="N50" s="56">
        <f t="shared" si="4"/>
        <v>10.656136283333332</v>
      </c>
      <c r="O50" s="58">
        <f t="shared" si="5"/>
        <v>21.312272566666664</v>
      </c>
      <c r="P50" s="56">
        <f t="shared" si="6"/>
        <v>2.1312272566666666</v>
      </c>
      <c r="Q50" s="57"/>
      <c r="R50" s="56"/>
      <c r="S50" s="58"/>
      <c r="T50" s="67">
        <f>D96</f>
        <v>24</v>
      </c>
      <c r="U50" s="68">
        <f>Q96</f>
        <v>2.1721509833333328</v>
      </c>
    </row>
    <row r="51" spans="1:22" ht="14.4" customHeight="1" x14ac:dyDescent="0.3">
      <c r="D51" s="76">
        <f>A35</f>
        <v>9</v>
      </c>
      <c r="E51" s="12" t="s">
        <v>75</v>
      </c>
      <c r="F51" s="12">
        <f>B35</f>
        <v>10</v>
      </c>
      <c r="G51" s="54">
        <v>0.36849999999999999</v>
      </c>
      <c r="H51" s="55">
        <v>0.69530000000000003</v>
      </c>
      <c r="I51" s="56"/>
      <c r="J51" s="57">
        <f t="shared" si="1"/>
        <v>0.32939999999999997</v>
      </c>
      <c r="K51" s="58">
        <f t="shared" si="2"/>
        <v>0.65816666666666668</v>
      </c>
      <c r="L51" s="56"/>
      <c r="M51" s="62">
        <f t="shared" si="3"/>
        <v>0.1648583333333333</v>
      </c>
      <c r="N51" s="56">
        <f t="shared" si="4"/>
        <v>11.69933648333333</v>
      </c>
      <c r="O51" s="58">
        <f t="shared" si="5"/>
        <v>23.398672966666659</v>
      </c>
      <c r="P51" s="56">
        <f t="shared" si="6"/>
        <v>2.3398672966666658</v>
      </c>
      <c r="Q51" s="57">
        <f>AVERAGE(P51:P53)</f>
        <v>1.9344148833333328</v>
      </c>
      <c r="R51" s="56">
        <f>STDEV(P51:P53)</f>
        <v>0.71582758465350282</v>
      </c>
      <c r="S51" s="58">
        <f>R51/Q51*100</f>
        <v>37.004863373466584</v>
      </c>
      <c r="T51" s="56"/>
      <c r="U51" s="56"/>
      <c r="V51" s="56"/>
    </row>
    <row r="52" spans="1:22" ht="14.4" customHeight="1" x14ac:dyDescent="0.3">
      <c r="D52" s="77"/>
      <c r="E52" s="17" t="s">
        <v>76</v>
      </c>
      <c r="F52" s="17">
        <f t="shared" ref="F52" si="21">F51</f>
        <v>10</v>
      </c>
      <c r="G52" s="57">
        <v>0.36259999999999998</v>
      </c>
      <c r="H52" s="58">
        <v>0.6673</v>
      </c>
      <c r="I52" s="56"/>
      <c r="J52" s="57">
        <f t="shared" si="1"/>
        <v>0.32349999999999995</v>
      </c>
      <c r="K52" s="58">
        <f t="shared" si="2"/>
        <v>0.63016666666666665</v>
      </c>
      <c r="L52" s="56"/>
      <c r="M52" s="62">
        <f t="shared" si="3"/>
        <v>0.16595833333333329</v>
      </c>
      <c r="N52" s="56">
        <f t="shared" si="4"/>
        <v>11.777399083333329</v>
      </c>
      <c r="O52" s="58">
        <f t="shared" si="5"/>
        <v>23.554798166666657</v>
      </c>
      <c r="P52" s="56">
        <f t="shared" si="6"/>
        <v>2.3554798166666657</v>
      </c>
      <c r="Q52" s="57"/>
      <c r="R52" s="56"/>
      <c r="S52" s="58"/>
      <c r="T52" s="56"/>
    </row>
    <row r="53" spans="1:22" ht="14.4" customHeight="1" x14ac:dyDescent="0.3">
      <c r="D53" s="78"/>
      <c r="E53" s="22" t="s">
        <v>77</v>
      </c>
      <c r="F53" s="22">
        <f t="shared" ref="F53" si="22">F51</f>
        <v>10</v>
      </c>
      <c r="G53" s="65">
        <v>0.2828</v>
      </c>
      <c r="H53" s="66">
        <v>0.69969999999999999</v>
      </c>
      <c r="I53" s="56"/>
      <c r="J53" s="57">
        <f t="shared" si="1"/>
        <v>0.2437</v>
      </c>
      <c r="K53" s="58">
        <f t="shared" si="2"/>
        <v>0.66256666666666664</v>
      </c>
      <c r="L53" s="56"/>
      <c r="M53" s="62">
        <f t="shared" si="3"/>
        <v>7.8058333333333341E-2</v>
      </c>
      <c r="N53" s="56">
        <f t="shared" si="4"/>
        <v>5.5394876833333333</v>
      </c>
      <c r="O53" s="58">
        <f t="shared" si="5"/>
        <v>11.078975366666667</v>
      </c>
      <c r="P53" s="56">
        <f t="shared" si="6"/>
        <v>1.1078975366666666</v>
      </c>
      <c r="Q53" s="57"/>
      <c r="R53" s="56"/>
      <c r="S53" s="58"/>
      <c r="T53" s="56"/>
    </row>
    <row r="54" spans="1:22" ht="14.4" customHeight="1" x14ac:dyDescent="0.3">
      <c r="D54" s="76">
        <f>A36</f>
        <v>10</v>
      </c>
      <c r="E54" s="12" t="s">
        <v>78</v>
      </c>
      <c r="F54" s="12">
        <f>B36</f>
        <v>10</v>
      </c>
      <c r="G54" s="54">
        <v>0.31690000000000002</v>
      </c>
      <c r="H54" s="55">
        <v>0.77539999999999998</v>
      </c>
      <c r="I54" s="56"/>
      <c r="J54" s="57">
        <f t="shared" si="1"/>
        <v>0.27779999999999999</v>
      </c>
      <c r="K54" s="58">
        <f t="shared" si="2"/>
        <v>0.73826666666666663</v>
      </c>
      <c r="L54" s="56"/>
      <c r="M54" s="62">
        <f t="shared" si="3"/>
        <v>9.3233333333333335E-2</v>
      </c>
      <c r="N54" s="56">
        <f t="shared" si="4"/>
        <v>6.6163967333333327</v>
      </c>
      <c r="O54" s="58">
        <f t="shared" si="5"/>
        <v>13.232793466666665</v>
      </c>
      <c r="P54" s="56">
        <f t="shared" si="6"/>
        <v>1.3232793466666666</v>
      </c>
      <c r="Q54" s="57">
        <f>AVERAGE(P54:P56)</f>
        <v>1.6266589966666665</v>
      </c>
      <c r="R54" s="56">
        <f>STDEV(P54:P56)</f>
        <v>0.80199657470844432</v>
      </c>
      <c r="S54" s="58">
        <f>R54/Q54*100</f>
        <v>49.303300590467195</v>
      </c>
      <c r="T54" s="56"/>
    </row>
    <row r="55" spans="1:22" ht="14.4" customHeight="1" x14ac:dyDescent="0.3">
      <c r="D55" s="77"/>
      <c r="E55" s="17" t="s">
        <v>79</v>
      </c>
      <c r="F55" s="17">
        <f t="shared" ref="F55" si="23">F54</f>
        <v>10</v>
      </c>
      <c r="G55" s="57">
        <v>0.39300000000000002</v>
      </c>
      <c r="H55" s="58">
        <v>0.73799999999999999</v>
      </c>
      <c r="I55" s="56"/>
      <c r="J55" s="57">
        <f t="shared" si="1"/>
        <v>0.35389999999999999</v>
      </c>
      <c r="K55" s="58">
        <f t="shared" si="2"/>
        <v>0.70086666666666664</v>
      </c>
      <c r="L55" s="56"/>
      <c r="M55" s="62">
        <f t="shared" si="3"/>
        <v>0.17868333333333333</v>
      </c>
      <c r="N55" s="56">
        <f t="shared" si="4"/>
        <v>12.680441433333332</v>
      </c>
      <c r="O55" s="58">
        <f t="shared" si="5"/>
        <v>25.360882866666664</v>
      </c>
      <c r="P55" s="56">
        <f t="shared" si="6"/>
        <v>2.5360882866666663</v>
      </c>
      <c r="Q55" s="57"/>
      <c r="R55" s="56"/>
      <c r="S55" s="58"/>
      <c r="T55" s="56"/>
    </row>
    <row r="56" spans="1:22" ht="14.4" customHeight="1" x14ac:dyDescent="0.3">
      <c r="D56" s="78"/>
      <c r="E56" s="22" t="s">
        <v>80</v>
      </c>
      <c r="F56" s="22">
        <f t="shared" ref="F56" si="24">F54</f>
        <v>10</v>
      </c>
      <c r="G56" s="65">
        <v>0.3075</v>
      </c>
      <c r="H56" s="66">
        <v>0.82310000000000005</v>
      </c>
      <c r="I56" s="56"/>
      <c r="J56" s="57">
        <f t="shared" si="1"/>
        <v>0.26839999999999997</v>
      </c>
      <c r="K56" s="58">
        <f t="shared" si="2"/>
        <v>0.7859666666666667</v>
      </c>
      <c r="L56" s="56"/>
      <c r="M56" s="62">
        <f t="shared" si="3"/>
        <v>7.1908333333333296E-2</v>
      </c>
      <c r="N56" s="56">
        <f t="shared" si="4"/>
        <v>5.1030467833333306</v>
      </c>
      <c r="O56" s="58">
        <f t="shared" si="5"/>
        <v>10.206093566666661</v>
      </c>
      <c r="P56" s="56">
        <f t="shared" si="6"/>
        <v>1.0206093566666661</v>
      </c>
      <c r="Q56" s="57"/>
      <c r="R56" s="56"/>
      <c r="S56" s="58"/>
      <c r="T56" s="56"/>
    </row>
    <row r="57" spans="1:22" ht="14.4" customHeight="1" x14ac:dyDescent="0.3">
      <c r="D57" s="76">
        <f>A37</f>
        <v>11</v>
      </c>
      <c r="E57" s="12" t="s">
        <v>81</v>
      </c>
      <c r="F57" s="12">
        <f>B37</f>
        <v>10</v>
      </c>
      <c r="G57" s="54">
        <v>5.0999999999999997E-2</v>
      </c>
      <c r="H57" s="55">
        <v>4.8300000000000003E-2</v>
      </c>
      <c r="I57" s="56"/>
      <c r="J57" s="57">
        <f t="shared" si="1"/>
        <v>1.1899999999999994E-2</v>
      </c>
      <c r="K57" s="58">
        <f t="shared" si="2"/>
        <v>1.1166666666666672E-2</v>
      </c>
      <c r="L57" s="56"/>
      <c r="M57" s="62">
        <f t="shared" si="3"/>
        <v>9.1083333333333259E-3</v>
      </c>
      <c r="N57" s="56">
        <f t="shared" si="4"/>
        <v>0.64638198333333274</v>
      </c>
      <c r="O57" s="58">
        <f t="shared" si="5"/>
        <v>1.2927639666666655</v>
      </c>
      <c r="P57" s="56">
        <f t="shared" si="6"/>
        <v>0.12927639666666654</v>
      </c>
      <c r="Q57" s="57">
        <f>AVERAGE(P57:P59)</f>
        <v>0.13483539999999991</v>
      </c>
      <c r="R57" s="56">
        <f>STDEV(P57:P59)</f>
        <v>4.8175060588684033E-3</v>
      </c>
      <c r="S57" s="58">
        <f>R57/Q57*100</f>
        <v>3.5728792727046508</v>
      </c>
      <c r="T57" s="56"/>
    </row>
    <row r="58" spans="1:22" ht="14.4" customHeight="1" x14ac:dyDescent="0.3">
      <c r="D58" s="77"/>
      <c r="E58" s="17" t="s">
        <v>82</v>
      </c>
      <c r="F58" s="17">
        <f t="shared" ref="F58" si="25">F57</f>
        <v>10</v>
      </c>
      <c r="G58" s="57">
        <v>5.1799999999999999E-2</v>
      </c>
      <c r="H58" s="58">
        <v>4.9200000000000001E-2</v>
      </c>
      <c r="I58" s="56"/>
      <c r="J58" s="57">
        <f t="shared" si="1"/>
        <v>1.2699999999999996E-2</v>
      </c>
      <c r="K58" s="58">
        <f t="shared" si="2"/>
        <v>1.206666666666667E-2</v>
      </c>
      <c r="L58" s="56"/>
      <c r="M58" s="62">
        <f t="shared" si="3"/>
        <v>9.6833333333333285E-3</v>
      </c>
      <c r="N58" s="56">
        <f t="shared" si="4"/>
        <v>0.68718743333333299</v>
      </c>
      <c r="O58" s="58">
        <f t="shared" si="5"/>
        <v>1.374374866666666</v>
      </c>
      <c r="P58" s="56">
        <f t="shared" si="6"/>
        <v>0.13743748666666661</v>
      </c>
      <c r="Q58" s="57"/>
      <c r="R58" s="56"/>
      <c r="S58" s="58"/>
      <c r="T58" s="56"/>
    </row>
    <row r="59" spans="1:22" ht="14.4" customHeight="1" x14ac:dyDescent="0.3">
      <c r="D59" s="78"/>
      <c r="E59" s="22" t="s">
        <v>83</v>
      </c>
      <c r="F59" s="22">
        <f t="shared" ref="F59" si="26">F57</f>
        <v>10</v>
      </c>
      <c r="G59" s="65">
        <v>5.1900000000000002E-2</v>
      </c>
      <c r="H59" s="66">
        <v>4.9500000000000002E-2</v>
      </c>
      <c r="I59" s="56"/>
      <c r="J59" s="57">
        <f t="shared" si="1"/>
        <v>1.2799999999999999E-2</v>
      </c>
      <c r="K59" s="58">
        <f t="shared" si="2"/>
        <v>1.2366666666666672E-2</v>
      </c>
      <c r="L59" s="56"/>
      <c r="M59" s="62">
        <f t="shared" si="3"/>
        <v>9.708333333333331E-3</v>
      </c>
      <c r="N59" s="56">
        <f t="shared" si="4"/>
        <v>0.68896158333333313</v>
      </c>
      <c r="O59" s="58">
        <f t="shared" si="5"/>
        <v>1.3779231666666663</v>
      </c>
      <c r="P59" s="56">
        <f t="shared" si="6"/>
        <v>0.13779231666666664</v>
      </c>
      <c r="Q59" s="57"/>
      <c r="R59" s="56"/>
      <c r="S59" s="58"/>
      <c r="T59" s="56"/>
    </row>
    <row r="60" spans="1:22" ht="14.4" customHeight="1" x14ac:dyDescent="0.3">
      <c r="D60" s="76">
        <f>A38</f>
        <v>12</v>
      </c>
      <c r="E60" s="12" t="s">
        <v>84</v>
      </c>
      <c r="F60" s="12">
        <f>B38</f>
        <v>10</v>
      </c>
      <c r="G60" s="54">
        <v>0.05</v>
      </c>
      <c r="H60" s="55">
        <v>4.7699999999999999E-2</v>
      </c>
      <c r="I60" s="56"/>
      <c r="J60" s="57">
        <f t="shared" si="1"/>
        <v>1.09E-2</v>
      </c>
      <c r="K60" s="58">
        <f t="shared" si="2"/>
        <v>1.0566666666666669E-2</v>
      </c>
      <c r="L60" s="56"/>
      <c r="M60" s="62">
        <f t="shared" si="3"/>
        <v>8.2583333333333328E-3</v>
      </c>
      <c r="N60" s="56">
        <f t="shared" si="4"/>
        <v>0.58606088333333328</v>
      </c>
      <c r="O60" s="58">
        <f t="shared" si="5"/>
        <v>1.1721217666666666</v>
      </c>
      <c r="P60" s="56">
        <f t="shared" si="6"/>
        <v>0.11721217666666665</v>
      </c>
      <c r="Q60" s="57">
        <f>AVERAGE(P60:P62)</f>
        <v>0.13010433333333329</v>
      </c>
      <c r="R60" s="56">
        <f>STDEV(P60:P62)</f>
        <v>1.1662703088119515E-2</v>
      </c>
      <c r="S60" s="58">
        <f>R60/Q60*100</f>
        <v>8.9641157902397719</v>
      </c>
      <c r="T60" s="56"/>
    </row>
    <row r="61" spans="1:22" ht="14.4" customHeight="1" x14ac:dyDescent="0.3">
      <c r="D61" s="77"/>
      <c r="E61" s="17" t="s">
        <v>85</v>
      </c>
      <c r="F61" s="17">
        <f t="shared" ref="F61" si="27">F60</f>
        <v>10</v>
      </c>
      <c r="G61" s="57">
        <v>5.1999999999999998E-2</v>
      </c>
      <c r="H61" s="58">
        <v>4.9299999999999997E-2</v>
      </c>
      <c r="I61" s="56"/>
      <c r="J61" s="57">
        <f t="shared" si="1"/>
        <v>1.2899999999999995E-2</v>
      </c>
      <c r="K61" s="58">
        <f t="shared" si="2"/>
        <v>1.2166666666666666E-2</v>
      </c>
      <c r="L61" s="56"/>
      <c r="M61" s="62">
        <f t="shared" si="3"/>
        <v>9.8583333333333283E-3</v>
      </c>
      <c r="N61" s="56">
        <f t="shared" si="4"/>
        <v>0.69960648333333297</v>
      </c>
      <c r="O61" s="58">
        <f t="shared" si="5"/>
        <v>1.3992129666666659</v>
      </c>
      <c r="P61" s="56">
        <f t="shared" si="6"/>
        <v>0.13992129666666658</v>
      </c>
      <c r="Q61" s="57"/>
      <c r="R61" s="56"/>
      <c r="S61" s="58"/>
      <c r="T61" s="56"/>
    </row>
    <row r="62" spans="1:22" ht="14.4" customHeight="1" x14ac:dyDescent="0.3">
      <c r="D62" s="78"/>
      <c r="E62" s="22" t="s">
        <v>86</v>
      </c>
      <c r="F62" s="22">
        <f t="shared" ref="F62" si="28">F60</f>
        <v>10</v>
      </c>
      <c r="G62" s="65">
        <v>5.1299999999999998E-2</v>
      </c>
      <c r="H62" s="66">
        <v>4.8399999999999999E-2</v>
      </c>
      <c r="I62" s="56"/>
      <c r="J62" s="57">
        <f t="shared" si="1"/>
        <v>1.2199999999999996E-2</v>
      </c>
      <c r="K62" s="58">
        <f t="shared" si="2"/>
        <v>1.1266666666666668E-2</v>
      </c>
      <c r="L62" s="56"/>
      <c r="M62" s="62">
        <f t="shared" si="3"/>
        <v>9.3833333333333286E-3</v>
      </c>
      <c r="N62" s="56">
        <f t="shared" si="4"/>
        <v>0.66589763333333296</v>
      </c>
      <c r="O62" s="58">
        <f t="shared" si="5"/>
        <v>1.3317952666666659</v>
      </c>
      <c r="P62" s="56">
        <f t="shared" si="6"/>
        <v>0.1331795266666666</v>
      </c>
      <c r="Q62" s="57"/>
      <c r="R62" s="56"/>
      <c r="S62" s="58"/>
      <c r="T62" s="56"/>
    </row>
    <row r="63" spans="1:22" ht="14.4" customHeight="1" x14ac:dyDescent="0.3">
      <c r="D63" s="76">
        <f>A39</f>
        <v>13</v>
      </c>
      <c r="E63" s="12" t="s">
        <v>87</v>
      </c>
      <c r="F63" s="12">
        <f>B39</f>
        <v>10</v>
      </c>
      <c r="G63" s="54">
        <v>0.30330000000000001</v>
      </c>
      <c r="H63" s="55">
        <v>0.67069999999999996</v>
      </c>
      <c r="I63" s="56"/>
      <c r="J63" s="57">
        <f t="shared" si="1"/>
        <v>0.26419999999999999</v>
      </c>
      <c r="K63" s="58">
        <f t="shared" si="2"/>
        <v>0.63356666666666661</v>
      </c>
      <c r="L63" s="56"/>
      <c r="M63" s="62">
        <f t="shared" si="3"/>
        <v>0.10580833333333334</v>
      </c>
      <c r="N63" s="56">
        <f t="shared" si="4"/>
        <v>7.5087941833333334</v>
      </c>
      <c r="O63" s="58">
        <f t="shared" si="5"/>
        <v>15.017588366666667</v>
      </c>
      <c r="P63" s="56">
        <f t="shared" si="6"/>
        <v>1.5017588366666668</v>
      </c>
      <c r="Q63" s="57">
        <f>AVERAGE(P63:P65)</f>
        <v>1.5554564433333331</v>
      </c>
      <c r="R63" s="56">
        <f>STDEV(P63:P65)</f>
        <v>0.21757107766186398</v>
      </c>
      <c r="S63" s="58">
        <f>R63/Q63*100</f>
        <v>13.987603355553343</v>
      </c>
      <c r="T63" s="56"/>
    </row>
    <row r="64" spans="1:22" ht="14.4" customHeight="1" x14ac:dyDescent="0.3">
      <c r="D64" s="77"/>
      <c r="E64" s="17" t="s">
        <v>88</v>
      </c>
      <c r="F64" s="17">
        <f t="shared" ref="F64" si="29">F63</f>
        <v>10</v>
      </c>
      <c r="G64" s="57">
        <v>0.32150000000000001</v>
      </c>
      <c r="H64" s="58">
        <v>0.66090000000000004</v>
      </c>
      <c r="I64" s="56"/>
      <c r="J64" s="57">
        <f t="shared" si="1"/>
        <v>0.28239999999999998</v>
      </c>
      <c r="K64" s="58">
        <f t="shared" si="2"/>
        <v>0.62376666666666669</v>
      </c>
      <c r="L64" s="56"/>
      <c r="M64" s="62">
        <f t="shared" si="3"/>
        <v>0.12645833333333331</v>
      </c>
      <c r="N64" s="56">
        <f t="shared" si="4"/>
        <v>8.9742420833333316</v>
      </c>
      <c r="O64" s="58">
        <f t="shared" si="5"/>
        <v>17.948484166666663</v>
      </c>
      <c r="P64" s="56">
        <f t="shared" si="6"/>
        <v>1.7948484166666663</v>
      </c>
      <c r="Q64" s="57"/>
      <c r="R64" s="56"/>
      <c r="S64" s="58"/>
      <c r="T64" s="56"/>
    </row>
    <row r="65" spans="4:20" ht="14.4" customHeight="1" x14ac:dyDescent="0.3">
      <c r="D65" s="78"/>
      <c r="E65" s="22" t="s">
        <v>89</v>
      </c>
      <c r="F65" s="22">
        <f t="shared" ref="F65" si="30">F63</f>
        <v>10</v>
      </c>
      <c r="G65" s="65">
        <v>0.29220000000000002</v>
      </c>
      <c r="H65" s="66">
        <v>0.66349999999999998</v>
      </c>
      <c r="I65" s="56"/>
      <c r="J65" s="57">
        <f t="shared" si="1"/>
        <v>0.25309999999999999</v>
      </c>
      <c r="K65" s="58">
        <f t="shared" si="2"/>
        <v>0.62636666666666663</v>
      </c>
      <c r="L65" s="56"/>
      <c r="M65" s="62">
        <f t="shared" si="3"/>
        <v>9.6508333333333335E-2</v>
      </c>
      <c r="N65" s="56">
        <f t="shared" si="4"/>
        <v>6.8488103833333325</v>
      </c>
      <c r="O65" s="58">
        <f t="shared" si="5"/>
        <v>13.697620766666665</v>
      </c>
      <c r="P65" s="56">
        <f t="shared" si="6"/>
        <v>1.3697620766666665</v>
      </c>
      <c r="Q65" s="57"/>
      <c r="R65" s="56"/>
      <c r="S65" s="58"/>
      <c r="T65" s="56"/>
    </row>
    <row r="66" spans="4:20" ht="14.4" customHeight="1" x14ac:dyDescent="0.3">
      <c r="D66" s="76">
        <f>A40</f>
        <v>14</v>
      </c>
      <c r="E66" s="12" t="s">
        <v>90</v>
      </c>
      <c r="F66" s="12">
        <f>B40</f>
        <v>10</v>
      </c>
      <c r="G66" s="54">
        <v>0.37469999999999998</v>
      </c>
      <c r="H66" s="55">
        <v>0.63749999999999996</v>
      </c>
      <c r="I66" s="56"/>
      <c r="J66" s="57">
        <f t="shared" si="1"/>
        <v>0.33559999999999995</v>
      </c>
      <c r="K66" s="58">
        <f t="shared" si="2"/>
        <v>0.6003666666666666</v>
      </c>
      <c r="L66" s="56"/>
      <c r="M66" s="62">
        <f t="shared" si="3"/>
        <v>0.1855083333333333</v>
      </c>
      <c r="N66" s="56">
        <f t="shared" si="4"/>
        <v>13.16478438333333</v>
      </c>
      <c r="O66" s="58">
        <f t="shared" si="5"/>
        <v>26.329568766666661</v>
      </c>
      <c r="P66" s="56">
        <f t="shared" si="6"/>
        <v>2.632956876666666</v>
      </c>
      <c r="Q66" s="57">
        <f>AVERAGE(P66:P68)</f>
        <v>2.29894357</v>
      </c>
      <c r="R66" s="56">
        <f>STDEV(P66:P68)</f>
        <v>0.30750013552127076</v>
      </c>
      <c r="S66" s="58">
        <f>R66/Q66*100</f>
        <v>13.375714808052933</v>
      </c>
      <c r="T66" s="56"/>
    </row>
    <row r="67" spans="4:20" ht="14.4" customHeight="1" x14ac:dyDescent="0.3">
      <c r="D67" s="77"/>
      <c r="E67" s="17" t="s">
        <v>91</v>
      </c>
      <c r="F67" s="17">
        <f t="shared" ref="F67" si="31">F66</f>
        <v>10</v>
      </c>
      <c r="G67" s="57">
        <v>0.34010000000000001</v>
      </c>
      <c r="H67" s="58">
        <v>0.6109</v>
      </c>
      <c r="I67" s="56"/>
      <c r="J67" s="57">
        <f t="shared" si="1"/>
        <v>0.30099999999999999</v>
      </c>
      <c r="K67" s="58">
        <f t="shared" si="2"/>
        <v>0.57376666666666665</v>
      </c>
      <c r="L67" s="56"/>
      <c r="M67" s="62">
        <f t="shared" si="3"/>
        <v>0.15755833333333333</v>
      </c>
      <c r="N67" s="56">
        <f t="shared" si="4"/>
        <v>11.181284683333333</v>
      </c>
      <c r="O67" s="58">
        <f t="shared" si="5"/>
        <v>22.362569366666666</v>
      </c>
      <c r="P67" s="56">
        <f t="shared" si="6"/>
        <v>2.2362569366666665</v>
      </c>
      <c r="Q67" s="57"/>
      <c r="R67" s="56"/>
      <c r="S67" s="58"/>
      <c r="T67" s="56"/>
    </row>
    <row r="68" spans="4:20" ht="14.4" customHeight="1" x14ac:dyDescent="0.3">
      <c r="D68" s="78"/>
      <c r="E68" s="22" t="s">
        <v>92</v>
      </c>
      <c r="F68" s="22">
        <f t="shared" ref="F68" si="32">F66</f>
        <v>10</v>
      </c>
      <c r="G68" s="65">
        <v>0.32540000000000002</v>
      </c>
      <c r="H68" s="66">
        <v>0.6109</v>
      </c>
      <c r="I68" s="56"/>
      <c r="J68" s="57">
        <f t="shared" si="1"/>
        <v>0.2863</v>
      </c>
      <c r="K68" s="58">
        <f t="shared" si="2"/>
        <v>0.57376666666666665</v>
      </c>
      <c r="L68" s="56"/>
      <c r="M68" s="62">
        <f t="shared" si="3"/>
        <v>0.14285833333333334</v>
      </c>
      <c r="N68" s="56">
        <f t="shared" si="4"/>
        <v>10.138084483333333</v>
      </c>
      <c r="O68" s="58">
        <f t="shared" si="5"/>
        <v>20.276168966666667</v>
      </c>
      <c r="P68" s="56">
        <f t="shared" si="6"/>
        <v>2.0276168966666668</v>
      </c>
      <c r="Q68" s="57"/>
      <c r="R68" s="56"/>
      <c r="S68" s="58"/>
      <c r="T68" s="56"/>
    </row>
    <row r="69" spans="4:20" ht="14.4" customHeight="1" x14ac:dyDescent="0.3">
      <c r="D69" s="76">
        <f>A41</f>
        <v>15</v>
      </c>
      <c r="E69" s="12" t="s">
        <v>93</v>
      </c>
      <c r="F69" s="12">
        <f>B41</f>
        <v>10</v>
      </c>
      <c r="G69" s="54">
        <v>0.3705</v>
      </c>
      <c r="H69" s="55">
        <v>0.75170000000000003</v>
      </c>
      <c r="I69" s="56"/>
      <c r="J69" s="57">
        <f t="shared" si="1"/>
        <v>0.33139999999999997</v>
      </c>
      <c r="K69" s="58">
        <f t="shared" si="2"/>
        <v>0.71456666666666668</v>
      </c>
      <c r="L69" s="56"/>
      <c r="M69" s="62">
        <f t="shared" si="3"/>
        <v>0.1527583333333333</v>
      </c>
      <c r="N69" s="56">
        <f t="shared" si="4"/>
        <v>10.840647883333331</v>
      </c>
      <c r="O69" s="58">
        <f t="shared" si="5"/>
        <v>21.681295766666661</v>
      </c>
      <c r="P69" s="56">
        <f t="shared" si="6"/>
        <v>2.1681295766666659</v>
      </c>
      <c r="Q69" s="57">
        <f>AVERAGE(P69:P71)</f>
        <v>2.3113626199999993</v>
      </c>
      <c r="R69" s="56">
        <f>STDEV(P69:P71)</f>
        <v>0.38309684525669124</v>
      </c>
      <c r="S69" s="58">
        <f>R69/Q69*100</f>
        <v>16.574502068251469</v>
      </c>
      <c r="T69" s="56"/>
    </row>
    <row r="70" spans="4:20" ht="14.4" customHeight="1" x14ac:dyDescent="0.3">
      <c r="D70" s="77"/>
      <c r="E70" s="17" t="s">
        <v>94</v>
      </c>
      <c r="F70" s="17">
        <f t="shared" ref="F70" si="33">F69</f>
        <v>10</v>
      </c>
      <c r="G70" s="57">
        <v>0.35199999999999998</v>
      </c>
      <c r="H70" s="58">
        <v>0.71930000000000005</v>
      </c>
      <c r="I70" s="56"/>
      <c r="J70" s="57">
        <f t="shared" si="1"/>
        <v>0.31289999999999996</v>
      </c>
      <c r="K70" s="58">
        <f t="shared" si="2"/>
        <v>0.6821666666666667</v>
      </c>
      <c r="L70" s="56"/>
      <c r="M70" s="62">
        <f t="shared" si="3"/>
        <v>0.14235833333333328</v>
      </c>
      <c r="N70" s="56">
        <f t="shared" si="4"/>
        <v>10.102601483333329</v>
      </c>
      <c r="O70" s="58">
        <f t="shared" si="5"/>
        <v>20.205202966666658</v>
      </c>
      <c r="P70" s="56">
        <f t="shared" si="6"/>
        <v>2.0205202966666658</v>
      </c>
      <c r="Q70" s="57"/>
      <c r="R70" s="56"/>
      <c r="S70" s="58"/>
      <c r="T70" s="56"/>
    </row>
    <row r="71" spans="4:20" ht="14.4" customHeight="1" x14ac:dyDescent="0.3">
      <c r="D71" s="78"/>
      <c r="E71" s="22" t="s">
        <v>95</v>
      </c>
      <c r="F71" s="22">
        <f t="shared" ref="F71" si="34">F69</f>
        <v>10</v>
      </c>
      <c r="G71" s="65">
        <v>0.40339999999999998</v>
      </c>
      <c r="H71" s="66">
        <v>0.72060000000000002</v>
      </c>
      <c r="I71" s="56"/>
      <c r="J71" s="57">
        <f t="shared" si="1"/>
        <v>0.36429999999999996</v>
      </c>
      <c r="K71" s="58">
        <f t="shared" si="2"/>
        <v>0.68346666666666667</v>
      </c>
      <c r="L71" s="56"/>
      <c r="M71" s="62">
        <f t="shared" si="3"/>
        <v>0.19343333333333329</v>
      </c>
      <c r="N71" s="56">
        <f t="shared" si="4"/>
        <v>13.72718993333333</v>
      </c>
      <c r="O71" s="58">
        <f t="shared" si="5"/>
        <v>27.45437986666666</v>
      </c>
      <c r="P71" s="56">
        <f t="shared" si="6"/>
        <v>2.7454379866666661</v>
      </c>
      <c r="Q71" s="57"/>
      <c r="R71" s="56"/>
      <c r="S71" s="58"/>
      <c r="T71" s="56"/>
    </row>
    <row r="72" spans="4:20" ht="14.4" customHeight="1" x14ac:dyDescent="0.3">
      <c r="D72" s="76">
        <f>A42</f>
        <v>16</v>
      </c>
      <c r="E72" s="12" t="s">
        <v>96</v>
      </c>
      <c r="F72" s="12">
        <f>B42</f>
        <v>10</v>
      </c>
      <c r="G72" s="54">
        <v>0.38200000000000001</v>
      </c>
      <c r="H72" s="55">
        <v>0.78759999999999997</v>
      </c>
      <c r="I72" s="56"/>
      <c r="J72" s="57">
        <f t="shared" si="1"/>
        <v>0.34289999999999998</v>
      </c>
      <c r="K72" s="58">
        <f t="shared" si="2"/>
        <v>0.75046666666666662</v>
      </c>
      <c r="L72" s="56"/>
      <c r="M72" s="62">
        <f t="shared" si="3"/>
        <v>0.15528333333333333</v>
      </c>
      <c r="N72" s="56">
        <f t="shared" si="4"/>
        <v>11.019837033333332</v>
      </c>
      <c r="O72" s="58">
        <f t="shared" si="5"/>
        <v>22.039674066666663</v>
      </c>
      <c r="P72" s="56">
        <f t="shared" si="6"/>
        <v>2.2039674066666661</v>
      </c>
      <c r="Q72" s="57">
        <f>AVERAGE(P72:P74)</f>
        <v>1.9332321166666666</v>
      </c>
      <c r="R72" s="56">
        <f>STDEV(P72:P74)</f>
        <v>0.38384324647051954</v>
      </c>
      <c r="S72" s="58">
        <f>R72/Q72*100</f>
        <v>19.855000502079019</v>
      </c>
      <c r="T72" s="56"/>
    </row>
    <row r="73" spans="4:20" ht="14.4" customHeight="1" x14ac:dyDescent="0.3">
      <c r="D73" s="77"/>
      <c r="E73" s="17" t="s">
        <v>97</v>
      </c>
      <c r="F73" s="17">
        <f t="shared" ref="F73" si="35">F72</f>
        <v>10</v>
      </c>
      <c r="G73" s="57">
        <v>0.3705</v>
      </c>
      <c r="H73" s="58">
        <v>0.77039999999999997</v>
      </c>
      <c r="I73" s="56"/>
      <c r="J73" s="57">
        <f t="shared" si="1"/>
        <v>0.33139999999999997</v>
      </c>
      <c r="K73" s="58">
        <f t="shared" si="2"/>
        <v>0.73326666666666662</v>
      </c>
      <c r="L73" s="56"/>
      <c r="M73" s="62">
        <f t="shared" si="3"/>
        <v>0.14808333333333332</v>
      </c>
      <c r="N73" s="56">
        <f t="shared" si="4"/>
        <v>10.508881833333332</v>
      </c>
      <c r="O73" s="58">
        <f t="shared" si="5"/>
        <v>21.017763666666664</v>
      </c>
      <c r="P73" s="56">
        <f t="shared" si="6"/>
        <v>2.1017763666666665</v>
      </c>
      <c r="Q73" s="57"/>
      <c r="R73" s="56"/>
      <c r="S73" s="58"/>
      <c r="T73" s="56"/>
    </row>
    <row r="74" spans="4:20" ht="14.4" customHeight="1" x14ac:dyDescent="0.3">
      <c r="D74" s="78"/>
      <c r="E74" s="22" t="s">
        <v>98</v>
      </c>
      <c r="F74" s="22">
        <f t="shared" ref="F74" si="36">F72</f>
        <v>10</v>
      </c>
      <c r="G74" s="65">
        <v>0.33250000000000002</v>
      </c>
      <c r="H74" s="66">
        <v>0.78969999999999996</v>
      </c>
      <c r="I74" s="56"/>
      <c r="J74" s="57">
        <f t="shared" si="1"/>
        <v>0.29339999999999999</v>
      </c>
      <c r="K74" s="58">
        <f t="shared" si="2"/>
        <v>0.75256666666666661</v>
      </c>
      <c r="L74" s="56"/>
      <c r="M74" s="62">
        <f t="shared" si="3"/>
        <v>0.10525833333333334</v>
      </c>
      <c r="N74" s="56">
        <f t="shared" si="4"/>
        <v>7.4697628833333329</v>
      </c>
      <c r="O74" s="58">
        <f t="shared" si="5"/>
        <v>14.939525766666666</v>
      </c>
      <c r="P74" s="56">
        <f t="shared" si="6"/>
        <v>1.4939525766666666</v>
      </c>
      <c r="Q74" s="57"/>
      <c r="R74" s="56"/>
      <c r="S74" s="58"/>
      <c r="T74" s="56"/>
    </row>
    <row r="75" spans="4:20" ht="14.4" customHeight="1" x14ac:dyDescent="0.3">
      <c r="D75" s="76">
        <f>A43</f>
        <v>17</v>
      </c>
      <c r="E75" s="12" t="s">
        <v>99</v>
      </c>
      <c r="F75" s="12">
        <f>B43</f>
        <v>10</v>
      </c>
      <c r="G75" s="54">
        <v>0.375</v>
      </c>
      <c r="H75" s="55">
        <v>0.75209999999999999</v>
      </c>
      <c r="I75" s="56"/>
      <c r="J75" s="57">
        <f t="shared" si="1"/>
        <v>0.33589999999999998</v>
      </c>
      <c r="K75" s="58">
        <f t="shared" si="2"/>
        <v>0.71496666666666664</v>
      </c>
      <c r="L75" s="56"/>
      <c r="M75" s="62">
        <f t="shared" si="3"/>
        <v>0.15715833333333332</v>
      </c>
      <c r="N75" s="56">
        <f t="shared" si="4"/>
        <v>11.152898283333331</v>
      </c>
      <c r="O75" s="58">
        <f t="shared" si="5"/>
        <v>22.305796566666661</v>
      </c>
      <c r="P75" s="56">
        <f t="shared" si="6"/>
        <v>2.230579656666666</v>
      </c>
      <c r="Q75" s="57">
        <f>AVERAGE(P75:P77)</f>
        <v>1.6459380933333332</v>
      </c>
      <c r="R75" s="56">
        <f>STDEV(P75:P77)</f>
        <v>0.51648920401908927</v>
      </c>
      <c r="S75" s="58">
        <f>R75/Q75*100</f>
        <v>31.379625157900186</v>
      </c>
      <c r="T75" s="56"/>
    </row>
    <row r="76" spans="4:20" ht="14.4" customHeight="1" x14ac:dyDescent="0.3">
      <c r="D76" s="77"/>
      <c r="E76" s="17" t="s">
        <v>100</v>
      </c>
      <c r="F76" s="17">
        <f t="shared" ref="F76" si="37">F75</f>
        <v>10</v>
      </c>
      <c r="G76" s="57">
        <v>0.30990000000000001</v>
      </c>
      <c r="H76" s="58">
        <v>0.76759999999999995</v>
      </c>
      <c r="I76" s="56"/>
      <c r="J76" s="57">
        <f t="shared" si="1"/>
        <v>0.27079999999999999</v>
      </c>
      <c r="K76" s="58">
        <f t="shared" si="2"/>
        <v>0.7304666666666666</v>
      </c>
      <c r="L76" s="56"/>
      <c r="M76" s="62">
        <f t="shared" si="3"/>
        <v>8.8183333333333336E-2</v>
      </c>
      <c r="N76" s="56">
        <f t="shared" si="4"/>
        <v>6.2580184333333326</v>
      </c>
      <c r="O76" s="58">
        <f t="shared" si="5"/>
        <v>12.516036866666665</v>
      </c>
      <c r="P76" s="56">
        <f t="shared" si="6"/>
        <v>1.2516036866666664</v>
      </c>
      <c r="Q76" s="57"/>
      <c r="R76" s="56"/>
      <c r="S76" s="58"/>
      <c r="T76" s="56"/>
    </row>
    <row r="77" spans="4:20" ht="14.4" customHeight="1" x14ac:dyDescent="0.3">
      <c r="D77" s="78"/>
      <c r="E77" s="22" t="s">
        <v>101</v>
      </c>
      <c r="F77" s="22">
        <f t="shared" ref="F77" si="38">F75</f>
        <v>10</v>
      </c>
      <c r="G77" s="65">
        <v>0.32150000000000001</v>
      </c>
      <c r="H77" s="66">
        <v>0.75649999999999995</v>
      </c>
      <c r="I77" s="56"/>
      <c r="J77" s="57">
        <f t="shared" si="1"/>
        <v>0.28239999999999998</v>
      </c>
      <c r="K77" s="58">
        <f t="shared" si="2"/>
        <v>0.7193666666666666</v>
      </c>
      <c r="L77" s="56"/>
      <c r="M77" s="62">
        <f t="shared" si="3"/>
        <v>0.10255833333333333</v>
      </c>
      <c r="N77" s="56">
        <f t="shared" si="4"/>
        <v>7.2781546833333328</v>
      </c>
      <c r="O77" s="58">
        <f t="shared" si="5"/>
        <v>14.556309366666666</v>
      </c>
      <c r="P77" s="56">
        <f t="shared" si="6"/>
        <v>1.4556309366666667</v>
      </c>
      <c r="Q77" s="57"/>
      <c r="R77" s="56"/>
      <c r="S77" s="58"/>
      <c r="T77" s="56"/>
    </row>
    <row r="78" spans="4:20" ht="14.4" customHeight="1" x14ac:dyDescent="0.3">
      <c r="D78" s="76">
        <f>A44</f>
        <v>18</v>
      </c>
      <c r="E78" s="12" t="s">
        <v>102</v>
      </c>
      <c r="F78" s="12">
        <f>B44</f>
        <v>10</v>
      </c>
      <c r="G78" s="54">
        <v>0.35759999999999997</v>
      </c>
      <c r="H78" s="55">
        <v>0.75829999999999997</v>
      </c>
      <c r="I78" s="56"/>
      <c r="J78" s="57">
        <f t="shared" si="1"/>
        <v>0.31849999999999995</v>
      </c>
      <c r="K78" s="58">
        <f t="shared" si="2"/>
        <v>0.72116666666666662</v>
      </c>
      <c r="L78" s="56"/>
      <c r="M78" s="62">
        <f t="shared" si="3"/>
        <v>0.13820833333333329</v>
      </c>
      <c r="N78" s="56">
        <f t="shared" si="4"/>
        <v>9.8080925833333303</v>
      </c>
      <c r="O78" s="58">
        <f t="shared" si="5"/>
        <v>19.616185166666661</v>
      </c>
      <c r="P78" s="56">
        <f t="shared" si="6"/>
        <v>1.961618516666666</v>
      </c>
      <c r="Q78" s="57">
        <f>AVERAGE(P78:P80)</f>
        <v>2.3638774599999999</v>
      </c>
      <c r="R78" s="56">
        <f>STDEV(P78:P80)</f>
        <v>0.38508559564401074</v>
      </c>
      <c r="S78" s="58">
        <f>R78/Q78*100</f>
        <v>16.290421232072273</v>
      </c>
      <c r="T78" s="56"/>
    </row>
    <row r="79" spans="4:20" ht="14.4" customHeight="1" x14ac:dyDescent="0.3">
      <c r="D79" s="77"/>
      <c r="E79" s="17" t="s">
        <v>103</v>
      </c>
      <c r="F79" s="17">
        <f t="shared" ref="F79" si="39">F78</f>
        <v>10</v>
      </c>
      <c r="G79" s="57">
        <v>0.40689999999999998</v>
      </c>
      <c r="H79" s="58">
        <v>0.73919999999999997</v>
      </c>
      <c r="I79" s="56"/>
      <c r="J79" s="57">
        <f t="shared" si="1"/>
        <v>0.36779999999999996</v>
      </c>
      <c r="K79" s="58">
        <f t="shared" si="2"/>
        <v>0.70206666666666662</v>
      </c>
      <c r="L79" s="56"/>
      <c r="M79" s="62">
        <f t="shared" si="3"/>
        <v>0.19228333333333331</v>
      </c>
      <c r="N79" s="56">
        <f t="shared" si="4"/>
        <v>13.64557903333333</v>
      </c>
      <c r="O79" s="58">
        <f t="shared" si="5"/>
        <v>27.291158066666661</v>
      </c>
      <c r="P79" s="56">
        <f t="shared" si="6"/>
        <v>2.7291158066666661</v>
      </c>
      <c r="Q79" s="57"/>
      <c r="R79" s="56"/>
      <c r="S79" s="58"/>
      <c r="T79" s="56"/>
    </row>
    <row r="80" spans="4:20" ht="14.4" customHeight="1" x14ac:dyDescent="0.3">
      <c r="D80" s="78"/>
      <c r="E80" s="22" t="s">
        <v>104</v>
      </c>
      <c r="F80" s="22">
        <f t="shared" ref="F80" si="40">F78</f>
        <v>10</v>
      </c>
      <c r="G80" s="65">
        <v>0.38590000000000002</v>
      </c>
      <c r="H80" s="66">
        <v>0.74770000000000003</v>
      </c>
      <c r="I80" s="56"/>
      <c r="J80" s="57">
        <f t="shared" si="1"/>
        <v>0.3468</v>
      </c>
      <c r="K80" s="58">
        <f t="shared" si="2"/>
        <v>0.71056666666666668</v>
      </c>
      <c r="L80" s="56"/>
      <c r="M80" s="62">
        <f t="shared" si="3"/>
        <v>0.16915833333333333</v>
      </c>
      <c r="N80" s="56">
        <f t="shared" si="4"/>
        <v>12.004490283333332</v>
      </c>
      <c r="O80" s="58">
        <f t="shared" si="5"/>
        <v>24.008980566666665</v>
      </c>
      <c r="P80" s="56">
        <f t="shared" si="6"/>
        <v>2.4008980566666667</v>
      </c>
      <c r="Q80" s="57"/>
      <c r="R80" s="56"/>
      <c r="S80" s="58"/>
      <c r="T80" s="56"/>
    </row>
    <row r="81" spans="4:20" ht="14.4" customHeight="1" x14ac:dyDescent="0.3">
      <c r="D81" s="76">
        <f>A45</f>
        <v>19</v>
      </c>
      <c r="E81" s="12" t="s">
        <v>105</v>
      </c>
      <c r="F81" s="12">
        <f>B45</f>
        <v>10</v>
      </c>
      <c r="G81" s="54">
        <v>0.3589</v>
      </c>
      <c r="H81" s="55">
        <v>0.71020000000000005</v>
      </c>
      <c r="I81" s="56"/>
      <c r="J81" s="57">
        <f t="shared" si="1"/>
        <v>0.31979999999999997</v>
      </c>
      <c r="K81" s="58">
        <f t="shared" si="2"/>
        <v>0.6730666666666667</v>
      </c>
      <c r="L81" s="56"/>
      <c r="M81" s="62">
        <f t="shared" si="3"/>
        <v>0.1515333333333333</v>
      </c>
      <c r="N81" s="56">
        <f t="shared" si="4"/>
        <v>10.75371453333333</v>
      </c>
      <c r="O81" s="58">
        <f t="shared" si="5"/>
        <v>21.50742906666666</v>
      </c>
      <c r="P81" s="56">
        <f t="shared" si="6"/>
        <v>2.1507429066666659</v>
      </c>
      <c r="Q81" s="57">
        <f>AVERAGE(P81:P83)</f>
        <v>2.3990056299999996</v>
      </c>
      <c r="R81" s="56">
        <f>STDEV(P81:P83)</f>
        <v>0.21506337724683336</v>
      </c>
      <c r="S81" s="58">
        <f>R81/Q81*100</f>
        <v>8.9646883090821845</v>
      </c>
      <c r="T81" s="56"/>
    </row>
    <row r="82" spans="4:20" ht="14.4" customHeight="1" x14ac:dyDescent="0.3">
      <c r="D82" s="77"/>
      <c r="E82" s="17" t="s">
        <v>106</v>
      </c>
      <c r="F82" s="17">
        <f t="shared" ref="F82" si="41">F81</f>
        <v>10</v>
      </c>
      <c r="G82" s="57">
        <v>0.3851</v>
      </c>
      <c r="H82" s="58">
        <v>0.71150000000000002</v>
      </c>
      <c r="I82" s="56"/>
      <c r="J82" s="57">
        <f t="shared" si="1"/>
        <v>0.34599999999999997</v>
      </c>
      <c r="K82" s="58">
        <f t="shared" si="2"/>
        <v>0.67436666666666667</v>
      </c>
      <c r="L82" s="56"/>
      <c r="M82" s="62">
        <f t="shared" si="3"/>
        <v>0.17740833333333331</v>
      </c>
      <c r="N82" s="56">
        <f t="shared" si="4"/>
        <v>12.589959783333331</v>
      </c>
      <c r="O82" s="58">
        <f t="shared" si="5"/>
        <v>25.179919566666662</v>
      </c>
      <c r="P82" s="56">
        <f t="shared" si="6"/>
        <v>2.5179919566666662</v>
      </c>
      <c r="Q82" s="57"/>
      <c r="R82" s="56"/>
      <c r="S82" s="58"/>
      <c r="T82" s="56"/>
    </row>
    <row r="83" spans="4:20" ht="14.4" customHeight="1" x14ac:dyDescent="0.3">
      <c r="D83" s="78"/>
      <c r="E83" s="22" t="s">
        <v>107</v>
      </c>
      <c r="F83" s="22">
        <f t="shared" ref="F83" si="42">F81</f>
        <v>10</v>
      </c>
      <c r="G83" s="65">
        <v>0.38640000000000002</v>
      </c>
      <c r="H83" s="66">
        <v>0.71379999999999999</v>
      </c>
      <c r="I83" s="56"/>
      <c r="J83" s="57">
        <f t="shared" si="1"/>
        <v>0.3473</v>
      </c>
      <c r="K83" s="58">
        <f t="shared" si="2"/>
        <v>0.67666666666666664</v>
      </c>
      <c r="L83" s="56"/>
      <c r="M83" s="62">
        <f t="shared" si="3"/>
        <v>0.17813333333333334</v>
      </c>
      <c r="N83" s="56">
        <f t="shared" si="4"/>
        <v>12.641410133333332</v>
      </c>
      <c r="O83" s="58">
        <f t="shared" si="5"/>
        <v>25.282820266666665</v>
      </c>
      <c r="P83" s="56">
        <f t="shared" si="6"/>
        <v>2.5282820266666666</v>
      </c>
      <c r="Q83" s="57"/>
      <c r="R83" s="56"/>
      <c r="S83" s="58"/>
      <c r="T83" s="56"/>
    </row>
    <row r="84" spans="4:20" ht="14.4" customHeight="1" x14ac:dyDescent="0.3">
      <c r="D84" s="76">
        <f>A46</f>
        <v>20</v>
      </c>
      <c r="E84" s="12" t="s">
        <v>108</v>
      </c>
      <c r="F84" s="12">
        <f>B46</f>
        <v>10</v>
      </c>
      <c r="G84" s="54">
        <v>0.4</v>
      </c>
      <c r="H84" s="55">
        <v>0.72199999999999998</v>
      </c>
      <c r="I84" s="56"/>
      <c r="J84" s="57">
        <f t="shared" si="1"/>
        <v>0.3609</v>
      </c>
      <c r="K84" s="58">
        <f t="shared" si="2"/>
        <v>0.68486666666666662</v>
      </c>
      <c r="L84" s="56"/>
      <c r="M84" s="62">
        <f t="shared" si="3"/>
        <v>0.18968333333333334</v>
      </c>
      <c r="N84" s="56">
        <f t="shared" si="4"/>
        <v>13.461067433333334</v>
      </c>
      <c r="O84" s="58">
        <f t="shared" si="5"/>
        <v>26.922134866666667</v>
      </c>
      <c r="P84" s="56">
        <f t="shared" si="6"/>
        <v>2.6922134866666667</v>
      </c>
      <c r="Q84" s="57">
        <f>AVERAGE(P84:P86)</f>
        <v>1.8289120966666665</v>
      </c>
      <c r="R84" s="56">
        <f>STDEV(P84:P86)</f>
        <v>0.75053272208177635</v>
      </c>
      <c r="S84" s="58">
        <f>R84/Q84*100</f>
        <v>41.03711290715831</v>
      </c>
      <c r="T84" s="56"/>
    </row>
    <row r="85" spans="4:20" ht="14.4" customHeight="1" x14ac:dyDescent="0.3">
      <c r="D85" s="77"/>
      <c r="E85" s="17" t="s">
        <v>109</v>
      </c>
      <c r="F85" s="17">
        <f t="shared" ref="F85" si="43">F84</f>
        <v>10</v>
      </c>
      <c r="G85" s="57">
        <v>0.31630000000000003</v>
      </c>
      <c r="H85" s="58">
        <v>0.77070000000000005</v>
      </c>
      <c r="I85" s="56"/>
      <c r="J85" s="57">
        <f t="shared" si="1"/>
        <v>0.2772</v>
      </c>
      <c r="K85" s="58">
        <f t="shared" si="2"/>
        <v>0.7335666666666667</v>
      </c>
      <c r="L85" s="56"/>
      <c r="M85" s="62">
        <f t="shared" si="3"/>
        <v>9.3808333333333327E-2</v>
      </c>
      <c r="N85" s="56">
        <f t="shared" si="4"/>
        <v>6.6572021833333324</v>
      </c>
      <c r="O85" s="58">
        <f t="shared" si="5"/>
        <v>13.314404366666665</v>
      </c>
      <c r="P85" s="56">
        <f t="shared" si="6"/>
        <v>1.3314404366666666</v>
      </c>
      <c r="Q85" s="57"/>
      <c r="R85" s="56"/>
      <c r="S85" s="58"/>
      <c r="T85" s="56"/>
    </row>
    <row r="86" spans="4:20" ht="14.4" customHeight="1" x14ac:dyDescent="0.3">
      <c r="D86" s="78"/>
      <c r="E86" s="22" t="s">
        <v>110</v>
      </c>
      <c r="F86" s="22">
        <f t="shared" ref="F86" si="44">F84</f>
        <v>10</v>
      </c>
      <c r="G86" s="65">
        <v>0.32750000000000001</v>
      </c>
      <c r="H86" s="66">
        <v>0.77839999999999998</v>
      </c>
      <c r="I86" s="56"/>
      <c r="J86" s="57">
        <f t="shared" si="1"/>
        <v>0.28839999999999999</v>
      </c>
      <c r="K86" s="58">
        <f t="shared" si="2"/>
        <v>0.74126666666666663</v>
      </c>
      <c r="L86" s="56"/>
      <c r="M86" s="62">
        <f t="shared" si="3"/>
        <v>0.10308333333333333</v>
      </c>
      <c r="N86" s="56">
        <f t="shared" si="4"/>
        <v>7.3154118333333322</v>
      </c>
      <c r="O86" s="58">
        <f t="shared" si="5"/>
        <v>14.630823666666664</v>
      </c>
      <c r="P86" s="56">
        <f t="shared" si="6"/>
        <v>1.4630823666666664</v>
      </c>
      <c r="Q86" s="57"/>
      <c r="R86" s="56"/>
      <c r="S86" s="58"/>
      <c r="T86" s="56"/>
    </row>
    <row r="87" spans="4:20" ht="14.4" customHeight="1" x14ac:dyDescent="0.3">
      <c r="D87" s="76">
        <f>A47</f>
        <v>21</v>
      </c>
      <c r="E87" s="12" t="s">
        <v>111</v>
      </c>
      <c r="F87" s="12">
        <f>B47</f>
        <v>10</v>
      </c>
      <c r="G87" s="54">
        <v>0.33729999999999999</v>
      </c>
      <c r="H87" s="55">
        <v>0.77980000000000005</v>
      </c>
      <c r="I87" s="56"/>
      <c r="J87" s="57">
        <f t="shared" si="1"/>
        <v>0.29819999999999997</v>
      </c>
      <c r="K87" s="58">
        <f t="shared" si="2"/>
        <v>0.7426666666666667</v>
      </c>
      <c r="L87" s="56"/>
      <c r="M87" s="62">
        <f t="shared" si="3"/>
        <v>0.11253333333333329</v>
      </c>
      <c r="N87" s="56">
        <f t="shared" si="4"/>
        <v>7.9860405333333295</v>
      </c>
      <c r="O87" s="58">
        <f t="shared" si="5"/>
        <v>15.972081066666659</v>
      </c>
      <c r="P87" s="56">
        <f t="shared" si="6"/>
        <v>1.5972081066666659</v>
      </c>
      <c r="Q87" s="57">
        <f>AVERAGE(P87:P89)</f>
        <v>0.99565297999999969</v>
      </c>
      <c r="R87" s="56">
        <f>STDEV(P87:P89)</f>
        <v>0.78051795754062125</v>
      </c>
      <c r="S87" s="58">
        <f>R87/Q87*100</f>
        <v>78.392569822933851</v>
      </c>
      <c r="T87" s="56"/>
    </row>
    <row r="88" spans="4:20" ht="14.4" customHeight="1" x14ac:dyDescent="0.3">
      <c r="D88" s="77"/>
      <c r="E88" s="17" t="s">
        <v>112</v>
      </c>
      <c r="F88" s="17">
        <f t="shared" ref="F88:F97" si="45">F87</f>
        <v>10</v>
      </c>
      <c r="G88" s="57">
        <v>0.2397</v>
      </c>
      <c r="H88" s="58">
        <v>0.8075</v>
      </c>
      <c r="I88" s="56"/>
      <c r="J88" s="57">
        <f t="shared" si="1"/>
        <v>0.2006</v>
      </c>
      <c r="K88" s="58">
        <f t="shared" si="2"/>
        <v>0.77036666666666664</v>
      </c>
      <c r="L88" s="56"/>
      <c r="M88" s="62">
        <f t="shared" si="3"/>
        <v>8.0083333333333395E-3</v>
      </c>
      <c r="N88" s="56">
        <f t="shared" si="4"/>
        <v>0.56831938333333376</v>
      </c>
      <c r="O88" s="58">
        <f t="shared" si="5"/>
        <v>1.1366387666666675</v>
      </c>
      <c r="P88" s="56">
        <f t="shared" si="6"/>
        <v>0.11366387666666675</v>
      </c>
      <c r="Q88" s="57"/>
      <c r="R88" s="56"/>
      <c r="S88" s="58"/>
      <c r="T88" s="56"/>
    </row>
    <row r="89" spans="4:20" ht="14.4" customHeight="1" x14ac:dyDescent="0.3">
      <c r="D89" s="78"/>
      <c r="E89" s="22" t="s">
        <v>113</v>
      </c>
      <c r="F89" s="22">
        <f t="shared" ref="F89:F98" si="46">F87</f>
        <v>10</v>
      </c>
      <c r="G89" s="65">
        <v>0.30349999999999999</v>
      </c>
      <c r="H89" s="66">
        <v>0.73509999999999998</v>
      </c>
      <c r="I89" s="56"/>
      <c r="J89" s="57">
        <f t="shared" si="1"/>
        <v>0.26439999999999997</v>
      </c>
      <c r="K89" s="58">
        <f t="shared" si="2"/>
        <v>0.69796666666666662</v>
      </c>
      <c r="L89" s="56"/>
      <c r="M89" s="62">
        <f t="shared" si="3"/>
        <v>8.9908333333333312E-2</v>
      </c>
      <c r="N89" s="56">
        <f t="shared" si="4"/>
        <v>6.3804347833333317</v>
      </c>
      <c r="O89" s="58">
        <f t="shared" si="5"/>
        <v>12.760869566666663</v>
      </c>
      <c r="P89" s="56">
        <f t="shared" si="6"/>
        <v>1.2760869566666664</v>
      </c>
      <c r="Q89" s="57"/>
      <c r="R89" s="56"/>
      <c r="S89" s="58"/>
      <c r="T89" s="56"/>
    </row>
    <row r="90" spans="4:20" ht="14.4" customHeight="1" x14ac:dyDescent="0.3">
      <c r="D90" s="76">
        <f>A48</f>
        <v>22</v>
      </c>
      <c r="E90" s="12" t="s">
        <v>114</v>
      </c>
      <c r="F90" s="12">
        <f>B48</f>
        <v>10</v>
      </c>
      <c r="G90" s="54">
        <v>0.3619</v>
      </c>
      <c r="H90" s="55">
        <v>0.70750000000000002</v>
      </c>
      <c r="I90" s="56"/>
      <c r="J90" s="57">
        <f t="shared" si="1"/>
        <v>0.32279999999999998</v>
      </c>
      <c r="K90" s="58">
        <f t="shared" si="2"/>
        <v>0.67036666666666667</v>
      </c>
      <c r="L90" s="56"/>
      <c r="M90" s="62">
        <f t="shared" si="3"/>
        <v>0.15520833333333331</v>
      </c>
      <c r="N90" s="56">
        <f t="shared" si="4"/>
        <v>11.01451458333333</v>
      </c>
      <c r="O90" s="58">
        <f t="shared" si="5"/>
        <v>22.02902916666666</v>
      </c>
      <c r="P90" s="56">
        <f t="shared" si="6"/>
        <v>2.202902916666666</v>
      </c>
      <c r="Q90" s="57">
        <f>AVERAGE(P90:P92)</f>
        <v>2.1272058499999993</v>
      </c>
      <c r="R90" s="56">
        <f>STDEV(P90:P92)</f>
        <v>0.15859842560507803</v>
      </c>
      <c r="S90" s="58">
        <f>R90/Q90*100</f>
        <v>7.4557159385904317</v>
      </c>
      <c r="T90" s="56"/>
    </row>
    <row r="91" spans="4:20" ht="14.4" customHeight="1" x14ac:dyDescent="0.3">
      <c r="D91" s="77"/>
      <c r="E91" s="17" t="s">
        <v>115</v>
      </c>
      <c r="F91" s="17">
        <f t="shared" si="45"/>
        <v>10</v>
      </c>
      <c r="G91" s="57">
        <v>0.34089999999999998</v>
      </c>
      <c r="H91" s="58">
        <v>0.69620000000000004</v>
      </c>
      <c r="I91" s="56"/>
      <c r="J91" s="57">
        <f t="shared" ref="J91:J98" si="47">G91-$J$14</f>
        <v>0.30179999999999996</v>
      </c>
      <c r="K91" s="58">
        <f t="shared" ref="K91:K98" si="48">H91-$K$14</f>
        <v>0.65906666666666669</v>
      </c>
      <c r="L91" s="56"/>
      <c r="M91" s="62">
        <f t="shared" si="3"/>
        <v>0.13703333333333328</v>
      </c>
      <c r="N91" s="56">
        <f t="shared" si="4"/>
        <v>9.7247075333333299</v>
      </c>
      <c r="O91" s="58">
        <f t="shared" si="5"/>
        <v>19.44941506666666</v>
      </c>
      <c r="P91" s="56">
        <f t="shared" si="6"/>
        <v>1.944941506666666</v>
      </c>
      <c r="Q91" s="57"/>
      <c r="R91" s="56"/>
      <c r="S91" s="58"/>
      <c r="T91" s="56"/>
    </row>
    <row r="92" spans="4:20" ht="14.4" customHeight="1" x14ac:dyDescent="0.3">
      <c r="D92" s="78"/>
      <c r="E92" s="22" t="s">
        <v>116</v>
      </c>
      <c r="F92" s="22">
        <f t="shared" si="46"/>
        <v>10</v>
      </c>
      <c r="G92" s="65">
        <v>0.3599</v>
      </c>
      <c r="H92" s="66">
        <v>0.69079999999999997</v>
      </c>
      <c r="I92" s="56"/>
      <c r="J92" s="57">
        <f t="shared" si="47"/>
        <v>0.32079999999999997</v>
      </c>
      <c r="K92" s="58">
        <f t="shared" si="48"/>
        <v>0.65366666666666662</v>
      </c>
      <c r="L92" s="56"/>
      <c r="M92" s="62">
        <f t="shared" ref="M92:M98" si="49">J92-(0.25*K92)</f>
        <v>0.15738333333333332</v>
      </c>
      <c r="N92" s="56">
        <f t="shared" ref="N92:N98" si="50">M92*70.966</f>
        <v>11.168865633333331</v>
      </c>
      <c r="O92" s="58">
        <f t="shared" ref="O92:O98" si="51">N92*2</f>
        <v>22.337731266666662</v>
      </c>
      <c r="P92" s="56">
        <f t="shared" ref="P92:P98" si="52">O92/F92</f>
        <v>2.2337731266666663</v>
      </c>
      <c r="Q92" s="57"/>
      <c r="R92" s="56"/>
      <c r="S92" s="58"/>
      <c r="T92" s="56"/>
    </row>
    <row r="93" spans="4:20" ht="14.4" customHeight="1" x14ac:dyDescent="0.3">
      <c r="D93" s="76">
        <f>A49</f>
        <v>23</v>
      </c>
      <c r="E93" s="12" t="s">
        <v>117</v>
      </c>
      <c r="F93" s="12">
        <f>B49</f>
        <v>10</v>
      </c>
      <c r="G93" s="54">
        <v>0.36370000000000002</v>
      </c>
      <c r="H93" s="55">
        <v>0.75109999999999999</v>
      </c>
      <c r="I93" s="56"/>
      <c r="J93" s="57">
        <f t="shared" si="47"/>
        <v>0.3246</v>
      </c>
      <c r="K93" s="58">
        <f t="shared" si="48"/>
        <v>0.71396666666666664</v>
      </c>
      <c r="L93" s="56"/>
      <c r="M93" s="62">
        <f t="shared" si="49"/>
        <v>0.14610833333333334</v>
      </c>
      <c r="N93" s="56">
        <f t="shared" si="50"/>
        <v>10.368723983333332</v>
      </c>
      <c r="O93" s="58">
        <f t="shared" si="51"/>
        <v>20.737447966666664</v>
      </c>
      <c r="P93" s="56">
        <f t="shared" si="52"/>
        <v>2.0737447966666664</v>
      </c>
      <c r="Q93" s="57">
        <f>AVERAGE(P93:P95)</f>
        <v>2.2039674066666661</v>
      </c>
      <c r="R93" s="56">
        <f>STDEV(P93:P95)</f>
        <v>0.18058825262088499</v>
      </c>
      <c r="S93" s="58">
        <f>R93/Q93*100</f>
        <v>8.1937805466012321</v>
      </c>
      <c r="T93" s="56"/>
    </row>
    <row r="94" spans="4:20" ht="14.4" customHeight="1" x14ac:dyDescent="0.3">
      <c r="D94" s="77"/>
      <c r="E94" s="17" t="s">
        <v>118</v>
      </c>
      <c r="F94" s="17">
        <f t="shared" si="45"/>
        <v>10</v>
      </c>
      <c r="G94" s="57">
        <v>0.37209999999999999</v>
      </c>
      <c r="H94" s="58">
        <v>0.76939999999999997</v>
      </c>
      <c r="I94" s="56"/>
      <c r="J94" s="57">
        <f t="shared" si="47"/>
        <v>0.33299999999999996</v>
      </c>
      <c r="K94" s="58">
        <f t="shared" si="48"/>
        <v>0.73226666666666662</v>
      </c>
      <c r="L94" s="56"/>
      <c r="M94" s="62">
        <f t="shared" si="49"/>
        <v>0.14993333333333331</v>
      </c>
      <c r="N94" s="56">
        <f t="shared" si="50"/>
        <v>10.64016893333333</v>
      </c>
      <c r="O94" s="58">
        <f t="shared" si="51"/>
        <v>21.28033786666666</v>
      </c>
      <c r="P94" s="56">
        <f t="shared" si="52"/>
        <v>2.1280337866666659</v>
      </c>
      <c r="Q94" s="57"/>
      <c r="R94" s="56"/>
      <c r="S94" s="58"/>
      <c r="T94" s="56"/>
    </row>
    <row r="95" spans="4:20" ht="14.4" customHeight="1" x14ac:dyDescent="0.3">
      <c r="D95" s="78"/>
      <c r="E95" s="22" t="s">
        <v>119</v>
      </c>
      <c r="F95" s="22">
        <f t="shared" si="46"/>
        <v>10</v>
      </c>
      <c r="G95" s="65">
        <v>0.38879999999999998</v>
      </c>
      <c r="H95" s="66">
        <v>0.75670000000000004</v>
      </c>
      <c r="I95" s="56"/>
      <c r="J95" s="57">
        <f t="shared" si="47"/>
        <v>0.34969999999999996</v>
      </c>
      <c r="K95" s="58">
        <f t="shared" si="48"/>
        <v>0.71956666666666669</v>
      </c>
      <c r="L95" s="56"/>
      <c r="M95" s="62">
        <f t="shared" si="49"/>
        <v>0.16980833333333328</v>
      </c>
      <c r="N95" s="56">
        <f t="shared" si="50"/>
        <v>12.050618183333329</v>
      </c>
      <c r="O95" s="58">
        <f t="shared" si="51"/>
        <v>24.101236366666658</v>
      </c>
      <c r="P95" s="56">
        <f t="shared" si="52"/>
        <v>2.4101236366666656</v>
      </c>
      <c r="Q95" s="57"/>
      <c r="R95" s="56"/>
      <c r="S95" s="58"/>
      <c r="T95" s="56"/>
    </row>
    <row r="96" spans="4:20" ht="14.4" customHeight="1" x14ac:dyDescent="0.3">
      <c r="D96" s="76">
        <f>A50</f>
        <v>24</v>
      </c>
      <c r="E96" s="12" t="s">
        <v>120</v>
      </c>
      <c r="F96" s="12">
        <f>B50</f>
        <v>10</v>
      </c>
      <c r="G96" s="54">
        <v>0.36720000000000003</v>
      </c>
      <c r="H96" s="55">
        <v>0.70199999999999996</v>
      </c>
      <c r="I96" s="56"/>
      <c r="J96" s="57">
        <f t="shared" si="47"/>
        <v>0.3281</v>
      </c>
      <c r="K96" s="58">
        <f t="shared" si="48"/>
        <v>0.66486666666666661</v>
      </c>
      <c r="L96" s="56"/>
      <c r="M96" s="62">
        <f t="shared" si="49"/>
        <v>0.16188333333333335</v>
      </c>
      <c r="N96" s="56">
        <f t="shared" si="50"/>
        <v>11.488212633333333</v>
      </c>
      <c r="O96" s="58">
        <f t="shared" si="51"/>
        <v>22.976425266666666</v>
      </c>
      <c r="P96" s="56">
        <f t="shared" si="52"/>
        <v>2.2976425266666665</v>
      </c>
      <c r="Q96" s="57">
        <f>AVERAGE(P96:P98)</f>
        <v>2.1721509833333328</v>
      </c>
      <c r="R96" s="56">
        <f>STDEV(P96:P98)</f>
        <v>0.23950692070772506</v>
      </c>
      <c r="S96" s="58">
        <f>R96/Q96*100</f>
        <v>11.026255658351303</v>
      </c>
      <c r="T96" s="56"/>
    </row>
    <row r="97" spans="4:20" ht="14.4" customHeight="1" x14ac:dyDescent="0.3">
      <c r="D97" s="77"/>
      <c r="E97" s="17" t="s">
        <v>121</v>
      </c>
      <c r="F97" s="17">
        <f t="shared" si="45"/>
        <v>10</v>
      </c>
      <c r="G97" s="57">
        <v>0.36580000000000001</v>
      </c>
      <c r="H97" s="58">
        <v>0.68930000000000002</v>
      </c>
      <c r="I97" s="56"/>
      <c r="J97" s="57">
        <f t="shared" si="47"/>
        <v>0.32669999999999999</v>
      </c>
      <c r="K97" s="58">
        <f t="shared" si="48"/>
        <v>0.65216666666666667</v>
      </c>
      <c r="L97" s="56"/>
      <c r="M97" s="62">
        <f t="shared" si="49"/>
        <v>0.16365833333333332</v>
      </c>
      <c r="N97" s="56">
        <f t="shared" si="50"/>
        <v>11.614177283333332</v>
      </c>
      <c r="O97" s="58">
        <f t="shared" si="51"/>
        <v>23.228354566666663</v>
      </c>
      <c r="P97" s="56">
        <f t="shared" si="52"/>
        <v>2.3228354566666662</v>
      </c>
      <c r="Q97" s="57"/>
      <c r="R97" s="56"/>
      <c r="S97" s="58"/>
      <c r="T97" s="56"/>
    </row>
    <row r="98" spans="4:20" ht="14.4" customHeight="1" x14ac:dyDescent="0.3">
      <c r="D98" s="78"/>
      <c r="E98" s="22" t="s">
        <v>122</v>
      </c>
      <c r="F98" s="22">
        <f t="shared" si="46"/>
        <v>10</v>
      </c>
      <c r="G98" s="65">
        <v>0.33329999999999999</v>
      </c>
      <c r="H98" s="66">
        <v>0.67959999999999998</v>
      </c>
      <c r="I98" s="56"/>
      <c r="J98" s="65">
        <f t="shared" si="47"/>
        <v>0.29419999999999996</v>
      </c>
      <c r="K98" s="58">
        <f t="shared" si="48"/>
        <v>0.64246666666666663</v>
      </c>
      <c r="L98" s="56"/>
      <c r="M98" s="69">
        <f t="shared" si="49"/>
        <v>0.1335833333333333</v>
      </c>
      <c r="N98" s="56">
        <f t="shared" si="50"/>
        <v>9.47987483333333</v>
      </c>
      <c r="O98" s="58">
        <f t="shared" si="51"/>
        <v>18.95974966666666</v>
      </c>
      <c r="P98" s="70">
        <f t="shared" si="52"/>
        <v>1.8959749666666661</v>
      </c>
      <c r="Q98" s="65"/>
      <c r="R98" s="70"/>
      <c r="S98" s="66"/>
      <c r="T98" s="56"/>
    </row>
    <row r="99" spans="4:20" x14ac:dyDescent="0.3">
      <c r="N99" s="35"/>
    </row>
  </sheetData>
  <mergeCells count="31">
    <mergeCell ref="D96:D98"/>
    <mergeCell ref="D78:D80"/>
    <mergeCell ref="D81:D83"/>
    <mergeCell ref="D84:D86"/>
    <mergeCell ref="D87:D89"/>
    <mergeCell ref="D90:D92"/>
    <mergeCell ref="D93:D95"/>
    <mergeCell ref="D60:D62"/>
    <mergeCell ref="D63:D65"/>
    <mergeCell ref="D66:D68"/>
    <mergeCell ref="D69:D71"/>
    <mergeCell ref="D72:D74"/>
    <mergeCell ref="D75:D77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D1D8-CF09-48B5-8109-6E682508004D}">
  <dimension ref="A1:X99"/>
  <sheetViews>
    <sheetView zoomScale="80" zoomScaleNormal="80" workbookViewId="0">
      <selection activeCell="H24" sqref="H24"/>
    </sheetView>
  </sheetViews>
  <sheetFormatPr defaultColWidth="8.88671875" defaultRowHeight="14.4" x14ac:dyDescent="0.3"/>
  <cols>
    <col min="1" max="1" width="10.5546875" bestFit="1" customWidth="1"/>
    <col min="2" max="2" width="9.109375" bestFit="1" customWidth="1"/>
    <col min="4" max="4" width="9.44140625" customWidth="1"/>
    <col min="5" max="5" width="10" customWidth="1"/>
    <col min="6" max="6" width="11.6640625" customWidth="1"/>
    <col min="7" max="7" width="12.5546875" customWidth="1"/>
    <col min="8" max="8" width="12.6640625" customWidth="1"/>
    <col min="10" max="11" width="9" customWidth="1"/>
    <col min="12" max="12" width="11.6640625" customWidth="1"/>
    <col min="13" max="13" width="9" customWidth="1"/>
    <col min="14" max="14" width="11.6640625" bestFit="1" customWidth="1"/>
    <col min="15" max="15" width="9" customWidth="1"/>
    <col min="16" max="16" width="9" bestFit="1" customWidth="1"/>
    <col min="17" max="17" width="10.88671875" customWidth="1"/>
    <col min="18" max="18" width="10.6640625" customWidth="1"/>
    <col min="19" max="19" width="9" bestFit="1" customWidth="1"/>
    <col min="20" max="20" width="9.5546875" bestFit="1" customWidth="1"/>
    <col min="21" max="21" width="9.5546875" customWidth="1"/>
  </cols>
  <sheetData>
    <row r="1" spans="5:17" x14ac:dyDescent="0.3">
      <c r="E1" s="79" t="s">
        <v>0</v>
      </c>
      <c r="F1" s="79"/>
      <c r="G1" s="79"/>
    </row>
    <row r="2" spans="5:17" x14ac:dyDescent="0.3">
      <c r="E2" s="79"/>
      <c r="F2" s="79"/>
      <c r="G2" s="79"/>
    </row>
    <row r="4" spans="5:17" ht="28.5" customHeight="1" x14ac:dyDescent="0.3">
      <c r="E4" s="1"/>
      <c r="F4" s="80" t="s">
        <v>1</v>
      </c>
      <c r="G4" s="81"/>
      <c r="I4" s="1"/>
      <c r="J4" s="80" t="s">
        <v>1</v>
      </c>
      <c r="K4" s="81"/>
      <c r="L4" s="2"/>
      <c r="M4" s="71" t="s">
        <v>2</v>
      </c>
      <c r="N4" s="72"/>
      <c r="O4" s="2"/>
      <c r="P4" s="82" t="s">
        <v>3</v>
      </c>
      <c r="Q4" s="83"/>
    </row>
    <row r="5" spans="5:17" ht="17.25" customHeight="1" x14ac:dyDescent="0.3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2" t="s">
        <v>1</v>
      </c>
      <c r="Q5" s="83"/>
    </row>
    <row r="6" spans="5:17" x14ac:dyDescent="0.3">
      <c r="E6" s="11" t="s">
        <v>8</v>
      </c>
      <c r="F6">
        <v>4.2000000000000003E-2</v>
      </c>
      <c r="G6">
        <v>3.8100000000000002E-2</v>
      </c>
      <c r="I6" s="13">
        <v>12.5</v>
      </c>
      <c r="J6" s="14">
        <f>AVERAGE(F9:F11)</f>
        <v>0.26476666666666665</v>
      </c>
      <c r="K6" s="15">
        <f>AVERAGE(G9:G11)</f>
        <v>3.6366666666666665E-2</v>
      </c>
      <c r="M6" s="14">
        <f>J6-$J$14</f>
        <v>0.22566666666666665</v>
      </c>
      <c r="N6" s="15">
        <f>K6-$K$14</f>
        <v>-7.666666666666655E-4</v>
      </c>
      <c r="P6" s="1" t="s">
        <v>5</v>
      </c>
      <c r="Q6" s="7" t="s">
        <v>7</v>
      </c>
    </row>
    <row r="7" spans="5:17" x14ac:dyDescent="0.3">
      <c r="E7" s="16" t="s">
        <v>9</v>
      </c>
      <c r="F7">
        <v>3.5799999999999998E-2</v>
      </c>
      <c r="G7">
        <v>3.49E-2</v>
      </c>
      <c r="I7" s="18">
        <v>25</v>
      </c>
      <c r="J7" s="19">
        <f>AVERAGE(F12:F14)</f>
        <v>0.56596666666666673</v>
      </c>
      <c r="K7" s="20">
        <f>AVERAGE(G12:G14)</f>
        <v>3.6399999999999995E-2</v>
      </c>
      <c r="M7" s="19">
        <f>J7-$J$14</f>
        <v>0.52686666666666671</v>
      </c>
      <c r="N7" s="20">
        <f>K7-$K$14</f>
        <v>-7.3333333333333584E-4</v>
      </c>
      <c r="P7" s="17">
        <f>M6</f>
        <v>0.22566666666666665</v>
      </c>
      <c r="Q7" s="12">
        <v>12.5</v>
      </c>
    </row>
    <row r="8" spans="5:17" x14ac:dyDescent="0.3">
      <c r="E8" s="21" t="s">
        <v>10</v>
      </c>
      <c r="F8">
        <v>3.95E-2</v>
      </c>
      <c r="G8">
        <v>3.8399999999999997E-2</v>
      </c>
      <c r="I8" s="18">
        <v>50</v>
      </c>
      <c r="J8" s="19">
        <f>AVERAGE(F15:F17)</f>
        <v>1.1274333333333333</v>
      </c>
      <c r="K8" s="20">
        <f>AVERAGE(G15:G17)</f>
        <v>3.7200000000000004E-2</v>
      </c>
      <c r="M8" s="19">
        <f>J8-$J$14</f>
        <v>1.0883333333333334</v>
      </c>
      <c r="N8" s="20">
        <f>K8-$K$14</f>
        <v>6.6666666666673202E-5</v>
      </c>
      <c r="P8" s="17">
        <f>M7</f>
        <v>0.52686666666666671</v>
      </c>
      <c r="Q8" s="17">
        <v>25</v>
      </c>
    </row>
    <row r="9" spans="5:17" x14ac:dyDescent="0.3">
      <c r="E9" s="11" t="s">
        <v>11</v>
      </c>
      <c r="F9">
        <v>0.31159999999999999</v>
      </c>
      <c r="G9">
        <v>3.56E-2</v>
      </c>
      <c r="I9" s="18">
        <v>100</v>
      </c>
      <c r="J9" s="19">
        <f>AVERAGE(F18:F20)</f>
        <v>1.7840999999999998</v>
      </c>
      <c r="K9" s="20">
        <f>AVERAGE(G18:G20)</f>
        <v>3.833333333333333E-2</v>
      </c>
      <c r="M9" s="19">
        <f>J9-$J$14</f>
        <v>1.7449999999999999</v>
      </c>
      <c r="N9" s="20">
        <f>K9-$K$14</f>
        <v>1.1999999999999997E-3</v>
      </c>
      <c r="P9" s="17">
        <f>M8</f>
        <v>1.0883333333333334</v>
      </c>
      <c r="Q9" s="17">
        <v>50</v>
      </c>
    </row>
    <row r="10" spans="5:17" x14ac:dyDescent="0.3">
      <c r="E10" s="16" t="s">
        <v>12</v>
      </c>
      <c r="F10">
        <v>0.17879999999999999</v>
      </c>
      <c r="G10">
        <v>3.6999999999999998E-2</v>
      </c>
      <c r="I10" s="23">
        <v>250</v>
      </c>
      <c r="J10" s="24">
        <f>AVERAGE(F21:F23)</f>
        <v>3.8068999999999997</v>
      </c>
      <c r="K10" s="25">
        <f>AVERAGE(G21:G23)</f>
        <v>3.5266666666666668E-2</v>
      </c>
      <c r="M10" s="19">
        <f>J10-$J$14</f>
        <v>3.7677999999999998</v>
      </c>
      <c r="N10" s="20">
        <f>K10-$K$14</f>
        <v>-1.8666666666666623E-3</v>
      </c>
      <c r="P10" s="17">
        <f>M9</f>
        <v>1.7449999999999999</v>
      </c>
      <c r="Q10" s="17">
        <v>100</v>
      </c>
    </row>
    <row r="11" spans="5:17" x14ac:dyDescent="0.3">
      <c r="E11" s="21" t="s">
        <v>13</v>
      </c>
      <c r="F11">
        <v>0.3039</v>
      </c>
      <c r="G11">
        <v>3.6499999999999998E-2</v>
      </c>
      <c r="I11" s="26" t="s">
        <v>14</v>
      </c>
      <c r="J11" s="13">
        <f t="shared" ref="J11:K13" si="0">F6</f>
        <v>4.2000000000000003E-2</v>
      </c>
      <c r="K11" s="27">
        <f t="shared" si="0"/>
        <v>3.8100000000000002E-2</v>
      </c>
      <c r="M11" s="23"/>
      <c r="N11" s="28"/>
      <c r="P11" s="22">
        <f>M10</f>
        <v>3.7677999999999998</v>
      </c>
      <c r="Q11" s="22">
        <v>250</v>
      </c>
    </row>
    <row r="12" spans="5:17" x14ac:dyDescent="0.3">
      <c r="E12" s="11" t="s">
        <v>15</v>
      </c>
      <c r="F12">
        <v>0.55330000000000001</v>
      </c>
      <c r="G12">
        <v>3.5499999999999997E-2</v>
      </c>
      <c r="I12" s="29" t="s">
        <v>14</v>
      </c>
      <c r="J12" s="18">
        <f t="shared" si="0"/>
        <v>3.5799999999999998E-2</v>
      </c>
      <c r="K12" s="30">
        <f t="shared" si="0"/>
        <v>3.49E-2</v>
      </c>
    </row>
    <row r="13" spans="5:17" x14ac:dyDescent="0.3">
      <c r="E13" s="16" t="s">
        <v>16</v>
      </c>
      <c r="F13">
        <v>0.54720000000000002</v>
      </c>
      <c r="G13">
        <v>3.7400000000000003E-2</v>
      </c>
      <c r="I13" s="31" t="s">
        <v>14</v>
      </c>
      <c r="J13" s="23">
        <f t="shared" si="0"/>
        <v>3.95E-2</v>
      </c>
      <c r="K13" s="28">
        <f t="shared" si="0"/>
        <v>3.8399999999999997E-2</v>
      </c>
    </row>
    <row r="14" spans="5:17" x14ac:dyDescent="0.3">
      <c r="E14" s="21" t="s">
        <v>17</v>
      </c>
      <c r="F14">
        <v>0.59740000000000004</v>
      </c>
      <c r="G14">
        <v>3.6299999999999999E-2</v>
      </c>
      <c r="I14" s="32" t="s">
        <v>18</v>
      </c>
      <c r="J14" s="33">
        <f>AVERAGE(J11:J13)</f>
        <v>3.9100000000000003E-2</v>
      </c>
      <c r="K14" s="34">
        <f>AVERAGE(K11:K13)</f>
        <v>3.7133333333333331E-2</v>
      </c>
    </row>
    <row r="15" spans="5:17" x14ac:dyDescent="0.3">
      <c r="E15" s="11" t="s">
        <v>19</v>
      </c>
      <c r="F15">
        <v>1.2909999999999999</v>
      </c>
      <c r="G15">
        <v>3.8300000000000001E-2</v>
      </c>
      <c r="M15" s="13" t="s">
        <v>20</v>
      </c>
      <c r="N15" s="35"/>
      <c r="O15" s="27"/>
    </row>
    <row r="16" spans="5:17" x14ac:dyDescent="0.3">
      <c r="E16" s="16" t="s">
        <v>21</v>
      </c>
      <c r="F16">
        <v>1.0270999999999999</v>
      </c>
      <c r="G16">
        <v>3.6799999999999999E-2</v>
      </c>
      <c r="M16" s="18" t="s">
        <v>22</v>
      </c>
      <c r="O16" s="30"/>
    </row>
    <row r="17" spans="1:24" x14ac:dyDescent="0.3">
      <c r="E17" s="21" t="s">
        <v>23</v>
      </c>
      <c r="F17">
        <v>1.0642</v>
      </c>
      <c r="G17">
        <v>3.6499999999999998E-2</v>
      </c>
      <c r="M17" s="23" t="s">
        <v>24</v>
      </c>
      <c r="N17" s="36"/>
      <c r="O17" s="28"/>
    </row>
    <row r="18" spans="1:24" x14ac:dyDescent="0.3">
      <c r="E18" s="11" t="s">
        <v>25</v>
      </c>
      <c r="F18">
        <v>2.1677</v>
      </c>
      <c r="G18">
        <v>4.1599999999999998E-2</v>
      </c>
      <c r="I18" s="82" t="s">
        <v>26</v>
      </c>
      <c r="J18" s="84"/>
      <c r="K18" s="83"/>
      <c r="W18" s="37"/>
      <c r="X18" s="37"/>
    </row>
    <row r="19" spans="1:24" ht="15.6" x14ac:dyDescent="0.3">
      <c r="E19" s="16" t="s">
        <v>27</v>
      </c>
      <c r="F19">
        <v>1.1813</v>
      </c>
      <c r="G19">
        <v>3.78E-2</v>
      </c>
      <c r="I19" s="38" t="s">
        <v>28</v>
      </c>
      <c r="J19" s="36"/>
      <c r="K19" s="28"/>
    </row>
    <row r="20" spans="1:24" x14ac:dyDescent="0.3">
      <c r="E20" s="21" t="s">
        <v>29</v>
      </c>
      <c r="F20">
        <v>2.0032999999999999</v>
      </c>
      <c r="G20">
        <v>3.56E-2</v>
      </c>
      <c r="U20" s="37"/>
      <c r="V20" s="37"/>
    </row>
    <row r="21" spans="1:24" x14ac:dyDescent="0.3">
      <c r="E21" s="11" t="s">
        <v>30</v>
      </c>
      <c r="F21">
        <v>3.8005</v>
      </c>
      <c r="G21">
        <v>3.4299999999999997E-2</v>
      </c>
      <c r="U21" s="37"/>
      <c r="V21" s="37"/>
    </row>
    <row r="22" spans="1:24" x14ac:dyDescent="0.3">
      <c r="E22" s="16" t="s">
        <v>31</v>
      </c>
      <c r="F22" s="39" t="s">
        <v>123</v>
      </c>
      <c r="G22">
        <v>3.4799999999999998E-2</v>
      </c>
      <c r="U22" s="37"/>
      <c r="V22" s="37"/>
    </row>
    <row r="23" spans="1:24" x14ac:dyDescent="0.3">
      <c r="E23" s="21" t="s">
        <v>32</v>
      </c>
      <c r="F23">
        <v>3.8132999999999999</v>
      </c>
      <c r="G23">
        <v>3.6700000000000003E-2</v>
      </c>
      <c r="U23" s="37"/>
      <c r="V23" s="37"/>
    </row>
    <row r="24" spans="1:24" x14ac:dyDescent="0.3">
      <c r="E24" s="39"/>
      <c r="V24" s="37"/>
      <c r="W24" s="37"/>
    </row>
    <row r="25" spans="1:24" ht="31.5" customHeight="1" x14ac:dyDescent="0.3">
      <c r="A25" s="85" t="s">
        <v>33</v>
      </c>
      <c r="B25" s="86"/>
      <c r="J25" s="36"/>
      <c r="K25" s="36"/>
      <c r="M25" s="73"/>
      <c r="N25" s="41" t="s">
        <v>34</v>
      </c>
      <c r="O25" s="42" t="s">
        <v>124</v>
      </c>
      <c r="P25" s="75" t="s">
        <v>35</v>
      </c>
      <c r="Q25" s="71" t="s">
        <v>36</v>
      </c>
      <c r="R25" s="75" t="s">
        <v>37</v>
      </c>
      <c r="S25" s="74" t="s">
        <v>37</v>
      </c>
      <c r="T25" s="72" t="s">
        <v>38</v>
      </c>
      <c r="U25" s="6" t="s">
        <v>36</v>
      </c>
      <c r="V25" s="37"/>
    </row>
    <row r="26" spans="1:24" ht="30.75" customHeight="1" x14ac:dyDescent="0.3">
      <c r="A26" s="45" t="s">
        <v>39</v>
      </c>
      <c r="B26" s="1" t="s">
        <v>40</v>
      </c>
      <c r="D26" s="46" t="s">
        <v>38</v>
      </c>
      <c r="E26" s="46" t="s">
        <v>41</v>
      </c>
      <c r="F26" s="47" t="s">
        <v>42</v>
      </c>
      <c r="G26" s="47" t="s">
        <v>5</v>
      </c>
      <c r="H26" s="47" t="s">
        <v>6</v>
      </c>
      <c r="I26" s="48"/>
      <c r="J26" s="49" t="s">
        <v>43</v>
      </c>
      <c r="K26" s="50" t="s">
        <v>44</v>
      </c>
      <c r="M26" s="47" t="s">
        <v>45</v>
      </c>
      <c r="N26" s="51" t="s">
        <v>46</v>
      </c>
      <c r="O26" s="52" t="s">
        <v>47</v>
      </c>
      <c r="P26" s="53" t="s">
        <v>48</v>
      </c>
      <c r="Q26" s="71" t="s">
        <v>49</v>
      </c>
      <c r="R26" s="41" t="s">
        <v>49</v>
      </c>
      <c r="S26" s="74" t="s">
        <v>50</v>
      </c>
      <c r="T26" s="74"/>
      <c r="U26" s="6" t="s">
        <v>49</v>
      </c>
      <c r="V26" s="37"/>
    </row>
    <row r="27" spans="1:24" ht="15" customHeight="1" x14ac:dyDescent="0.3">
      <c r="A27" s="18">
        <v>1</v>
      </c>
      <c r="B27" s="30">
        <v>10</v>
      </c>
      <c r="D27" s="76">
        <f>A27</f>
        <v>1</v>
      </c>
      <c r="E27" s="12" t="s">
        <v>51</v>
      </c>
      <c r="F27" s="12">
        <f>B27</f>
        <v>10</v>
      </c>
      <c r="G27" s="54">
        <v>0.22420000000000001</v>
      </c>
      <c r="H27" s="55">
        <v>0.68049999999999999</v>
      </c>
      <c r="I27" s="56"/>
      <c r="J27" s="57">
        <f t="shared" ref="J27:J90" si="1">G27-$J$14</f>
        <v>0.18510000000000001</v>
      </c>
      <c r="K27" s="58">
        <f t="shared" ref="K27:K90" si="2">H27-$K$14</f>
        <v>0.64336666666666664</v>
      </c>
      <c r="L27" s="56"/>
      <c r="M27" s="59">
        <f>J27-(0.25*K27)</f>
        <v>2.4258333333333354E-2</v>
      </c>
      <c r="N27" s="56">
        <f>M27*70.966</f>
        <v>1.7215168833333347</v>
      </c>
      <c r="O27" s="58">
        <f>N27*2</f>
        <v>3.4430337666666695</v>
      </c>
      <c r="P27" s="56">
        <f>O27/F27</f>
        <v>0.34430337666666694</v>
      </c>
      <c r="Q27" s="57">
        <f>AVERAGE(P27:P29)</f>
        <v>1.3021078233333332</v>
      </c>
      <c r="R27" s="56">
        <f>STDEV(P27:P29)</f>
        <v>0.84693129346375728</v>
      </c>
      <c r="S27" s="58">
        <f>R27/Q27*100</f>
        <v>65.043099986578227</v>
      </c>
      <c r="T27" s="60">
        <f>D27</f>
        <v>1</v>
      </c>
      <c r="U27" s="61">
        <f>Q27</f>
        <v>1.3021078233333332</v>
      </c>
      <c r="V27" s="37"/>
    </row>
    <row r="28" spans="1:24" ht="14.4" customHeight="1" x14ac:dyDescent="0.3">
      <c r="A28" s="18">
        <v>2</v>
      </c>
      <c r="B28" s="30">
        <v>10</v>
      </c>
      <c r="D28" s="77"/>
      <c r="E28" s="17" t="s">
        <v>52</v>
      </c>
      <c r="F28" s="17">
        <f>F27</f>
        <v>10</v>
      </c>
      <c r="G28" s="57">
        <v>0.32040000000000002</v>
      </c>
      <c r="H28" s="58">
        <v>0.61219999999999997</v>
      </c>
      <c r="I28" s="56"/>
      <c r="J28" s="57">
        <f t="shared" si="1"/>
        <v>0.28129999999999999</v>
      </c>
      <c r="K28" s="58">
        <f t="shared" si="2"/>
        <v>0.57506666666666661</v>
      </c>
      <c r="L28" s="56"/>
      <c r="M28" s="62">
        <f t="shared" ref="M28:M91" si="3">J28-(0.25*K28)</f>
        <v>0.13753333333333334</v>
      </c>
      <c r="N28" s="56">
        <f t="shared" ref="N28:N91" si="4">M28*70.966</f>
        <v>9.7601905333333328</v>
      </c>
      <c r="O28" s="58">
        <f t="shared" ref="O28:O91" si="5">N28*2</f>
        <v>19.520381066666666</v>
      </c>
      <c r="P28" s="56">
        <f t="shared" ref="P28:P91" si="6">O28/F28</f>
        <v>1.9520381066666666</v>
      </c>
      <c r="Q28" s="57"/>
      <c r="R28" s="56"/>
      <c r="S28" s="58"/>
      <c r="T28" s="63">
        <f>D30</f>
        <v>2</v>
      </c>
      <c r="U28" s="64">
        <f>Q30</f>
        <v>2.2033760233333326</v>
      </c>
    </row>
    <row r="29" spans="1:24" ht="14.4" customHeight="1" x14ac:dyDescent="0.3">
      <c r="A29" s="18">
        <v>3</v>
      </c>
      <c r="B29" s="30">
        <v>10</v>
      </c>
      <c r="D29" s="78"/>
      <c r="E29" s="22" t="s">
        <v>53</v>
      </c>
      <c r="F29" s="22">
        <f>F27</f>
        <v>10</v>
      </c>
      <c r="G29" s="65">
        <v>0.3019</v>
      </c>
      <c r="H29" s="66">
        <v>0.63460000000000005</v>
      </c>
      <c r="I29" s="56"/>
      <c r="J29" s="57">
        <f t="shared" si="1"/>
        <v>0.26279999999999998</v>
      </c>
      <c r="K29" s="58">
        <f t="shared" si="2"/>
        <v>0.5974666666666667</v>
      </c>
      <c r="L29" s="56"/>
      <c r="M29" s="62">
        <f t="shared" si="3"/>
        <v>0.1134333333333333</v>
      </c>
      <c r="N29" s="56">
        <f t="shared" si="4"/>
        <v>8.0499099333333302</v>
      </c>
      <c r="O29" s="58">
        <f t="shared" si="5"/>
        <v>16.09981986666666</v>
      </c>
      <c r="P29" s="56">
        <f t="shared" si="6"/>
        <v>1.609981986666666</v>
      </c>
      <c r="Q29" s="57"/>
      <c r="R29" s="56"/>
      <c r="S29" s="58"/>
      <c r="T29" s="63">
        <f>D33</f>
        <v>3</v>
      </c>
      <c r="U29" s="64">
        <f>Q33</f>
        <v>2.3020187633333333</v>
      </c>
    </row>
    <row r="30" spans="1:24" ht="14.4" customHeight="1" x14ac:dyDescent="0.3">
      <c r="A30" s="18">
        <v>4</v>
      </c>
      <c r="B30" s="30">
        <v>10</v>
      </c>
      <c r="D30" s="76">
        <f>A28</f>
        <v>2</v>
      </c>
      <c r="E30" s="12" t="s">
        <v>54</v>
      </c>
      <c r="F30" s="12">
        <f>B28</f>
        <v>10</v>
      </c>
      <c r="G30" s="54">
        <v>0.34560000000000002</v>
      </c>
      <c r="H30" s="55">
        <v>0.64859999999999995</v>
      </c>
      <c r="I30" s="56"/>
      <c r="J30" s="57">
        <f t="shared" si="1"/>
        <v>0.30649999999999999</v>
      </c>
      <c r="K30" s="58">
        <f t="shared" si="2"/>
        <v>0.6114666666666666</v>
      </c>
      <c r="L30" s="56"/>
      <c r="M30" s="62">
        <f t="shared" si="3"/>
        <v>0.15363333333333334</v>
      </c>
      <c r="N30" s="56">
        <f t="shared" si="4"/>
        <v>10.902743133333333</v>
      </c>
      <c r="O30" s="58">
        <f t="shared" si="5"/>
        <v>21.805486266666666</v>
      </c>
      <c r="P30" s="56">
        <f t="shared" si="6"/>
        <v>2.1805486266666665</v>
      </c>
      <c r="Q30" s="57">
        <f>AVERAGE(P30:P32)</f>
        <v>2.2033760233333326</v>
      </c>
      <c r="R30" s="56">
        <f>STDEV(P30:P32)</f>
        <v>0.27658772794727965</v>
      </c>
      <c r="S30" s="58">
        <f>R30/Q30*100</f>
        <v>12.55290631368719</v>
      </c>
      <c r="T30" s="63">
        <f>D36</f>
        <v>4</v>
      </c>
      <c r="U30" s="64">
        <f>Q36</f>
        <v>1.6137668399999996</v>
      </c>
    </row>
    <row r="31" spans="1:24" ht="14.4" customHeight="1" x14ac:dyDescent="0.3">
      <c r="A31" s="18">
        <v>5</v>
      </c>
      <c r="B31" s="30">
        <v>10</v>
      </c>
      <c r="D31" s="77"/>
      <c r="E31" s="17" t="s">
        <v>55</v>
      </c>
      <c r="F31" s="17">
        <f t="shared" ref="F31" si="7">F30</f>
        <v>10</v>
      </c>
      <c r="G31" s="57">
        <v>0.32819999999999999</v>
      </c>
      <c r="H31" s="58">
        <v>0.64710000000000001</v>
      </c>
      <c r="I31" s="56"/>
      <c r="J31" s="57">
        <f t="shared" si="1"/>
        <v>0.28909999999999997</v>
      </c>
      <c r="K31" s="58">
        <f t="shared" si="2"/>
        <v>0.60996666666666666</v>
      </c>
      <c r="L31" s="56"/>
      <c r="M31" s="62">
        <f t="shared" si="3"/>
        <v>0.1366083333333333</v>
      </c>
      <c r="N31" s="56">
        <f t="shared" si="4"/>
        <v>9.6945469833333302</v>
      </c>
      <c r="O31" s="58">
        <f t="shared" si="5"/>
        <v>19.38909396666666</v>
      </c>
      <c r="P31" s="56">
        <f t="shared" si="6"/>
        <v>1.938909396666666</v>
      </c>
      <c r="Q31" s="57"/>
      <c r="R31" s="56"/>
      <c r="S31" s="58"/>
      <c r="T31" s="63">
        <f>D39</f>
        <v>5</v>
      </c>
      <c r="U31" s="64">
        <f>Q39</f>
        <v>1.0577482299999996</v>
      </c>
    </row>
    <row r="32" spans="1:24" ht="14.4" customHeight="1" x14ac:dyDescent="0.3">
      <c r="A32" s="18">
        <v>6</v>
      </c>
      <c r="B32" s="30">
        <v>10</v>
      </c>
      <c r="D32" s="78"/>
      <c r="E32" s="22" t="s">
        <v>56</v>
      </c>
      <c r="F32" s="22">
        <f t="shared" ref="F32" si="8">F30</f>
        <v>10</v>
      </c>
      <c r="G32" s="65">
        <v>0.36899999999999999</v>
      </c>
      <c r="H32" s="66">
        <v>0.65480000000000005</v>
      </c>
      <c r="I32" s="56"/>
      <c r="J32" s="57">
        <f t="shared" si="1"/>
        <v>0.32989999999999997</v>
      </c>
      <c r="K32" s="58">
        <f t="shared" si="2"/>
        <v>0.6176666666666667</v>
      </c>
      <c r="L32" s="56"/>
      <c r="M32" s="62">
        <f t="shared" si="3"/>
        <v>0.1754833333333333</v>
      </c>
      <c r="N32" s="56">
        <f t="shared" si="4"/>
        <v>12.45335023333333</v>
      </c>
      <c r="O32" s="58">
        <f t="shared" si="5"/>
        <v>24.90670046666666</v>
      </c>
      <c r="P32" s="56">
        <f t="shared" si="6"/>
        <v>2.4906700466666658</v>
      </c>
      <c r="Q32" s="57"/>
      <c r="R32" s="56"/>
      <c r="S32" s="58"/>
      <c r="T32" s="63">
        <f>D42</f>
        <v>6</v>
      </c>
      <c r="U32" s="64">
        <f>Q42</f>
        <v>1.6788190066666662</v>
      </c>
    </row>
    <row r="33" spans="1:21" ht="14.4" customHeight="1" x14ac:dyDescent="0.3">
      <c r="A33" s="18">
        <v>7</v>
      </c>
      <c r="B33" s="30">
        <v>10</v>
      </c>
      <c r="D33" s="76">
        <f>A29</f>
        <v>3</v>
      </c>
      <c r="E33" s="12" t="s">
        <v>57</v>
      </c>
      <c r="F33" s="12">
        <f>B29</f>
        <v>10</v>
      </c>
      <c r="G33" s="54">
        <v>0.35880000000000001</v>
      </c>
      <c r="H33" s="55">
        <v>0.66449999999999998</v>
      </c>
      <c r="I33" s="56"/>
      <c r="J33" s="57">
        <f t="shared" si="1"/>
        <v>0.31969999999999998</v>
      </c>
      <c r="K33" s="58">
        <f t="shared" si="2"/>
        <v>0.62736666666666663</v>
      </c>
      <c r="L33" s="56"/>
      <c r="M33" s="62">
        <f t="shared" si="3"/>
        <v>0.16285833333333333</v>
      </c>
      <c r="N33" s="56">
        <f t="shared" si="4"/>
        <v>11.557404483333332</v>
      </c>
      <c r="O33" s="58">
        <f t="shared" si="5"/>
        <v>23.114808966666665</v>
      </c>
      <c r="P33" s="56">
        <f t="shared" si="6"/>
        <v>2.3114808966666667</v>
      </c>
      <c r="Q33" s="57">
        <f>AVERAGE(P33:P35)</f>
        <v>2.3020187633333333</v>
      </c>
      <c r="R33" s="56">
        <f>STDEV(P33:P35)</f>
        <v>7.1790039471379699E-2</v>
      </c>
      <c r="S33" s="58">
        <f>R33/Q33*100</f>
        <v>3.1185688238017399</v>
      </c>
      <c r="T33" s="63">
        <f>D45</f>
        <v>7</v>
      </c>
      <c r="U33" s="64">
        <f>Q45</f>
        <v>2.2822665600000001</v>
      </c>
    </row>
    <row r="34" spans="1:21" ht="14.4" customHeight="1" x14ac:dyDescent="0.3">
      <c r="A34" s="18">
        <v>8</v>
      </c>
      <c r="B34" s="30">
        <v>10</v>
      </c>
      <c r="D34" s="77"/>
      <c r="E34" s="17" t="s">
        <v>58</v>
      </c>
      <c r="F34" s="17">
        <f t="shared" ref="F34" si="9">F33</f>
        <v>10</v>
      </c>
      <c r="G34" s="57">
        <v>0.36130000000000001</v>
      </c>
      <c r="H34" s="58">
        <v>0.65839999999999999</v>
      </c>
      <c r="I34" s="56"/>
      <c r="J34" s="57">
        <f t="shared" si="1"/>
        <v>0.32219999999999999</v>
      </c>
      <c r="K34" s="58">
        <f t="shared" si="2"/>
        <v>0.62126666666666663</v>
      </c>
      <c r="L34" s="56"/>
      <c r="M34" s="62">
        <f t="shared" si="3"/>
        <v>0.16688333333333333</v>
      </c>
      <c r="N34" s="56">
        <f t="shared" si="4"/>
        <v>11.843042633333331</v>
      </c>
      <c r="O34" s="58">
        <f t="shared" si="5"/>
        <v>23.686085266666662</v>
      </c>
      <c r="P34" s="56">
        <f t="shared" si="6"/>
        <v>2.3686085266666663</v>
      </c>
      <c r="Q34" s="57"/>
      <c r="R34" s="56"/>
      <c r="S34" s="58"/>
      <c r="T34" s="63">
        <f>D48</f>
        <v>8</v>
      </c>
      <c r="U34" s="64">
        <f>Q48</f>
        <v>2.1300444899999995</v>
      </c>
    </row>
    <row r="35" spans="1:21" ht="14.4" customHeight="1" x14ac:dyDescent="0.3">
      <c r="A35" s="18">
        <v>9</v>
      </c>
      <c r="B35" s="30">
        <v>10</v>
      </c>
      <c r="D35" s="78"/>
      <c r="E35" s="22" t="s">
        <v>59</v>
      </c>
      <c r="F35" s="22">
        <f t="shared" ref="F35" si="10">F33</f>
        <v>10</v>
      </c>
      <c r="G35" s="65">
        <v>0.35639999999999999</v>
      </c>
      <c r="H35" s="66">
        <v>0.67900000000000005</v>
      </c>
      <c r="I35" s="56"/>
      <c r="J35" s="57">
        <f t="shared" si="1"/>
        <v>0.31729999999999997</v>
      </c>
      <c r="K35" s="58">
        <f t="shared" si="2"/>
        <v>0.6418666666666667</v>
      </c>
      <c r="L35" s="56"/>
      <c r="M35" s="62">
        <f t="shared" si="3"/>
        <v>0.1568333333333333</v>
      </c>
      <c r="N35" s="56">
        <f t="shared" si="4"/>
        <v>11.12983433333333</v>
      </c>
      <c r="O35" s="58">
        <f t="shared" si="5"/>
        <v>22.259668666666659</v>
      </c>
      <c r="P35" s="56">
        <f t="shared" si="6"/>
        <v>2.2259668666666661</v>
      </c>
      <c r="Q35" s="57"/>
      <c r="R35" s="56"/>
      <c r="S35" s="58"/>
      <c r="T35" s="63">
        <f>D51</f>
        <v>9</v>
      </c>
      <c r="U35" s="64">
        <f>Q51</f>
        <v>1.9344148833333328</v>
      </c>
    </row>
    <row r="36" spans="1:21" ht="14.4" customHeight="1" x14ac:dyDescent="0.3">
      <c r="A36" s="18">
        <v>10</v>
      </c>
      <c r="B36" s="30">
        <v>10</v>
      </c>
      <c r="D36" s="76">
        <f>A30</f>
        <v>4</v>
      </c>
      <c r="E36" s="12" t="s">
        <v>60</v>
      </c>
      <c r="F36" s="12">
        <f>B30</f>
        <v>10</v>
      </c>
      <c r="G36" s="54">
        <v>0.28100000000000003</v>
      </c>
      <c r="H36" s="55">
        <v>0.62529999999999997</v>
      </c>
      <c r="I36" s="56"/>
      <c r="J36" s="57">
        <f t="shared" si="1"/>
        <v>0.24190000000000003</v>
      </c>
      <c r="K36" s="58">
        <f t="shared" si="2"/>
        <v>0.58816666666666662</v>
      </c>
      <c r="L36" s="56"/>
      <c r="M36" s="62">
        <f t="shared" si="3"/>
        <v>9.4858333333333378E-2</v>
      </c>
      <c r="N36" s="56">
        <f t="shared" si="4"/>
        <v>6.7317164833333356</v>
      </c>
      <c r="O36" s="58">
        <f t="shared" si="5"/>
        <v>13.463432966666671</v>
      </c>
      <c r="P36" s="56">
        <f t="shared" si="6"/>
        <v>1.3463432966666671</v>
      </c>
      <c r="Q36" s="57">
        <f>AVERAGE(P36:P38)</f>
        <v>1.6137668399999996</v>
      </c>
      <c r="R36" s="56">
        <f>STDEV(P36:P38)</f>
        <v>0.27724017868083684</v>
      </c>
      <c r="S36" s="58">
        <f>R36/Q36*100</f>
        <v>17.179692369985549</v>
      </c>
      <c r="T36" s="63">
        <f>D54</f>
        <v>10</v>
      </c>
      <c r="U36" s="64">
        <f>Q54</f>
        <v>1.6266589966666665</v>
      </c>
    </row>
    <row r="37" spans="1:21" ht="14.4" customHeight="1" x14ac:dyDescent="0.3">
      <c r="A37" s="18">
        <v>11</v>
      </c>
      <c r="B37" s="30">
        <v>10</v>
      </c>
      <c r="D37" s="77"/>
      <c r="E37" s="17" t="s">
        <v>61</v>
      </c>
      <c r="F37" s="17">
        <f t="shared" ref="F37" si="11">F36</f>
        <v>10</v>
      </c>
      <c r="G37" s="57">
        <v>0.29089999999999999</v>
      </c>
      <c r="H37" s="58">
        <v>0.5948</v>
      </c>
      <c r="I37" s="56"/>
      <c r="J37" s="57">
        <f t="shared" si="1"/>
        <v>0.25179999999999997</v>
      </c>
      <c r="K37" s="58">
        <f t="shared" si="2"/>
        <v>0.55766666666666664</v>
      </c>
      <c r="L37" s="56"/>
      <c r="M37" s="62">
        <f t="shared" si="3"/>
        <v>0.11238333333333331</v>
      </c>
      <c r="N37" s="56">
        <f t="shared" si="4"/>
        <v>7.9753956333333305</v>
      </c>
      <c r="O37" s="58">
        <f t="shared" si="5"/>
        <v>15.950791266666661</v>
      </c>
      <c r="P37" s="56">
        <f t="shared" si="6"/>
        <v>1.5950791266666662</v>
      </c>
      <c r="Q37" s="57"/>
      <c r="R37" s="56"/>
      <c r="S37" s="58"/>
      <c r="T37" s="63">
        <f>D57</f>
        <v>11</v>
      </c>
      <c r="U37" s="64">
        <f>Q57</f>
        <v>0.13483539999999991</v>
      </c>
    </row>
    <row r="38" spans="1:21" ht="14.4" customHeight="1" x14ac:dyDescent="0.3">
      <c r="A38" s="18">
        <v>12</v>
      </c>
      <c r="B38" s="30">
        <v>10</v>
      </c>
      <c r="D38" s="78"/>
      <c r="E38" s="22" t="s">
        <v>62</v>
      </c>
      <c r="F38" s="22">
        <f t="shared" ref="F38" si="12">F36</f>
        <v>10</v>
      </c>
      <c r="G38" s="65">
        <v>0.31359999999999999</v>
      </c>
      <c r="H38" s="66">
        <v>0.59970000000000001</v>
      </c>
      <c r="I38" s="56"/>
      <c r="J38" s="57">
        <f t="shared" si="1"/>
        <v>0.27449999999999997</v>
      </c>
      <c r="K38" s="58">
        <f t="shared" si="2"/>
        <v>0.56256666666666666</v>
      </c>
      <c r="L38" s="56"/>
      <c r="M38" s="62">
        <f t="shared" si="3"/>
        <v>0.1338583333333333</v>
      </c>
      <c r="N38" s="56">
        <f t="shared" si="4"/>
        <v>9.4993904833333307</v>
      </c>
      <c r="O38" s="58">
        <f t="shared" si="5"/>
        <v>18.998780966666661</v>
      </c>
      <c r="P38" s="56">
        <f t="shared" si="6"/>
        <v>1.8998780966666662</v>
      </c>
      <c r="Q38" s="57"/>
      <c r="R38" s="56"/>
      <c r="S38" s="58"/>
      <c r="T38" s="63">
        <f>D60</f>
        <v>12</v>
      </c>
      <c r="U38" s="64">
        <f>Q60</f>
        <v>0.13010433333333329</v>
      </c>
    </row>
    <row r="39" spans="1:21" ht="14.4" customHeight="1" x14ac:dyDescent="0.3">
      <c r="A39" s="18">
        <v>13</v>
      </c>
      <c r="B39" s="30">
        <v>10</v>
      </c>
      <c r="D39" s="76">
        <f>A31</f>
        <v>5</v>
      </c>
      <c r="E39" s="12" t="s">
        <v>63</v>
      </c>
      <c r="F39" s="12">
        <f>B31</f>
        <v>10</v>
      </c>
      <c r="G39" s="54">
        <v>0.29799999999999999</v>
      </c>
      <c r="H39" s="55">
        <v>0.61119999999999997</v>
      </c>
      <c r="I39" s="56"/>
      <c r="J39" s="57">
        <f t="shared" si="1"/>
        <v>0.25889999999999996</v>
      </c>
      <c r="K39" s="58">
        <f t="shared" si="2"/>
        <v>0.57406666666666661</v>
      </c>
      <c r="L39" s="56"/>
      <c r="M39" s="62">
        <f t="shared" si="3"/>
        <v>0.11538333333333331</v>
      </c>
      <c r="N39" s="56">
        <f t="shared" si="4"/>
        <v>8.1882936333333305</v>
      </c>
      <c r="O39" s="58">
        <f t="shared" si="5"/>
        <v>16.376587266666661</v>
      </c>
      <c r="P39" s="56">
        <f t="shared" si="6"/>
        <v>1.637658726666666</v>
      </c>
      <c r="Q39" s="57">
        <f>AVERAGE(P39:P41)</f>
        <v>1.0577482299999996</v>
      </c>
      <c r="R39" s="56">
        <f>STDEV(P39:P41)</f>
        <v>0.90050138045091344</v>
      </c>
      <c r="S39" s="58">
        <f>R39/Q39*100</f>
        <v>85.133811138678411</v>
      </c>
      <c r="T39" s="63">
        <f>D63</f>
        <v>13</v>
      </c>
      <c r="U39" s="64">
        <f>Q63</f>
        <v>1.5554564433333331</v>
      </c>
    </row>
    <row r="40" spans="1:21" ht="14.4" customHeight="1" x14ac:dyDescent="0.3">
      <c r="A40" s="18">
        <v>14</v>
      </c>
      <c r="B40" s="30">
        <v>10</v>
      </c>
      <c r="D40" s="77"/>
      <c r="E40" s="17" t="s">
        <v>64</v>
      </c>
      <c r="F40" s="17">
        <f t="shared" ref="F40" si="13">F39</f>
        <v>10</v>
      </c>
      <c r="G40" s="57">
        <v>0.20399999999999999</v>
      </c>
      <c r="H40" s="58">
        <v>0.69099999999999995</v>
      </c>
      <c r="I40" s="56"/>
      <c r="J40" s="57">
        <f t="shared" si="1"/>
        <v>0.16489999999999999</v>
      </c>
      <c r="K40" s="58">
        <f t="shared" si="2"/>
        <v>0.6538666666666666</v>
      </c>
      <c r="L40" s="56"/>
      <c r="M40" s="62">
        <f t="shared" si="3"/>
        <v>1.433333333333342E-3</v>
      </c>
      <c r="N40" s="56">
        <f t="shared" si="4"/>
        <v>0.10171793333333394</v>
      </c>
      <c r="O40" s="58">
        <f t="shared" si="5"/>
        <v>0.20343586666666788</v>
      </c>
      <c r="P40" s="56">
        <f t="shared" si="6"/>
        <v>2.0343586666666788E-2</v>
      </c>
      <c r="Q40" s="57"/>
      <c r="R40" s="56"/>
      <c r="S40" s="58"/>
      <c r="T40" s="63">
        <f>D66</f>
        <v>14</v>
      </c>
      <c r="U40" s="64">
        <f>Q66</f>
        <v>2.29894357</v>
      </c>
    </row>
    <row r="41" spans="1:21" ht="14.4" customHeight="1" x14ac:dyDescent="0.3">
      <c r="A41" s="18">
        <v>15</v>
      </c>
      <c r="B41" s="30">
        <v>10</v>
      </c>
      <c r="D41" s="78"/>
      <c r="E41" s="22" t="s">
        <v>65</v>
      </c>
      <c r="F41" s="22">
        <f t="shared" ref="F41" si="14">F39</f>
        <v>10</v>
      </c>
      <c r="G41" s="65">
        <v>0.28799999999999998</v>
      </c>
      <c r="H41" s="66">
        <v>0.60570000000000002</v>
      </c>
      <c r="I41" s="56"/>
      <c r="J41" s="57">
        <f t="shared" si="1"/>
        <v>0.24889999999999998</v>
      </c>
      <c r="K41" s="58">
        <f t="shared" si="2"/>
        <v>0.56856666666666666</v>
      </c>
      <c r="L41" s="56"/>
      <c r="M41" s="62">
        <f t="shared" si="3"/>
        <v>0.10675833333333332</v>
      </c>
      <c r="N41" s="56">
        <f t="shared" si="4"/>
        <v>7.5762118833333316</v>
      </c>
      <c r="O41" s="58">
        <f t="shared" si="5"/>
        <v>15.152423766666663</v>
      </c>
      <c r="P41" s="56">
        <f t="shared" si="6"/>
        <v>1.5152423766666663</v>
      </c>
      <c r="Q41" s="57"/>
      <c r="R41" s="56"/>
      <c r="S41" s="58"/>
      <c r="T41" s="63">
        <f>D69</f>
        <v>15</v>
      </c>
      <c r="U41" s="64">
        <f>Q69</f>
        <v>2.3113626199999993</v>
      </c>
    </row>
    <row r="42" spans="1:21" ht="14.4" customHeight="1" x14ac:dyDescent="0.3">
      <c r="A42" s="18">
        <v>16</v>
      </c>
      <c r="B42" s="30">
        <v>10</v>
      </c>
      <c r="D42" s="76">
        <f>A32</f>
        <v>6</v>
      </c>
      <c r="E42" s="12" t="s">
        <v>66</v>
      </c>
      <c r="F42" s="12">
        <f>B32</f>
        <v>10</v>
      </c>
      <c r="G42" s="54">
        <v>0.33489999999999998</v>
      </c>
      <c r="H42" s="55">
        <v>0.79159999999999997</v>
      </c>
      <c r="I42" s="56"/>
      <c r="J42" s="57">
        <f t="shared" si="1"/>
        <v>0.29579999999999995</v>
      </c>
      <c r="K42" s="58">
        <f t="shared" si="2"/>
        <v>0.75446666666666662</v>
      </c>
      <c r="L42" s="56"/>
      <c r="M42" s="62">
        <f t="shared" si="3"/>
        <v>0.1071833333333333</v>
      </c>
      <c r="N42" s="56">
        <f t="shared" si="4"/>
        <v>7.6063724333333305</v>
      </c>
      <c r="O42" s="58">
        <f t="shared" si="5"/>
        <v>15.212744866666661</v>
      </c>
      <c r="P42" s="56">
        <f t="shared" si="6"/>
        <v>1.5212744866666661</v>
      </c>
      <c r="Q42" s="57">
        <f>AVERAGE(P42:P44)</f>
        <v>1.6788190066666662</v>
      </c>
      <c r="R42" s="56">
        <f>STDEV(P42:P44)</f>
        <v>0.6426981241977695</v>
      </c>
      <c r="S42" s="58">
        <f>R42/Q42*100</f>
        <v>38.28275243761157</v>
      </c>
      <c r="T42" s="63">
        <f>D72</f>
        <v>16</v>
      </c>
      <c r="U42" s="64">
        <f>Q72</f>
        <v>1.9332321166666666</v>
      </c>
    </row>
    <row r="43" spans="1:21" ht="14.4" customHeight="1" x14ac:dyDescent="0.3">
      <c r="A43" s="18">
        <v>17</v>
      </c>
      <c r="B43" s="30">
        <v>10</v>
      </c>
      <c r="D43" s="77"/>
      <c r="E43" s="17" t="s">
        <v>67</v>
      </c>
      <c r="F43" s="17">
        <f t="shared" ref="F43" si="15">F42</f>
        <v>10</v>
      </c>
      <c r="G43" s="57">
        <v>0.38379999999999997</v>
      </c>
      <c r="H43" s="58">
        <v>0.74360000000000004</v>
      </c>
      <c r="I43" s="56"/>
      <c r="J43" s="57">
        <f t="shared" si="1"/>
        <v>0.34469999999999995</v>
      </c>
      <c r="K43" s="58">
        <f t="shared" si="2"/>
        <v>0.70646666666666669</v>
      </c>
      <c r="L43" s="56"/>
      <c r="M43" s="62">
        <f t="shared" si="3"/>
        <v>0.16808333333333328</v>
      </c>
      <c r="N43" s="56">
        <f t="shared" si="4"/>
        <v>11.928201833333329</v>
      </c>
      <c r="O43" s="58">
        <f t="shared" si="5"/>
        <v>23.856403666666658</v>
      </c>
      <c r="P43" s="56">
        <f t="shared" si="6"/>
        <v>2.3856403666666659</v>
      </c>
      <c r="Q43" s="57"/>
      <c r="R43" s="56"/>
      <c r="S43" s="58"/>
      <c r="T43" s="63">
        <f>D75</f>
        <v>17</v>
      </c>
      <c r="U43" s="64">
        <f>Q75</f>
        <v>1.6459380933333332</v>
      </c>
    </row>
    <row r="44" spans="1:21" ht="14.4" customHeight="1" x14ac:dyDescent="0.3">
      <c r="A44" s="18">
        <v>18</v>
      </c>
      <c r="B44" s="30">
        <v>10</v>
      </c>
      <c r="D44" s="78"/>
      <c r="E44" s="22" t="s">
        <v>68</v>
      </c>
      <c r="F44" s="22">
        <f t="shared" ref="F44" si="16">F42</f>
        <v>10</v>
      </c>
      <c r="G44" s="65">
        <v>0.30120000000000002</v>
      </c>
      <c r="H44" s="66">
        <v>0.76719999999999999</v>
      </c>
      <c r="I44" s="56"/>
      <c r="J44" s="57">
        <f t="shared" si="1"/>
        <v>0.2621</v>
      </c>
      <c r="K44" s="58">
        <f t="shared" si="2"/>
        <v>0.73006666666666664</v>
      </c>
      <c r="L44" s="56"/>
      <c r="M44" s="62">
        <f t="shared" si="3"/>
        <v>7.9583333333333339E-2</v>
      </c>
      <c r="N44" s="56">
        <f t="shared" si="4"/>
        <v>5.647710833333333</v>
      </c>
      <c r="O44" s="58">
        <f t="shared" si="5"/>
        <v>11.295421666666666</v>
      </c>
      <c r="P44" s="56">
        <f t="shared" si="6"/>
        <v>1.1295421666666665</v>
      </c>
      <c r="Q44" s="57"/>
      <c r="R44" s="56"/>
      <c r="S44" s="58"/>
      <c r="T44" s="63">
        <f>D78</f>
        <v>18</v>
      </c>
      <c r="U44" s="64">
        <f>Q78</f>
        <v>2.3638774599999999</v>
      </c>
    </row>
    <row r="45" spans="1:21" ht="14.4" customHeight="1" x14ac:dyDescent="0.3">
      <c r="A45" s="18">
        <v>19</v>
      </c>
      <c r="B45" s="30">
        <v>10</v>
      </c>
      <c r="D45" s="76">
        <f>A33</f>
        <v>7</v>
      </c>
      <c r="E45" s="12" t="s">
        <v>69</v>
      </c>
      <c r="F45" s="12">
        <f>B33</f>
        <v>10</v>
      </c>
      <c r="G45" s="54">
        <v>0.38040000000000002</v>
      </c>
      <c r="H45" s="55">
        <v>0.68089999999999995</v>
      </c>
      <c r="I45" s="56"/>
      <c r="J45" s="57">
        <f t="shared" si="1"/>
        <v>0.34129999999999999</v>
      </c>
      <c r="K45" s="58">
        <f t="shared" si="2"/>
        <v>0.6437666666666666</v>
      </c>
      <c r="L45" s="56"/>
      <c r="M45" s="62">
        <f t="shared" si="3"/>
        <v>0.18035833333333334</v>
      </c>
      <c r="N45" s="56">
        <f t="shared" si="4"/>
        <v>12.799309483333333</v>
      </c>
      <c r="O45" s="58">
        <f t="shared" si="5"/>
        <v>25.598618966666667</v>
      </c>
      <c r="P45" s="56">
        <f t="shared" si="6"/>
        <v>2.5598618966666669</v>
      </c>
      <c r="Q45" s="57">
        <f>AVERAGE(P45:P47)</f>
        <v>2.2822665600000001</v>
      </c>
      <c r="R45" s="56">
        <f>STDEV(P45:P47)</f>
        <v>0.28145654490293848</v>
      </c>
      <c r="S45" s="58">
        <f>R45/Q45*100</f>
        <v>12.33232567290205</v>
      </c>
      <c r="T45" s="63">
        <f>D81</f>
        <v>19</v>
      </c>
      <c r="U45" s="64">
        <f>Q81</f>
        <v>2.3990056299999996</v>
      </c>
    </row>
    <row r="46" spans="1:21" ht="14.4" customHeight="1" x14ac:dyDescent="0.3">
      <c r="A46" s="18">
        <v>20</v>
      </c>
      <c r="B46" s="30">
        <v>10</v>
      </c>
      <c r="D46" s="77"/>
      <c r="E46" s="17" t="s">
        <v>70</v>
      </c>
      <c r="F46" s="17">
        <f t="shared" ref="F46" si="17">F45</f>
        <v>10</v>
      </c>
      <c r="G46" s="57">
        <v>0.3468</v>
      </c>
      <c r="H46" s="58">
        <v>0.70509999999999995</v>
      </c>
      <c r="I46" s="56"/>
      <c r="J46" s="57">
        <f t="shared" si="1"/>
        <v>0.30769999999999997</v>
      </c>
      <c r="K46" s="58">
        <f t="shared" si="2"/>
        <v>0.6679666666666666</v>
      </c>
      <c r="L46" s="56"/>
      <c r="M46" s="62">
        <f t="shared" si="3"/>
        <v>0.14070833333333332</v>
      </c>
      <c r="N46" s="56">
        <f t="shared" si="4"/>
        <v>9.985507583333332</v>
      </c>
      <c r="O46" s="58">
        <f t="shared" si="5"/>
        <v>19.971015166666664</v>
      </c>
      <c r="P46" s="56">
        <f t="shared" si="6"/>
        <v>1.9971015166666664</v>
      </c>
      <c r="Q46" s="57"/>
      <c r="R46" s="56"/>
      <c r="S46" s="58"/>
      <c r="T46" s="63">
        <f>D84</f>
        <v>20</v>
      </c>
      <c r="U46" s="64">
        <f>Q84</f>
        <v>1.8289120966666665</v>
      </c>
    </row>
    <row r="47" spans="1:21" ht="14.4" customHeight="1" x14ac:dyDescent="0.3">
      <c r="A47" s="18">
        <v>21</v>
      </c>
      <c r="B47" s="30">
        <v>10</v>
      </c>
      <c r="D47" s="78"/>
      <c r="E47" s="22" t="s">
        <v>71</v>
      </c>
      <c r="F47" s="22">
        <f t="shared" ref="F47" si="18">F45</f>
        <v>10</v>
      </c>
      <c r="G47" s="65">
        <v>0.36020000000000002</v>
      </c>
      <c r="H47" s="66">
        <v>0.67620000000000002</v>
      </c>
      <c r="I47" s="56"/>
      <c r="J47" s="57">
        <f t="shared" si="1"/>
        <v>0.3211</v>
      </c>
      <c r="K47" s="58">
        <f t="shared" si="2"/>
        <v>0.63906666666666667</v>
      </c>
      <c r="L47" s="56"/>
      <c r="M47" s="62">
        <f t="shared" si="3"/>
        <v>0.16133333333333333</v>
      </c>
      <c r="N47" s="56">
        <f t="shared" si="4"/>
        <v>11.449181333333332</v>
      </c>
      <c r="O47" s="58">
        <f t="shared" si="5"/>
        <v>22.898362666666664</v>
      </c>
      <c r="P47" s="56">
        <f t="shared" si="6"/>
        <v>2.2898362666666663</v>
      </c>
      <c r="Q47" s="57"/>
      <c r="R47" s="56"/>
      <c r="S47" s="58"/>
      <c r="T47" s="63">
        <f>D87</f>
        <v>21</v>
      </c>
      <c r="U47" s="64">
        <f>Q87</f>
        <v>0.99565297999999969</v>
      </c>
    </row>
    <row r="48" spans="1:21" ht="14.4" customHeight="1" x14ac:dyDescent="0.3">
      <c r="A48" s="18">
        <v>22</v>
      </c>
      <c r="B48" s="30">
        <v>10</v>
      </c>
      <c r="D48" s="76">
        <f>A34</f>
        <v>8</v>
      </c>
      <c r="E48" s="12" t="s">
        <v>72</v>
      </c>
      <c r="F48" s="12">
        <f>B34</f>
        <v>10</v>
      </c>
      <c r="G48" s="54">
        <v>0.38429999999999997</v>
      </c>
      <c r="H48" s="55">
        <v>0.72040000000000004</v>
      </c>
      <c r="I48" s="56"/>
      <c r="J48" s="57">
        <f t="shared" si="1"/>
        <v>0.34519999999999995</v>
      </c>
      <c r="K48" s="58">
        <f t="shared" si="2"/>
        <v>0.68326666666666669</v>
      </c>
      <c r="L48" s="56"/>
      <c r="M48" s="62">
        <f t="shared" si="3"/>
        <v>0.17438333333333328</v>
      </c>
      <c r="N48" s="56">
        <f t="shared" si="4"/>
        <v>12.375287633333329</v>
      </c>
      <c r="O48" s="58">
        <f t="shared" si="5"/>
        <v>24.750575266666658</v>
      </c>
      <c r="P48" s="56">
        <f t="shared" si="6"/>
        <v>2.4750575266666659</v>
      </c>
      <c r="Q48" s="57">
        <f>AVERAGE(P48:P50)</f>
        <v>2.1300444899999995</v>
      </c>
      <c r="R48" s="56">
        <f>STDEV(P48:P50)</f>
        <v>0.34560593792103367</v>
      </c>
      <c r="S48" s="58">
        <f>R48/Q48*100</f>
        <v>16.225291985381666</v>
      </c>
      <c r="T48" s="63">
        <f>D90</f>
        <v>22</v>
      </c>
      <c r="U48" s="64">
        <f>Q90</f>
        <v>2.1272058499999993</v>
      </c>
    </row>
    <row r="49" spans="1:22" ht="14.4" customHeight="1" x14ac:dyDescent="0.3">
      <c r="A49" s="18">
        <v>23</v>
      </c>
      <c r="B49" s="30">
        <v>10</v>
      </c>
      <c r="D49" s="77"/>
      <c r="E49" s="17" t="s">
        <v>73</v>
      </c>
      <c r="F49" s="17">
        <f t="shared" ref="F49" si="19">F48</f>
        <v>10</v>
      </c>
      <c r="G49" s="57">
        <v>0.3412</v>
      </c>
      <c r="H49" s="58">
        <v>0.74280000000000002</v>
      </c>
      <c r="I49" s="56"/>
      <c r="J49" s="57">
        <f t="shared" si="1"/>
        <v>0.30209999999999998</v>
      </c>
      <c r="K49" s="58">
        <f t="shared" si="2"/>
        <v>0.70566666666666666</v>
      </c>
      <c r="L49" s="56"/>
      <c r="M49" s="62">
        <f t="shared" si="3"/>
        <v>0.12568333333333331</v>
      </c>
      <c r="N49" s="56">
        <f t="shared" si="4"/>
        <v>8.9192434333333317</v>
      </c>
      <c r="O49" s="58">
        <f t="shared" si="5"/>
        <v>17.838486866666663</v>
      </c>
      <c r="P49" s="56">
        <f t="shared" si="6"/>
        <v>1.7838486866666663</v>
      </c>
      <c r="Q49" s="57"/>
      <c r="R49" s="56"/>
      <c r="S49" s="58"/>
      <c r="T49" s="63">
        <f>D93</f>
        <v>23</v>
      </c>
      <c r="U49" s="64">
        <f>Q93</f>
        <v>2.2039674066666661</v>
      </c>
    </row>
    <row r="50" spans="1:22" ht="14.4" customHeight="1" x14ac:dyDescent="0.3">
      <c r="A50" s="23">
        <v>24</v>
      </c>
      <c r="B50" s="30">
        <v>10</v>
      </c>
      <c r="D50" s="78"/>
      <c r="E50" s="22" t="s">
        <v>74</v>
      </c>
      <c r="F50" s="22">
        <f t="shared" ref="F50" si="20">F48</f>
        <v>10</v>
      </c>
      <c r="G50" s="65">
        <v>0.35870000000000002</v>
      </c>
      <c r="H50" s="66">
        <v>0.71489999999999998</v>
      </c>
      <c r="I50" s="56"/>
      <c r="J50" s="57">
        <f t="shared" si="1"/>
        <v>0.3196</v>
      </c>
      <c r="K50" s="58">
        <f t="shared" si="2"/>
        <v>0.67776666666666663</v>
      </c>
      <c r="L50" s="56"/>
      <c r="M50" s="62">
        <f t="shared" si="3"/>
        <v>0.15015833333333334</v>
      </c>
      <c r="N50" s="56">
        <f t="shared" si="4"/>
        <v>10.656136283333332</v>
      </c>
      <c r="O50" s="58">
        <f t="shared" si="5"/>
        <v>21.312272566666664</v>
      </c>
      <c r="P50" s="56">
        <f t="shared" si="6"/>
        <v>2.1312272566666666</v>
      </c>
      <c r="Q50" s="57"/>
      <c r="R50" s="56"/>
      <c r="S50" s="58"/>
      <c r="T50" s="67">
        <f>D96</f>
        <v>24</v>
      </c>
      <c r="U50" s="68">
        <f>Q96</f>
        <v>2.1721509833333328</v>
      </c>
    </row>
    <row r="51" spans="1:22" ht="14.4" customHeight="1" x14ac:dyDescent="0.3">
      <c r="D51" s="76">
        <f>A35</f>
        <v>9</v>
      </c>
      <c r="E51" s="12" t="s">
        <v>75</v>
      </c>
      <c r="F51" s="12">
        <f>B35</f>
        <v>10</v>
      </c>
      <c r="G51" s="54">
        <v>0.36849999999999999</v>
      </c>
      <c r="H51" s="55">
        <v>0.69530000000000003</v>
      </c>
      <c r="I51" s="56"/>
      <c r="J51" s="57">
        <f t="shared" si="1"/>
        <v>0.32939999999999997</v>
      </c>
      <c r="K51" s="58">
        <f t="shared" si="2"/>
        <v>0.65816666666666668</v>
      </c>
      <c r="L51" s="56"/>
      <c r="M51" s="62">
        <f t="shared" si="3"/>
        <v>0.1648583333333333</v>
      </c>
      <c r="N51" s="56">
        <f t="shared" si="4"/>
        <v>11.69933648333333</v>
      </c>
      <c r="O51" s="58">
        <f t="shared" si="5"/>
        <v>23.398672966666659</v>
      </c>
      <c r="P51" s="56">
        <f t="shared" si="6"/>
        <v>2.3398672966666658</v>
      </c>
      <c r="Q51" s="57">
        <f>AVERAGE(P51:P53)</f>
        <v>1.9344148833333328</v>
      </c>
      <c r="R51" s="56">
        <f>STDEV(P51:P53)</f>
        <v>0.71582758465350282</v>
      </c>
      <c r="S51" s="58">
        <f>R51/Q51*100</f>
        <v>37.004863373466584</v>
      </c>
      <c r="T51" s="56"/>
      <c r="U51" s="56"/>
      <c r="V51" s="56"/>
    </row>
    <row r="52" spans="1:22" ht="14.4" customHeight="1" x14ac:dyDescent="0.3">
      <c r="D52" s="77"/>
      <c r="E52" s="17" t="s">
        <v>76</v>
      </c>
      <c r="F52" s="17">
        <f t="shared" ref="F52" si="21">F51</f>
        <v>10</v>
      </c>
      <c r="G52" s="57">
        <v>0.36259999999999998</v>
      </c>
      <c r="H52" s="58">
        <v>0.6673</v>
      </c>
      <c r="I52" s="56"/>
      <c r="J52" s="57">
        <f t="shared" si="1"/>
        <v>0.32349999999999995</v>
      </c>
      <c r="K52" s="58">
        <f t="shared" si="2"/>
        <v>0.63016666666666665</v>
      </c>
      <c r="L52" s="56"/>
      <c r="M52" s="62">
        <f t="shared" si="3"/>
        <v>0.16595833333333329</v>
      </c>
      <c r="N52" s="56">
        <f t="shared" si="4"/>
        <v>11.777399083333329</v>
      </c>
      <c r="O52" s="58">
        <f t="shared" si="5"/>
        <v>23.554798166666657</v>
      </c>
      <c r="P52" s="56">
        <f t="shared" si="6"/>
        <v>2.3554798166666657</v>
      </c>
      <c r="Q52" s="57"/>
      <c r="R52" s="56"/>
      <c r="S52" s="58"/>
      <c r="T52" s="56"/>
    </row>
    <row r="53" spans="1:22" ht="14.4" customHeight="1" x14ac:dyDescent="0.3">
      <c r="D53" s="78"/>
      <c r="E53" s="22" t="s">
        <v>77</v>
      </c>
      <c r="F53" s="22">
        <f t="shared" ref="F53" si="22">F51</f>
        <v>10</v>
      </c>
      <c r="G53" s="65">
        <v>0.2828</v>
      </c>
      <c r="H53" s="66">
        <v>0.69969999999999999</v>
      </c>
      <c r="I53" s="56"/>
      <c r="J53" s="57">
        <f t="shared" si="1"/>
        <v>0.2437</v>
      </c>
      <c r="K53" s="58">
        <f t="shared" si="2"/>
        <v>0.66256666666666664</v>
      </c>
      <c r="L53" s="56"/>
      <c r="M53" s="62">
        <f t="shared" si="3"/>
        <v>7.8058333333333341E-2</v>
      </c>
      <c r="N53" s="56">
        <f t="shared" si="4"/>
        <v>5.5394876833333333</v>
      </c>
      <c r="O53" s="58">
        <f t="shared" si="5"/>
        <v>11.078975366666667</v>
      </c>
      <c r="P53" s="56">
        <f t="shared" si="6"/>
        <v>1.1078975366666666</v>
      </c>
      <c r="Q53" s="57"/>
      <c r="R53" s="56"/>
      <c r="S53" s="58"/>
      <c r="T53" s="56"/>
    </row>
    <row r="54" spans="1:22" ht="14.4" customHeight="1" x14ac:dyDescent="0.3">
      <c r="D54" s="76">
        <f>A36</f>
        <v>10</v>
      </c>
      <c r="E54" s="12" t="s">
        <v>78</v>
      </c>
      <c r="F54" s="12">
        <f>B36</f>
        <v>10</v>
      </c>
      <c r="G54" s="54">
        <v>0.31690000000000002</v>
      </c>
      <c r="H54" s="55">
        <v>0.77539999999999998</v>
      </c>
      <c r="I54" s="56"/>
      <c r="J54" s="57">
        <f t="shared" si="1"/>
        <v>0.27779999999999999</v>
      </c>
      <c r="K54" s="58">
        <f t="shared" si="2"/>
        <v>0.73826666666666663</v>
      </c>
      <c r="L54" s="56"/>
      <c r="M54" s="62">
        <f t="shared" si="3"/>
        <v>9.3233333333333335E-2</v>
      </c>
      <c r="N54" s="56">
        <f t="shared" si="4"/>
        <v>6.6163967333333327</v>
      </c>
      <c r="O54" s="58">
        <f t="shared" si="5"/>
        <v>13.232793466666665</v>
      </c>
      <c r="P54" s="56">
        <f t="shared" si="6"/>
        <v>1.3232793466666666</v>
      </c>
      <c r="Q54" s="57">
        <f>AVERAGE(P54:P56)</f>
        <v>1.6266589966666665</v>
      </c>
      <c r="R54" s="56">
        <f>STDEV(P54:P56)</f>
        <v>0.80199657470844432</v>
      </c>
      <c r="S54" s="58">
        <f>R54/Q54*100</f>
        <v>49.303300590467195</v>
      </c>
      <c r="T54" s="56"/>
    </row>
    <row r="55" spans="1:22" ht="14.4" customHeight="1" x14ac:dyDescent="0.3">
      <c r="D55" s="77"/>
      <c r="E55" s="17" t="s">
        <v>79</v>
      </c>
      <c r="F55" s="17">
        <f t="shared" ref="F55" si="23">F54</f>
        <v>10</v>
      </c>
      <c r="G55" s="57">
        <v>0.39300000000000002</v>
      </c>
      <c r="H55" s="58">
        <v>0.73799999999999999</v>
      </c>
      <c r="I55" s="56"/>
      <c r="J55" s="57">
        <f t="shared" si="1"/>
        <v>0.35389999999999999</v>
      </c>
      <c r="K55" s="58">
        <f t="shared" si="2"/>
        <v>0.70086666666666664</v>
      </c>
      <c r="L55" s="56"/>
      <c r="M55" s="62">
        <f t="shared" si="3"/>
        <v>0.17868333333333333</v>
      </c>
      <c r="N55" s="56">
        <f t="shared" si="4"/>
        <v>12.680441433333332</v>
      </c>
      <c r="O55" s="58">
        <f t="shared" si="5"/>
        <v>25.360882866666664</v>
      </c>
      <c r="P55" s="56">
        <f t="shared" si="6"/>
        <v>2.5360882866666663</v>
      </c>
      <c r="Q55" s="57"/>
      <c r="R55" s="56"/>
      <c r="S55" s="58"/>
      <c r="T55" s="56"/>
    </row>
    <row r="56" spans="1:22" ht="14.4" customHeight="1" x14ac:dyDescent="0.3">
      <c r="D56" s="78"/>
      <c r="E56" s="22" t="s">
        <v>80</v>
      </c>
      <c r="F56" s="22">
        <f t="shared" ref="F56" si="24">F54</f>
        <v>10</v>
      </c>
      <c r="G56" s="65">
        <v>0.3075</v>
      </c>
      <c r="H56" s="66">
        <v>0.82310000000000005</v>
      </c>
      <c r="I56" s="56"/>
      <c r="J56" s="57">
        <f t="shared" si="1"/>
        <v>0.26839999999999997</v>
      </c>
      <c r="K56" s="58">
        <f t="shared" si="2"/>
        <v>0.7859666666666667</v>
      </c>
      <c r="L56" s="56"/>
      <c r="M56" s="62">
        <f t="shared" si="3"/>
        <v>7.1908333333333296E-2</v>
      </c>
      <c r="N56" s="56">
        <f t="shared" si="4"/>
        <v>5.1030467833333306</v>
      </c>
      <c r="O56" s="58">
        <f t="shared" si="5"/>
        <v>10.206093566666661</v>
      </c>
      <c r="P56" s="56">
        <f t="shared" si="6"/>
        <v>1.0206093566666661</v>
      </c>
      <c r="Q56" s="57"/>
      <c r="R56" s="56"/>
      <c r="S56" s="58"/>
      <c r="T56" s="56"/>
    </row>
    <row r="57" spans="1:22" ht="14.4" customHeight="1" x14ac:dyDescent="0.3">
      <c r="D57" s="76">
        <f>A37</f>
        <v>11</v>
      </c>
      <c r="E57" s="12" t="s">
        <v>81</v>
      </c>
      <c r="F57" s="12">
        <f>B37</f>
        <v>10</v>
      </c>
      <c r="G57" s="54">
        <v>5.0999999999999997E-2</v>
      </c>
      <c r="H57" s="55">
        <v>4.8300000000000003E-2</v>
      </c>
      <c r="I57" s="56"/>
      <c r="J57" s="57">
        <f t="shared" si="1"/>
        <v>1.1899999999999994E-2</v>
      </c>
      <c r="K57" s="58">
        <f t="shared" si="2"/>
        <v>1.1166666666666672E-2</v>
      </c>
      <c r="L57" s="56"/>
      <c r="M57" s="62">
        <f t="shared" si="3"/>
        <v>9.1083333333333259E-3</v>
      </c>
      <c r="N57" s="56">
        <f t="shared" si="4"/>
        <v>0.64638198333333274</v>
      </c>
      <c r="O57" s="58">
        <f t="shared" si="5"/>
        <v>1.2927639666666655</v>
      </c>
      <c r="P57" s="56">
        <f t="shared" si="6"/>
        <v>0.12927639666666654</v>
      </c>
      <c r="Q57" s="57">
        <f>AVERAGE(P57:P59)</f>
        <v>0.13483539999999991</v>
      </c>
      <c r="R57" s="56">
        <f>STDEV(P57:P59)</f>
        <v>4.8175060588684033E-3</v>
      </c>
      <c r="S57" s="58">
        <f>R57/Q57*100</f>
        <v>3.5728792727046508</v>
      </c>
      <c r="T57" s="56"/>
    </row>
    <row r="58" spans="1:22" ht="14.4" customHeight="1" x14ac:dyDescent="0.3">
      <c r="D58" s="77"/>
      <c r="E58" s="17" t="s">
        <v>82</v>
      </c>
      <c r="F58" s="17">
        <f t="shared" ref="F58" si="25">F57</f>
        <v>10</v>
      </c>
      <c r="G58" s="57">
        <v>5.1799999999999999E-2</v>
      </c>
      <c r="H58" s="58">
        <v>4.9200000000000001E-2</v>
      </c>
      <c r="I58" s="56"/>
      <c r="J58" s="57">
        <f t="shared" si="1"/>
        <v>1.2699999999999996E-2</v>
      </c>
      <c r="K58" s="58">
        <f t="shared" si="2"/>
        <v>1.206666666666667E-2</v>
      </c>
      <c r="L58" s="56"/>
      <c r="M58" s="62">
        <f t="shared" si="3"/>
        <v>9.6833333333333285E-3</v>
      </c>
      <c r="N58" s="56">
        <f t="shared" si="4"/>
        <v>0.68718743333333299</v>
      </c>
      <c r="O58" s="58">
        <f t="shared" si="5"/>
        <v>1.374374866666666</v>
      </c>
      <c r="P58" s="56">
        <f t="shared" si="6"/>
        <v>0.13743748666666661</v>
      </c>
      <c r="Q58" s="57"/>
      <c r="R58" s="56"/>
      <c r="S58" s="58"/>
      <c r="T58" s="56"/>
    </row>
    <row r="59" spans="1:22" ht="14.4" customHeight="1" x14ac:dyDescent="0.3">
      <c r="D59" s="78"/>
      <c r="E59" s="22" t="s">
        <v>83</v>
      </c>
      <c r="F59" s="22">
        <f t="shared" ref="F59" si="26">F57</f>
        <v>10</v>
      </c>
      <c r="G59" s="65">
        <v>5.1900000000000002E-2</v>
      </c>
      <c r="H59" s="66">
        <v>4.9500000000000002E-2</v>
      </c>
      <c r="I59" s="56"/>
      <c r="J59" s="57">
        <f t="shared" si="1"/>
        <v>1.2799999999999999E-2</v>
      </c>
      <c r="K59" s="58">
        <f t="shared" si="2"/>
        <v>1.2366666666666672E-2</v>
      </c>
      <c r="L59" s="56"/>
      <c r="M59" s="62">
        <f t="shared" si="3"/>
        <v>9.708333333333331E-3</v>
      </c>
      <c r="N59" s="56">
        <f t="shared" si="4"/>
        <v>0.68896158333333313</v>
      </c>
      <c r="O59" s="58">
        <f t="shared" si="5"/>
        <v>1.3779231666666663</v>
      </c>
      <c r="P59" s="56">
        <f t="shared" si="6"/>
        <v>0.13779231666666664</v>
      </c>
      <c r="Q59" s="57"/>
      <c r="R59" s="56"/>
      <c r="S59" s="58"/>
      <c r="T59" s="56"/>
    </row>
    <row r="60" spans="1:22" ht="14.4" customHeight="1" x14ac:dyDescent="0.3">
      <c r="D60" s="76">
        <f>A38</f>
        <v>12</v>
      </c>
      <c r="E60" s="12" t="s">
        <v>84</v>
      </c>
      <c r="F60" s="12">
        <f>B38</f>
        <v>10</v>
      </c>
      <c r="G60" s="54">
        <v>0.05</v>
      </c>
      <c r="H60" s="55">
        <v>4.7699999999999999E-2</v>
      </c>
      <c r="I60" s="56"/>
      <c r="J60" s="57">
        <f t="shared" si="1"/>
        <v>1.09E-2</v>
      </c>
      <c r="K60" s="58">
        <f t="shared" si="2"/>
        <v>1.0566666666666669E-2</v>
      </c>
      <c r="L60" s="56"/>
      <c r="M60" s="62">
        <f t="shared" si="3"/>
        <v>8.2583333333333328E-3</v>
      </c>
      <c r="N60" s="56">
        <f t="shared" si="4"/>
        <v>0.58606088333333328</v>
      </c>
      <c r="O60" s="58">
        <f t="shared" si="5"/>
        <v>1.1721217666666666</v>
      </c>
      <c r="P60" s="56">
        <f t="shared" si="6"/>
        <v>0.11721217666666665</v>
      </c>
      <c r="Q60" s="57">
        <f>AVERAGE(P60:P62)</f>
        <v>0.13010433333333329</v>
      </c>
      <c r="R60" s="56">
        <f>STDEV(P60:P62)</f>
        <v>1.1662703088119515E-2</v>
      </c>
      <c r="S60" s="58">
        <f>R60/Q60*100</f>
        <v>8.9641157902397719</v>
      </c>
      <c r="T60" s="56"/>
    </row>
    <row r="61" spans="1:22" ht="14.4" customHeight="1" x14ac:dyDescent="0.3">
      <c r="D61" s="77"/>
      <c r="E61" s="17" t="s">
        <v>85</v>
      </c>
      <c r="F61" s="17">
        <f t="shared" ref="F61" si="27">F60</f>
        <v>10</v>
      </c>
      <c r="G61" s="57">
        <v>5.1999999999999998E-2</v>
      </c>
      <c r="H61" s="58">
        <v>4.9299999999999997E-2</v>
      </c>
      <c r="I61" s="56"/>
      <c r="J61" s="57">
        <f t="shared" si="1"/>
        <v>1.2899999999999995E-2</v>
      </c>
      <c r="K61" s="58">
        <f t="shared" si="2"/>
        <v>1.2166666666666666E-2</v>
      </c>
      <c r="L61" s="56"/>
      <c r="M61" s="62">
        <f t="shared" si="3"/>
        <v>9.8583333333333283E-3</v>
      </c>
      <c r="N61" s="56">
        <f t="shared" si="4"/>
        <v>0.69960648333333297</v>
      </c>
      <c r="O61" s="58">
        <f t="shared" si="5"/>
        <v>1.3992129666666659</v>
      </c>
      <c r="P61" s="56">
        <f t="shared" si="6"/>
        <v>0.13992129666666658</v>
      </c>
      <c r="Q61" s="57"/>
      <c r="R61" s="56"/>
      <c r="S61" s="58"/>
      <c r="T61" s="56"/>
    </row>
    <row r="62" spans="1:22" ht="14.4" customHeight="1" x14ac:dyDescent="0.3">
      <c r="D62" s="78"/>
      <c r="E62" s="22" t="s">
        <v>86</v>
      </c>
      <c r="F62" s="22">
        <f t="shared" ref="F62" si="28">F60</f>
        <v>10</v>
      </c>
      <c r="G62" s="65">
        <v>5.1299999999999998E-2</v>
      </c>
      <c r="H62" s="66">
        <v>4.8399999999999999E-2</v>
      </c>
      <c r="I62" s="56"/>
      <c r="J62" s="57">
        <f t="shared" si="1"/>
        <v>1.2199999999999996E-2</v>
      </c>
      <c r="K62" s="58">
        <f t="shared" si="2"/>
        <v>1.1266666666666668E-2</v>
      </c>
      <c r="L62" s="56"/>
      <c r="M62" s="62">
        <f t="shared" si="3"/>
        <v>9.3833333333333286E-3</v>
      </c>
      <c r="N62" s="56">
        <f t="shared" si="4"/>
        <v>0.66589763333333296</v>
      </c>
      <c r="O62" s="58">
        <f t="shared" si="5"/>
        <v>1.3317952666666659</v>
      </c>
      <c r="P62" s="56">
        <f t="shared" si="6"/>
        <v>0.1331795266666666</v>
      </c>
      <c r="Q62" s="57"/>
      <c r="R62" s="56"/>
      <c r="S62" s="58"/>
      <c r="T62" s="56"/>
    </row>
    <row r="63" spans="1:22" ht="14.4" customHeight="1" x14ac:dyDescent="0.3">
      <c r="D63" s="76">
        <f>A39</f>
        <v>13</v>
      </c>
      <c r="E63" s="12" t="s">
        <v>87</v>
      </c>
      <c r="F63" s="12">
        <f>B39</f>
        <v>10</v>
      </c>
      <c r="G63" s="54">
        <v>0.30330000000000001</v>
      </c>
      <c r="H63" s="55">
        <v>0.67069999999999996</v>
      </c>
      <c r="I63" s="56"/>
      <c r="J63" s="57">
        <f t="shared" si="1"/>
        <v>0.26419999999999999</v>
      </c>
      <c r="K63" s="58">
        <f t="shared" si="2"/>
        <v>0.63356666666666661</v>
      </c>
      <c r="L63" s="56"/>
      <c r="M63" s="62">
        <f t="shared" si="3"/>
        <v>0.10580833333333334</v>
      </c>
      <c r="N63" s="56">
        <f t="shared" si="4"/>
        <v>7.5087941833333334</v>
      </c>
      <c r="O63" s="58">
        <f t="shared" si="5"/>
        <v>15.017588366666667</v>
      </c>
      <c r="P63" s="56">
        <f t="shared" si="6"/>
        <v>1.5017588366666668</v>
      </c>
      <c r="Q63" s="57">
        <f>AVERAGE(P63:P65)</f>
        <v>1.5554564433333331</v>
      </c>
      <c r="R63" s="56">
        <f>STDEV(P63:P65)</f>
        <v>0.21757107766186398</v>
      </c>
      <c r="S63" s="58">
        <f>R63/Q63*100</f>
        <v>13.987603355553343</v>
      </c>
      <c r="T63" s="56"/>
    </row>
    <row r="64" spans="1:22" ht="14.4" customHeight="1" x14ac:dyDescent="0.3">
      <c r="D64" s="77"/>
      <c r="E64" s="17" t="s">
        <v>88</v>
      </c>
      <c r="F64" s="17">
        <f t="shared" ref="F64" si="29">F63</f>
        <v>10</v>
      </c>
      <c r="G64" s="57">
        <v>0.32150000000000001</v>
      </c>
      <c r="H64" s="58">
        <v>0.66090000000000004</v>
      </c>
      <c r="I64" s="56"/>
      <c r="J64" s="57">
        <f t="shared" si="1"/>
        <v>0.28239999999999998</v>
      </c>
      <c r="K64" s="58">
        <f t="shared" si="2"/>
        <v>0.62376666666666669</v>
      </c>
      <c r="L64" s="56"/>
      <c r="M64" s="62">
        <f t="shared" si="3"/>
        <v>0.12645833333333331</v>
      </c>
      <c r="N64" s="56">
        <f t="shared" si="4"/>
        <v>8.9742420833333316</v>
      </c>
      <c r="O64" s="58">
        <f t="shared" si="5"/>
        <v>17.948484166666663</v>
      </c>
      <c r="P64" s="56">
        <f t="shared" si="6"/>
        <v>1.7948484166666663</v>
      </c>
      <c r="Q64" s="57"/>
      <c r="R64" s="56"/>
      <c r="S64" s="58"/>
      <c r="T64" s="56"/>
    </row>
    <row r="65" spans="4:20" ht="14.4" customHeight="1" x14ac:dyDescent="0.3">
      <c r="D65" s="78"/>
      <c r="E65" s="22" t="s">
        <v>89</v>
      </c>
      <c r="F65" s="22">
        <f t="shared" ref="F65" si="30">F63</f>
        <v>10</v>
      </c>
      <c r="G65" s="65">
        <v>0.29220000000000002</v>
      </c>
      <c r="H65" s="66">
        <v>0.66349999999999998</v>
      </c>
      <c r="I65" s="56"/>
      <c r="J65" s="57">
        <f t="shared" si="1"/>
        <v>0.25309999999999999</v>
      </c>
      <c r="K65" s="58">
        <f t="shared" si="2"/>
        <v>0.62636666666666663</v>
      </c>
      <c r="L65" s="56"/>
      <c r="M65" s="62">
        <f t="shared" si="3"/>
        <v>9.6508333333333335E-2</v>
      </c>
      <c r="N65" s="56">
        <f t="shared" si="4"/>
        <v>6.8488103833333325</v>
      </c>
      <c r="O65" s="58">
        <f t="shared" si="5"/>
        <v>13.697620766666665</v>
      </c>
      <c r="P65" s="56">
        <f t="shared" si="6"/>
        <v>1.3697620766666665</v>
      </c>
      <c r="Q65" s="57"/>
      <c r="R65" s="56"/>
      <c r="S65" s="58"/>
      <c r="T65" s="56"/>
    </row>
    <row r="66" spans="4:20" ht="14.4" customHeight="1" x14ac:dyDescent="0.3">
      <c r="D66" s="76">
        <f>A40</f>
        <v>14</v>
      </c>
      <c r="E66" s="12" t="s">
        <v>90</v>
      </c>
      <c r="F66" s="12">
        <f>B40</f>
        <v>10</v>
      </c>
      <c r="G66" s="54">
        <v>0.37469999999999998</v>
      </c>
      <c r="H66" s="55">
        <v>0.63749999999999996</v>
      </c>
      <c r="I66" s="56"/>
      <c r="J66" s="57">
        <f t="shared" si="1"/>
        <v>0.33559999999999995</v>
      </c>
      <c r="K66" s="58">
        <f t="shared" si="2"/>
        <v>0.6003666666666666</v>
      </c>
      <c r="L66" s="56"/>
      <c r="M66" s="62">
        <f t="shared" si="3"/>
        <v>0.1855083333333333</v>
      </c>
      <c r="N66" s="56">
        <f t="shared" si="4"/>
        <v>13.16478438333333</v>
      </c>
      <c r="O66" s="58">
        <f t="shared" si="5"/>
        <v>26.329568766666661</v>
      </c>
      <c r="P66" s="56">
        <f t="shared" si="6"/>
        <v>2.632956876666666</v>
      </c>
      <c r="Q66" s="57">
        <f>AVERAGE(P66:P68)</f>
        <v>2.29894357</v>
      </c>
      <c r="R66" s="56">
        <f>STDEV(P66:P68)</f>
        <v>0.30750013552127076</v>
      </c>
      <c r="S66" s="58">
        <f>R66/Q66*100</f>
        <v>13.375714808052933</v>
      </c>
      <c r="T66" s="56"/>
    </row>
    <row r="67" spans="4:20" ht="14.4" customHeight="1" x14ac:dyDescent="0.3">
      <c r="D67" s="77"/>
      <c r="E67" s="17" t="s">
        <v>91</v>
      </c>
      <c r="F67" s="17">
        <f t="shared" ref="F67" si="31">F66</f>
        <v>10</v>
      </c>
      <c r="G67" s="57">
        <v>0.34010000000000001</v>
      </c>
      <c r="H67" s="58">
        <v>0.6109</v>
      </c>
      <c r="I67" s="56"/>
      <c r="J67" s="57">
        <f t="shared" si="1"/>
        <v>0.30099999999999999</v>
      </c>
      <c r="K67" s="58">
        <f t="shared" si="2"/>
        <v>0.57376666666666665</v>
      </c>
      <c r="L67" s="56"/>
      <c r="M67" s="62">
        <f t="shared" si="3"/>
        <v>0.15755833333333333</v>
      </c>
      <c r="N67" s="56">
        <f t="shared" si="4"/>
        <v>11.181284683333333</v>
      </c>
      <c r="O67" s="58">
        <f t="shared" si="5"/>
        <v>22.362569366666666</v>
      </c>
      <c r="P67" s="56">
        <f t="shared" si="6"/>
        <v>2.2362569366666665</v>
      </c>
      <c r="Q67" s="57"/>
      <c r="R67" s="56"/>
      <c r="S67" s="58"/>
      <c r="T67" s="56"/>
    </row>
    <row r="68" spans="4:20" ht="14.4" customHeight="1" x14ac:dyDescent="0.3">
      <c r="D68" s="78"/>
      <c r="E68" s="22" t="s">
        <v>92</v>
      </c>
      <c r="F68" s="22">
        <f t="shared" ref="F68" si="32">F66</f>
        <v>10</v>
      </c>
      <c r="G68" s="65">
        <v>0.32540000000000002</v>
      </c>
      <c r="H68" s="66">
        <v>0.6109</v>
      </c>
      <c r="I68" s="56"/>
      <c r="J68" s="57">
        <f t="shared" si="1"/>
        <v>0.2863</v>
      </c>
      <c r="K68" s="58">
        <f t="shared" si="2"/>
        <v>0.57376666666666665</v>
      </c>
      <c r="L68" s="56"/>
      <c r="M68" s="62">
        <f t="shared" si="3"/>
        <v>0.14285833333333334</v>
      </c>
      <c r="N68" s="56">
        <f t="shared" si="4"/>
        <v>10.138084483333333</v>
      </c>
      <c r="O68" s="58">
        <f t="shared" si="5"/>
        <v>20.276168966666667</v>
      </c>
      <c r="P68" s="56">
        <f t="shared" si="6"/>
        <v>2.0276168966666668</v>
      </c>
      <c r="Q68" s="57"/>
      <c r="R68" s="56"/>
      <c r="S68" s="58"/>
      <c r="T68" s="56"/>
    </row>
    <row r="69" spans="4:20" ht="14.4" customHeight="1" x14ac:dyDescent="0.3">
      <c r="D69" s="76">
        <f>A41</f>
        <v>15</v>
      </c>
      <c r="E69" s="12" t="s">
        <v>93</v>
      </c>
      <c r="F69" s="12">
        <f>B41</f>
        <v>10</v>
      </c>
      <c r="G69" s="54">
        <v>0.3705</v>
      </c>
      <c r="H69" s="55">
        <v>0.75170000000000003</v>
      </c>
      <c r="I69" s="56"/>
      <c r="J69" s="57">
        <f t="shared" si="1"/>
        <v>0.33139999999999997</v>
      </c>
      <c r="K69" s="58">
        <f t="shared" si="2"/>
        <v>0.71456666666666668</v>
      </c>
      <c r="L69" s="56"/>
      <c r="M69" s="62">
        <f t="shared" si="3"/>
        <v>0.1527583333333333</v>
      </c>
      <c r="N69" s="56">
        <f t="shared" si="4"/>
        <v>10.840647883333331</v>
      </c>
      <c r="O69" s="58">
        <f t="shared" si="5"/>
        <v>21.681295766666661</v>
      </c>
      <c r="P69" s="56">
        <f t="shared" si="6"/>
        <v>2.1681295766666659</v>
      </c>
      <c r="Q69" s="57">
        <f>AVERAGE(P69:P71)</f>
        <v>2.3113626199999993</v>
      </c>
      <c r="R69" s="56">
        <f>STDEV(P69:P71)</f>
        <v>0.38309684525669124</v>
      </c>
      <c r="S69" s="58">
        <f>R69/Q69*100</f>
        <v>16.574502068251469</v>
      </c>
      <c r="T69" s="56"/>
    </row>
    <row r="70" spans="4:20" ht="14.4" customHeight="1" x14ac:dyDescent="0.3">
      <c r="D70" s="77"/>
      <c r="E70" s="17" t="s">
        <v>94</v>
      </c>
      <c r="F70" s="17">
        <f t="shared" ref="F70" si="33">F69</f>
        <v>10</v>
      </c>
      <c r="G70" s="57">
        <v>0.35199999999999998</v>
      </c>
      <c r="H70" s="58">
        <v>0.71930000000000005</v>
      </c>
      <c r="I70" s="56"/>
      <c r="J70" s="57">
        <f t="shared" si="1"/>
        <v>0.31289999999999996</v>
      </c>
      <c r="K70" s="58">
        <f t="shared" si="2"/>
        <v>0.6821666666666667</v>
      </c>
      <c r="L70" s="56"/>
      <c r="M70" s="62">
        <f t="shared" si="3"/>
        <v>0.14235833333333328</v>
      </c>
      <c r="N70" s="56">
        <f t="shared" si="4"/>
        <v>10.102601483333329</v>
      </c>
      <c r="O70" s="58">
        <f t="shared" si="5"/>
        <v>20.205202966666658</v>
      </c>
      <c r="P70" s="56">
        <f t="shared" si="6"/>
        <v>2.0205202966666658</v>
      </c>
      <c r="Q70" s="57"/>
      <c r="R70" s="56"/>
      <c r="S70" s="58"/>
      <c r="T70" s="56"/>
    </row>
    <row r="71" spans="4:20" ht="14.4" customHeight="1" x14ac:dyDescent="0.3">
      <c r="D71" s="78"/>
      <c r="E71" s="22" t="s">
        <v>95</v>
      </c>
      <c r="F71" s="22">
        <f t="shared" ref="F71" si="34">F69</f>
        <v>10</v>
      </c>
      <c r="G71" s="65">
        <v>0.40339999999999998</v>
      </c>
      <c r="H71" s="66">
        <v>0.72060000000000002</v>
      </c>
      <c r="I71" s="56"/>
      <c r="J71" s="57">
        <f t="shared" si="1"/>
        <v>0.36429999999999996</v>
      </c>
      <c r="K71" s="58">
        <f t="shared" si="2"/>
        <v>0.68346666666666667</v>
      </c>
      <c r="L71" s="56"/>
      <c r="M71" s="62">
        <f t="shared" si="3"/>
        <v>0.19343333333333329</v>
      </c>
      <c r="N71" s="56">
        <f t="shared" si="4"/>
        <v>13.72718993333333</v>
      </c>
      <c r="O71" s="58">
        <f t="shared" si="5"/>
        <v>27.45437986666666</v>
      </c>
      <c r="P71" s="56">
        <f t="shared" si="6"/>
        <v>2.7454379866666661</v>
      </c>
      <c r="Q71" s="57"/>
      <c r="R71" s="56"/>
      <c r="S71" s="58"/>
      <c r="T71" s="56"/>
    </row>
    <row r="72" spans="4:20" ht="14.4" customHeight="1" x14ac:dyDescent="0.3">
      <c r="D72" s="76">
        <f>A42</f>
        <v>16</v>
      </c>
      <c r="E72" s="12" t="s">
        <v>96</v>
      </c>
      <c r="F72" s="12">
        <f>B42</f>
        <v>10</v>
      </c>
      <c r="G72" s="54">
        <v>0.38200000000000001</v>
      </c>
      <c r="H72" s="55">
        <v>0.78759999999999997</v>
      </c>
      <c r="I72" s="56"/>
      <c r="J72" s="57">
        <f t="shared" si="1"/>
        <v>0.34289999999999998</v>
      </c>
      <c r="K72" s="58">
        <f t="shared" si="2"/>
        <v>0.75046666666666662</v>
      </c>
      <c r="L72" s="56"/>
      <c r="M72" s="62">
        <f t="shared" si="3"/>
        <v>0.15528333333333333</v>
      </c>
      <c r="N72" s="56">
        <f t="shared" si="4"/>
        <v>11.019837033333332</v>
      </c>
      <c r="O72" s="58">
        <f t="shared" si="5"/>
        <v>22.039674066666663</v>
      </c>
      <c r="P72" s="56">
        <f t="shared" si="6"/>
        <v>2.2039674066666661</v>
      </c>
      <c r="Q72" s="57">
        <f>AVERAGE(P72:P74)</f>
        <v>1.9332321166666666</v>
      </c>
      <c r="R72" s="56">
        <f>STDEV(P72:P74)</f>
        <v>0.38384324647051954</v>
      </c>
      <c r="S72" s="58">
        <f>R72/Q72*100</f>
        <v>19.855000502079019</v>
      </c>
      <c r="T72" s="56"/>
    </row>
    <row r="73" spans="4:20" ht="14.4" customHeight="1" x14ac:dyDescent="0.3">
      <c r="D73" s="77"/>
      <c r="E73" s="17" t="s">
        <v>97</v>
      </c>
      <c r="F73" s="17">
        <f t="shared" ref="F73" si="35">F72</f>
        <v>10</v>
      </c>
      <c r="G73" s="57">
        <v>0.3705</v>
      </c>
      <c r="H73" s="58">
        <v>0.77039999999999997</v>
      </c>
      <c r="I73" s="56"/>
      <c r="J73" s="57">
        <f t="shared" si="1"/>
        <v>0.33139999999999997</v>
      </c>
      <c r="K73" s="58">
        <f t="shared" si="2"/>
        <v>0.73326666666666662</v>
      </c>
      <c r="L73" s="56"/>
      <c r="M73" s="62">
        <f t="shared" si="3"/>
        <v>0.14808333333333332</v>
      </c>
      <c r="N73" s="56">
        <f t="shared" si="4"/>
        <v>10.508881833333332</v>
      </c>
      <c r="O73" s="58">
        <f t="shared" si="5"/>
        <v>21.017763666666664</v>
      </c>
      <c r="P73" s="56">
        <f t="shared" si="6"/>
        <v>2.1017763666666665</v>
      </c>
      <c r="Q73" s="57"/>
      <c r="R73" s="56"/>
      <c r="S73" s="58"/>
      <c r="T73" s="56"/>
    </row>
    <row r="74" spans="4:20" ht="14.4" customHeight="1" x14ac:dyDescent="0.3">
      <c r="D74" s="78"/>
      <c r="E74" s="22" t="s">
        <v>98</v>
      </c>
      <c r="F74" s="22">
        <f t="shared" ref="F74" si="36">F72</f>
        <v>10</v>
      </c>
      <c r="G74" s="65">
        <v>0.33250000000000002</v>
      </c>
      <c r="H74" s="66">
        <v>0.78969999999999996</v>
      </c>
      <c r="I74" s="56"/>
      <c r="J74" s="57">
        <f t="shared" si="1"/>
        <v>0.29339999999999999</v>
      </c>
      <c r="K74" s="58">
        <f t="shared" si="2"/>
        <v>0.75256666666666661</v>
      </c>
      <c r="L74" s="56"/>
      <c r="M74" s="62">
        <f t="shared" si="3"/>
        <v>0.10525833333333334</v>
      </c>
      <c r="N74" s="56">
        <f t="shared" si="4"/>
        <v>7.4697628833333329</v>
      </c>
      <c r="O74" s="58">
        <f t="shared" si="5"/>
        <v>14.939525766666666</v>
      </c>
      <c r="P74" s="56">
        <f t="shared" si="6"/>
        <v>1.4939525766666666</v>
      </c>
      <c r="Q74" s="57"/>
      <c r="R74" s="56"/>
      <c r="S74" s="58"/>
      <c r="T74" s="56"/>
    </row>
    <row r="75" spans="4:20" ht="14.4" customHeight="1" x14ac:dyDescent="0.3">
      <c r="D75" s="76">
        <f>A43</f>
        <v>17</v>
      </c>
      <c r="E75" s="12" t="s">
        <v>99</v>
      </c>
      <c r="F75" s="12">
        <f>B43</f>
        <v>10</v>
      </c>
      <c r="G75" s="54">
        <v>0.375</v>
      </c>
      <c r="H75" s="55">
        <v>0.75209999999999999</v>
      </c>
      <c r="I75" s="56"/>
      <c r="J75" s="57">
        <f t="shared" si="1"/>
        <v>0.33589999999999998</v>
      </c>
      <c r="K75" s="58">
        <f t="shared" si="2"/>
        <v>0.71496666666666664</v>
      </c>
      <c r="L75" s="56"/>
      <c r="M75" s="62">
        <f t="shared" si="3"/>
        <v>0.15715833333333332</v>
      </c>
      <c r="N75" s="56">
        <f t="shared" si="4"/>
        <v>11.152898283333331</v>
      </c>
      <c r="O75" s="58">
        <f t="shared" si="5"/>
        <v>22.305796566666661</v>
      </c>
      <c r="P75" s="56">
        <f t="shared" si="6"/>
        <v>2.230579656666666</v>
      </c>
      <c r="Q75" s="57">
        <f>AVERAGE(P75:P77)</f>
        <v>1.6459380933333332</v>
      </c>
      <c r="R75" s="56">
        <f>STDEV(P75:P77)</f>
        <v>0.51648920401908927</v>
      </c>
      <c r="S75" s="58">
        <f>R75/Q75*100</f>
        <v>31.379625157900186</v>
      </c>
      <c r="T75" s="56"/>
    </row>
    <row r="76" spans="4:20" ht="14.4" customHeight="1" x14ac:dyDescent="0.3">
      <c r="D76" s="77"/>
      <c r="E76" s="17" t="s">
        <v>100</v>
      </c>
      <c r="F76" s="17">
        <f t="shared" ref="F76" si="37">F75</f>
        <v>10</v>
      </c>
      <c r="G76" s="57">
        <v>0.30990000000000001</v>
      </c>
      <c r="H76" s="58">
        <v>0.76759999999999995</v>
      </c>
      <c r="I76" s="56"/>
      <c r="J76" s="57">
        <f t="shared" si="1"/>
        <v>0.27079999999999999</v>
      </c>
      <c r="K76" s="58">
        <f t="shared" si="2"/>
        <v>0.7304666666666666</v>
      </c>
      <c r="L76" s="56"/>
      <c r="M76" s="62">
        <f t="shared" si="3"/>
        <v>8.8183333333333336E-2</v>
      </c>
      <c r="N76" s="56">
        <f t="shared" si="4"/>
        <v>6.2580184333333326</v>
      </c>
      <c r="O76" s="58">
        <f t="shared" si="5"/>
        <v>12.516036866666665</v>
      </c>
      <c r="P76" s="56">
        <f t="shared" si="6"/>
        <v>1.2516036866666664</v>
      </c>
      <c r="Q76" s="57"/>
      <c r="R76" s="56"/>
      <c r="S76" s="58"/>
      <c r="T76" s="56"/>
    </row>
    <row r="77" spans="4:20" ht="14.4" customHeight="1" x14ac:dyDescent="0.3">
      <c r="D77" s="78"/>
      <c r="E77" s="22" t="s">
        <v>101</v>
      </c>
      <c r="F77" s="22">
        <f t="shared" ref="F77" si="38">F75</f>
        <v>10</v>
      </c>
      <c r="G77" s="65">
        <v>0.32150000000000001</v>
      </c>
      <c r="H77" s="66">
        <v>0.75649999999999995</v>
      </c>
      <c r="I77" s="56"/>
      <c r="J77" s="57">
        <f t="shared" si="1"/>
        <v>0.28239999999999998</v>
      </c>
      <c r="K77" s="58">
        <f t="shared" si="2"/>
        <v>0.7193666666666666</v>
      </c>
      <c r="L77" s="56"/>
      <c r="M77" s="62">
        <f t="shared" si="3"/>
        <v>0.10255833333333333</v>
      </c>
      <c r="N77" s="56">
        <f t="shared" si="4"/>
        <v>7.2781546833333328</v>
      </c>
      <c r="O77" s="58">
        <f t="shared" si="5"/>
        <v>14.556309366666666</v>
      </c>
      <c r="P77" s="56">
        <f t="shared" si="6"/>
        <v>1.4556309366666667</v>
      </c>
      <c r="Q77" s="57"/>
      <c r="R77" s="56"/>
      <c r="S77" s="58"/>
      <c r="T77" s="56"/>
    </row>
    <row r="78" spans="4:20" ht="14.4" customHeight="1" x14ac:dyDescent="0.3">
      <c r="D78" s="76">
        <f>A44</f>
        <v>18</v>
      </c>
      <c r="E78" s="12" t="s">
        <v>102</v>
      </c>
      <c r="F78" s="12">
        <f>B44</f>
        <v>10</v>
      </c>
      <c r="G78" s="54">
        <v>0.35759999999999997</v>
      </c>
      <c r="H78" s="55">
        <v>0.75829999999999997</v>
      </c>
      <c r="I78" s="56"/>
      <c r="J78" s="57">
        <f t="shared" si="1"/>
        <v>0.31849999999999995</v>
      </c>
      <c r="K78" s="58">
        <f t="shared" si="2"/>
        <v>0.72116666666666662</v>
      </c>
      <c r="L78" s="56"/>
      <c r="M78" s="62">
        <f t="shared" si="3"/>
        <v>0.13820833333333329</v>
      </c>
      <c r="N78" s="56">
        <f t="shared" si="4"/>
        <v>9.8080925833333303</v>
      </c>
      <c r="O78" s="58">
        <f t="shared" si="5"/>
        <v>19.616185166666661</v>
      </c>
      <c r="P78" s="56">
        <f t="shared" si="6"/>
        <v>1.961618516666666</v>
      </c>
      <c r="Q78" s="57">
        <f>AVERAGE(P78:P80)</f>
        <v>2.3638774599999999</v>
      </c>
      <c r="R78" s="56">
        <f>STDEV(P78:P80)</f>
        <v>0.38508559564401074</v>
      </c>
      <c r="S78" s="58">
        <f>R78/Q78*100</f>
        <v>16.290421232072273</v>
      </c>
      <c r="T78" s="56"/>
    </row>
    <row r="79" spans="4:20" ht="14.4" customHeight="1" x14ac:dyDescent="0.3">
      <c r="D79" s="77"/>
      <c r="E79" s="17" t="s">
        <v>103</v>
      </c>
      <c r="F79" s="17">
        <f t="shared" ref="F79" si="39">F78</f>
        <v>10</v>
      </c>
      <c r="G79" s="57">
        <v>0.40689999999999998</v>
      </c>
      <c r="H79" s="58">
        <v>0.73919999999999997</v>
      </c>
      <c r="I79" s="56"/>
      <c r="J79" s="57">
        <f t="shared" si="1"/>
        <v>0.36779999999999996</v>
      </c>
      <c r="K79" s="58">
        <f t="shared" si="2"/>
        <v>0.70206666666666662</v>
      </c>
      <c r="L79" s="56"/>
      <c r="M79" s="62">
        <f t="shared" si="3"/>
        <v>0.19228333333333331</v>
      </c>
      <c r="N79" s="56">
        <f t="shared" si="4"/>
        <v>13.64557903333333</v>
      </c>
      <c r="O79" s="58">
        <f t="shared" si="5"/>
        <v>27.291158066666661</v>
      </c>
      <c r="P79" s="56">
        <f t="shared" si="6"/>
        <v>2.7291158066666661</v>
      </c>
      <c r="Q79" s="57"/>
      <c r="R79" s="56"/>
      <c r="S79" s="58"/>
      <c r="T79" s="56"/>
    </row>
    <row r="80" spans="4:20" ht="14.4" customHeight="1" x14ac:dyDescent="0.3">
      <c r="D80" s="78"/>
      <c r="E80" s="22" t="s">
        <v>104</v>
      </c>
      <c r="F80" s="22">
        <f t="shared" ref="F80" si="40">F78</f>
        <v>10</v>
      </c>
      <c r="G80" s="65">
        <v>0.38590000000000002</v>
      </c>
      <c r="H80" s="66">
        <v>0.74770000000000003</v>
      </c>
      <c r="I80" s="56"/>
      <c r="J80" s="57">
        <f t="shared" si="1"/>
        <v>0.3468</v>
      </c>
      <c r="K80" s="58">
        <f t="shared" si="2"/>
        <v>0.71056666666666668</v>
      </c>
      <c r="L80" s="56"/>
      <c r="M80" s="62">
        <f t="shared" si="3"/>
        <v>0.16915833333333333</v>
      </c>
      <c r="N80" s="56">
        <f t="shared" si="4"/>
        <v>12.004490283333332</v>
      </c>
      <c r="O80" s="58">
        <f t="shared" si="5"/>
        <v>24.008980566666665</v>
      </c>
      <c r="P80" s="56">
        <f t="shared" si="6"/>
        <v>2.4008980566666667</v>
      </c>
      <c r="Q80" s="57"/>
      <c r="R80" s="56"/>
      <c r="S80" s="58"/>
      <c r="T80" s="56"/>
    </row>
    <row r="81" spans="4:20" ht="14.4" customHeight="1" x14ac:dyDescent="0.3">
      <c r="D81" s="76">
        <f>A45</f>
        <v>19</v>
      </c>
      <c r="E81" s="12" t="s">
        <v>105</v>
      </c>
      <c r="F81" s="12">
        <f>B45</f>
        <v>10</v>
      </c>
      <c r="G81" s="54">
        <v>0.3589</v>
      </c>
      <c r="H81" s="55">
        <v>0.71020000000000005</v>
      </c>
      <c r="I81" s="56"/>
      <c r="J81" s="57">
        <f t="shared" si="1"/>
        <v>0.31979999999999997</v>
      </c>
      <c r="K81" s="58">
        <f t="shared" si="2"/>
        <v>0.6730666666666667</v>
      </c>
      <c r="L81" s="56"/>
      <c r="M81" s="62">
        <f t="shared" si="3"/>
        <v>0.1515333333333333</v>
      </c>
      <c r="N81" s="56">
        <f t="shared" si="4"/>
        <v>10.75371453333333</v>
      </c>
      <c r="O81" s="58">
        <f t="shared" si="5"/>
        <v>21.50742906666666</v>
      </c>
      <c r="P81" s="56">
        <f t="shared" si="6"/>
        <v>2.1507429066666659</v>
      </c>
      <c r="Q81" s="57">
        <f>AVERAGE(P81:P83)</f>
        <v>2.3990056299999996</v>
      </c>
      <c r="R81" s="56">
        <f>STDEV(P81:P83)</f>
        <v>0.21506337724683336</v>
      </c>
      <c r="S81" s="58">
        <f>R81/Q81*100</f>
        <v>8.9646883090821845</v>
      </c>
      <c r="T81" s="56"/>
    </row>
    <row r="82" spans="4:20" ht="14.4" customHeight="1" x14ac:dyDescent="0.3">
      <c r="D82" s="77"/>
      <c r="E82" s="17" t="s">
        <v>106</v>
      </c>
      <c r="F82" s="17">
        <f t="shared" ref="F82" si="41">F81</f>
        <v>10</v>
      </c>
      <c r="G82" s="57">
        <v>0.3851</v>
      </c>
      <c r="H82" s="58">
        <v>0.71150000000000002</v>
      </c>
      <c r="I82" s="56"/>
      <c r="J82" s="57">
        <f t="shared" si="1"/>
        <v>0.34599999999999997</v>
      </c>
      <c r="K82" s="58">
        <f t="shared" si="2"/>
        <v>0.67436666666666667</v>
      </c>
      <c r="L82" s="56"/>
      <c r="M82" s="62">
        <f t="shared" si="3"/>
        <v>0.17740833333333331</v>
      </c>
      <c r="N82" s="56">
        <f t="shared" si="4"/>
        <v>12.589959783333331</v>
      </c>
      <c r="O82" s="58">
        <f t="shared" si="5"/>
        <v>25.179919566666662</v>
      </c>
      <c r="P82" s="56">
        <f t="shared" si="6"/>
        <v>2.5179919566666662</v>
      </c>
      <c r="Q82" s="57"/>
      <c r="R82" s="56"/>
      <c r="S82" s="58"/>
      <c r="T82" s="56"/>
    </row>
    <row r="83" spans="4:20" ht="14.4" customHeight="1" x14ac:dyDescent="0.3">
      <c r="D83" s="78"/>
      <c r="E83" s="22" t="s">
        <v>107</v>
      </c>
      <c r="F83" s="22">
        <f t="shared" ref="F83" si="42">F81</f>
        <v>10</v>
      </c>
      <c r="G83" s="65">
        <v>0.38640000000000002</v>
      </c>
      <c r="H83" s="66">
        <v>0.71379999999999999</v>
      </c>
      <c r="I83" s="56"/>
      <c r="J83" s="57">
        <f t="shared" si="1"/>
        <v>0.3473</v>
      </c>
      <c r="K83" s="58">
        <f t="shared" si="2"/>
        <v>0.67666666666666664</v>
      </c>
      <c r="L83" s="56"/>
      <c r="M83" s="62">
        <f t="shared" si="3"/>
        <v>0.17813333333333334</v>
      </c>
      <c r="N83" s="56">
        <f t="shared" si="4"/>
        <v>12.641410133333332</v>
      </c>
      <c r="O83" s="58">
        <f t="shared" si="5"/>
        <v>25.282820266666665</v>
      </c>
      <c r="P83" s="56">
        <f t="shared" si="6"/>
        <v>2.5282820266666666</v>
      </c>
      <c r="Q83" s="57"/>
      <c r="R83" s="56"/>
      <c r="S83" s="58"/>
      <c r="T83" s="56"/>
    </row>
    <row r="84" spans="4:20" ht="14.4" customHeight="1" x14ac:dyDescent="0.3">
      <c r="D84" s="76">
        <f>A46</f>
        <v>20</v>
      </c>
      <c r="E84" s="12" t="s">
        <v>108</v>
      </c>
      <c r="F84" s="12">
        <f>B46</f>
        <v>10</v>
      </c>
      <c r="G84" s="54">
        <v>0.4</v>
      </c>
      <c r="H84" s="55">
        <v>0.72199999999999998</v>
      </c>
      <c r="I84" s="56"/>
      <c r="J84" s="57">
        <f t="shared" si="1"/>
        <v>0.3609</v>
      </c>
      <c r="K84" s="58">
        <f t="shared" si="2"/>
        <v>0.68486666666666662</v>
      </c>
      <c r="L84" s="56"/>
      <c r="M84" s="62">
        <f t="shared" si="3"/>
        <v>0.18968333333333334</v>
      </c>
      <c r="N84" s="56">
        <f t="shared" si="4"/>
        <v>13.461067433333334</v>
      </c>
      <c r="O84" s="58">
        <f t="shared" si="5"/>
        <v>26.922134866666667</v>
      </c>
      <c r="P84" s="56">
        <f t="shared" si="6"/>
        <v>2.6922134866666667</v>
      </c>
      <c r="Q84" s="57">
        <f>AVERAGE(P84:P86)</f>
        <v>1.8289120966666665</v>
      </c>
      <c r="R84" s="56">
        <f>STDEV(P84:P86)</f>
        <v>0.75053272208177635</v>
      </c>
      <c r="S84" s="58">
        <f>R84/Q84*100</f>
        <v>41.03711290715831</v>
      </c>
      <c r="T84" s="56"/>
    </row>
    <row r="85" spans="4:20" ht="14.4" customHeight="1" x14ac:dyDescent="0.3">
      <c r="D85" s="77"/>
      <c r="E85" s="17" t="s">
        <v>109</v>
      </c>
      <c r="F85" s="17">
        <f t="shared" ref="F85" si="43">F84</f>
        <v>10</v>
      </c>
      <c r="G85" s="57">
        <v>0.31630000000000003</v>
      </c>
      <c r="H85" s="58">
        <v>0.77070000000000005</v>
      </c>
      <c r="I85" s="56"/>
      <c r="J85" s="57">
        <f t="shared" si="1"/>
        <v>0.2772</v>
      </c>
      <c r="K85" s="58">
        <f t="shared" si="2"/>
        <v>0.7335666666666667</v>
      </c>
      <c r="L85" s="56"/>
      <c r="M85" s="62">
        <f t="shared" si="3"/>
        <v>9.3808333333333327E-2</v>
      </c>
      <c r="N85" s="56">
        <f t="shared" si="4"/>
        <v>6.6572021833333324</v>
      </c>
      <c r="O85" s="58">
        <f t="shared" si="5"/>
        <v>13.314404366666665</v>
      </c>
      <c r="P85" s="56">
        <f t="shared" si="6"/>
        <v>1.3314404366666666</v>
      </c>
      <c r="Q85" s="57"/>
      <c r="R85" s="56"/>
      <c r="S85" s="58"/>
      <c r="T85" s="56"/>
    </row>
    <row r="86" spans="4:20" ht="14.4" customHeight="1" x14ac:dyDescent="0.3">
      <c r="D86" s="78"/>
      <c r="E86" s="22" t="s">
        <v>110</v>
      </c>
      <c r="F86" s="22">
        <f t="shared" ref="F86" si="44">F84</f>
        <v>10</v>
      </c>
      <c r="G86" s="65">
        <v>0.32750000000000001</v>
      </c>
      <c r="H86" s="66">
        <v>0.77839999999999998</v>
      </c>
      <c r="I86" s="56"/>
      <c r="J86" s="57">
        <f t="shared" si="1"/>
        <v>0.28839999999999999</v>
      </c>
      <c r="K86" s="58">
        <f t="shared" si="2"/>
        <v>0.74126666666666663</v>
      </c>
      <c r="L86" s="56"/>
      <c r="M86" s="62">
        <f t="shared" si="3"/>
        <v>0.10308333333333333</v>
      </c>
      <c r="N86" s="56">
        <f t="shared" si="4"/>
        <v>7.3154118333333322</v>
      </c>
      <c r="O86" s="58">
        <f t="shared" si="5"/>
        <v>14.630823666666664</v>
      </c>
      <c r="P86" s="56">
        <f t="shared" si="6"/>
        <v>1.4630823666666664</v>
      </c>
      <c r="Q86" s="57"/>
      <c r="R86" s="56"/>
      <c r="S86" s="58"/>
      <c r="T86" s="56"/>
    </row>
    <row r="87" spans="4:20" ht="14.4" customHeight="1" x14ac:dyDescent="0.3">
      <c r="D87" s="76">
        <f>A47</f>
        <v>21</v>
      </c>
      <c r="E87" s="12" t="s">
        <v>111</v>
      </c>
      <c r="F87" s="12">
        <f>B47</f>
        <v>10</v>
      </c>
      <c r="G87" s="54">
        <v>0.33729999999999999</v>
      </c>
      <c r="H87" s="55">
        <v>0.77980000000000005</v>
      </c>
      <c r="I87" s="56"/>
      <c r="J87" s="57">
        <f t="shared" si="1"/>
        <v>0.29819999999999997</v>
      </c>
      <c r="K87" s="58">
        <f t="shared" si="2"/>
        <v>0.7426666666666667</v>
      </c>
      <c r="L87" s="56"/>
      <c r="M87" s="62">
        <f t="shared" si="3"/>
        <v>0.11253333333333329</v>
      </c>
      <c r="N87" s="56">
        <f t="shared" si="4"/>
        <v>7.9860405333333295</v>
      </c>
      <c r="O87" s="58">
        <f t="shared" si="5"/>
        <v>15.972081066666659</v>
      </c>
      <c r="P87" s="56">
        <f t="shared" si="6"/>
        <v>1.5972081066666659</v>
      </c>
      <c r="Q87" s="57">
        <f>AVERAGE(P87:P89)</f>
        <v>0.99565297999999969</v>
      </c>
      <c r="R87" s="56">
        <f>STDEV(P87:P89)</f>
        <v>0.78051795754062125</v>
      </c>
      <c r="S87" s="58">
        <f>R87/Q87*100</f>
        <v>78.392569822933851</v>
      </c>
      <c r="T87" s="56"/>
    </row>
    <row r="88" spans="4:20" ht="14.4" customHeight="1" x14ac:dyDescent="0.3">
      <c r="D88" s="77"/>
      <c r="E88" s="17" t="s">
        <v>112</v>
      </c>
      <c r="F88" s="17">
        <f t="shared" ref="F88:F97" si="45">F87</f>
        <v>10</v>
      </c>
      <c r="G88" s="57">
        <v>0.2397</v>
      </c>
      <c r="H88" s="58">
        <v>0.8075</v>
      </c>
      <c r="I88" s="56"/>
      <c r="J88" s="57">
        <f t="shared" si="1"/>
        <v>0.2006</v>
      </c>
      <c r="K88" s="58">
        <f t="shared" si="2"/>
        <v>0.77036666666666664</v>
      </c>
      <c r="L88" s="56"/>
      <c r="M88" s="62">
        <f t="shared" si="3"/>
        <v>8.0083333333333395E-3</v>
      </c>
      <c r="N88" s="56">
        <f t="shared" si="4"/>
        <v>0.56831938333333376</v>
      </c>
      <c r="O88" s="58">
        <f t="shared" si="5"/>
        <v>1.1366387666666675</v>
      </c>
      <c r="P88" s="56">
        <f t="shared" si="6"/>
        <v>0.11366387666666675</v>
      </c>
      <c r="Q88" s="57"/>
      <c r="R88" s="56"/>
      <c r="S88" s="58"/>
      <c r="T88" s="56"/>
    </row>
    <row r="89" spans="4:20" ht="14.4" customHeight="1" x14ac:dyDescent="0.3">
      <c r="D89" s="78"/>
      <c r="E89" s="22" t="s">
        <v>113</v>
      </c>
      <c r="F89" s="22">
        <f t="shared" ref="F89:F98" si="46">F87</f>
        <v>10</v>
      </c>
      <c r="G89" s="65">
        <v>0.30349999999999999</v>
      </c>
      <c r="H89" s="66">
        <v>0.73509999999999998</v>
      </c>
      <c r="I89" s="56"/>
      <c r="J89" s="57">
        <f t="shared" si="1"/>
        <v>0.26439999999999997</v>
      </c>
      <c r="K89" s="58">
        <f t="shared" si="2"/>
        <v>0.69796666666666662</v>
      </c>
      <c r="L89" s="56"/>
      <c r="M89" s="62">
        <f t="shared" si="3"/>
        <v>8.9908333333333312E-2</v>
      </c>
      <c r="N89" s="56">
        <f t="shared" si="4"/>
        <v>6.3804347833333317</v>
      </c>
      <c r="O89" s="58">
        <f t="shared" si="5"/>
        <v>12.760869566666663</v>
      </c>
      <c r="P89" s="56">
        <f t="shared" si="6"/>
        <v>1.2760869566666664</v>
      </c>
      <c r="Q89" s="57"/>
      <c r="R89" s="56"/>
      <c r="S89" s="58"/>
      <c r="T89" s="56"/>
    </row>
    <row r="90" spans="4:20" ht="14.4" customHeight="1" x14ac:dyDescent="0.3">
      <c r="D90" s="76">
        <f>A48</f>
        <v>22</v>
      </c>
      <c r="E90" s="12" t="s">
        <v>114</v>
      </c>
      <c r="F90" s="12">
        <f>B48</f>
        <v>10</v>
      </c>
      <c r="G90" s="54">
        <v>0.3619</v>
      </c>
      <c r="H90" s="55">
        <v>0.70750000000000002</v>
      </c>
      <c r="I90" s="56"/>
      <c r="J90" s="57">
        <f t="shared" si="1"/>
        <v>0.32279999999999998</v>
      </c>
      <c r="K90" s="58">
        <f t="shared" si="2"/>
        <v>0.67036666666666667</v>
      </c>
      <c r="L90" s="56"/>
      <c r="M90" s="62">
        <f t="shared" si="3"/>
        <v>0.15520833333333331</v>
      </c>
      <c r="N90" s="56">
        <f t="shared" si="4"/>
        <v>11.01451458333333</v>
      </c>
      <c r="O90" s="58">
        <f t="shared" si="5"/>
        <v>22.02902916666666</v>
      </c>
      <c r="P90" s="56">
        <f t="shared" si="6"/>
        <v>2.202902916666666</v>
      </c>
      <c r="Q90" s="57">
        <f>AVERAGE(P90:P92)</f>
        <v>2.1272058499999993</v>
      </c>
      <c r="R90" s="56">
        <f>STDEV(P90:P92)</f>
        <v>0.15859842560507803</v>
      </c>
      <c r="S90" s="58">
        <f>R90/Q90*100</f>
        <v>7.4557159385904317</v>
      </c>
      <c r="T90" s="56"/>
    </row>
    <row r="91" spans="4:20" ht="14.4" customHeight="1" x14ac:dyDescent="0.3">
      <c r="D91" s="77"/>
      <c r="E91" s="17" t="s">
        <v>115</v>
      </c>
      <c r="F91" s="17">
        <f t="shared" si="45"/>
        <v>10</v>
      </c>
      <c r="G91" s="57">
        <v>0.34089999999999998</v>
      </c>
      <c r="H91" s="58">
        <v>0.69620000000000004</v>
      </c>
      <c r="I91" s="56"/>
      <c r="J91" s="57">
        <f t="shared" ref="J91:J98" si="47">G91-$J$14</f>
        <v>0.30179999999999996</v>
      </c>
      <c r="K91" s="58">
        <f t="shared" ref="K91:K98" si="48">H91-$K$14</f>
        <v>0.65906666666666669</v>
      </c>
      <c r="L91" s="56"/>
      <c r="M91" s="62">
        <f t="shared" si="3"/>
        <v>0.13703333333333328</v>
      </c>
      <c r="N91" s="56">
        <f t="shared" si="4"/>
        <v>9.7247075333333299</v>
      </c>
      <c r="O91" s="58">
        <f t="shared" si="5"/>
        <v>19.44941506666666</v>
      </c>
      <c r="P91" s="56">
        <f t="shared" si="6"/>
        <v>1.944941506666666</v>
      </c>
      <c r="Q91" s="57"/>
      <c r="R91" s="56"/>
      <c r="S91" s="58"/>
      <c r="T91" s="56"/>
    </row>
    <row r="92" spans="4:20" ht="14.4" customHeight="1" x14ac:dyDescent="0.3">
      <c r="D92" s="78"/>
      <c r="E92" s="22" t="s">
        <v>116</v>
      </c>
      <c r="F92" s="22">
        <f t="shared" si="46"/>
        <v>10</v>
      </c>
      <c r="G92" s="65">
        <v>0.3599</v>
      </c>
      <c r="H92" s="66">
        <v>0.69079999999999997</v>
      </c>
      <c r="I92" s="56"/>
      <c r="J92" s="57">
        <f t="shared" si="47"/>
        <v>0.32079999999999997</v>
      </c>
      <c r="K92" s="58">
        <f t="shared" si="48"/>
        <v>0.65366666666666662</v>
      </c>
      <c r="L92" s="56"/>
      <c r="M92" s="62">
        <f t="shared" ref="M92:M98" si="49">J92-(0.25*K92)</f>
        <v>0.15738333333333332</v>
      </c>
      <c r="N92" s="56">
        <f t="shared" ref="N92:N98" si="50">M92*70.966</f>
        <v>11.168865633333331</v>
      </c>
      <c r="O92" s="58">
        <f t="shared" ref="O92:O98" si="51">N92*2</f>
        <v>22.337731266666662</v>
      </c>
      <c r="P92" s="56">
        <f t="shared" ref="P92:P98" si="52">O92/F92</f>
        <v>2.2337731266666663</v>
      </c>
      <c r="Q92" s="57"/>
      <c r="R92" s="56"/>
      <c r="S92" s="58"/>
      <c r="T92" s="56"/>
    </row>
    <row r="93" spans="4:20" ht="14.4" customHeight="1" x14ac:dyDescent="0.3">
      <c r="D93" s="76">
        <f>A49</f>
        <v>23</v>
      </c>
      <c r="E93" s="12" t="s">
        <v>117</v>
      </c>
      <c r="F93" s="12">
        <f>B49</f>
        <v>10</v>
      </c>
      <c r="G93" s="54">
        <v>0.36370000000000002</v>
      </c>
      <c r="H93" s="55">
        <v>0.75109999999999999</v>
      </c>
      <c r="I93" s="56"/>
      <c r="J93" s="57">
        <f t="shared" si="47"/>
        <v>0.3246</v>
      </c>
      <c r="K93" s="58">
        <f t="shared" si="48"/>
        <v>0.71396666666666664</v>
      </c>
      <c r="L93" s="56"/>
      <c r="M93" s="62">
        <f t="shared" si="49"/>
        <v>0.14610833333333334</v>
      </c>
      <c r="N93" s="56">
        <f t="shared" si="50"/>
        <v>10.368723983333332</v>
      </c>
      <c r="O93" s="58">
        <f t="shared" si="51"/>
        <v>20.737447966666664</v>
      </c>
      <c r="P93" s="56">
        <f t="shared" si="52"/>
        <v>2.0737447966666664</v>
      </c>
      <c r="Q93" s="57">
        <f>AVERAGE(P93:P95)</f>
        <v>2.2039674066666661</v>
      </c>
      <c r="R93" s="56">
        <f>STDEV(P93:P95)</f>
        <v>0.18058825262088499</v>
      </c>
      <c r="S93" s="58">
        <f>R93/Q93*100</f>
        <v>8.1937805466012321</v>
      </c>
      <c r="T93" s="56"/>
    </row>
    <row r="94" spans="4:20" ht="14.4" customHeight="1" x14ac:dyDescent="0.3">
      <c r="D94" s="77"/>
      <c r="E94" s="17" t="s">
        <v>118</v>
      </c>
      <c r="F94" s="17">
        <f t="shared" si="45"/>
        <v>10</v>
      </c>
      <c r="G94" s="57">
        <v>0.37209999999999999</v>
      </c>
      <c r="H94" s="58">
        <v>0.76939999999999997</v>
      </c>
      <c r="I94" s="56"/>
      <c r="J94" s="57">
        <f t="shared" si="47"/>
        <v>0.33299999999999996</v>
      </c>
      <c r="K94" s="58">
        <f t="shared" si="48"/>
        <v>0.73226666666666662</v>
      </c>
      <c r="L94" s="56"/>
      <c r="M94" s="62">
        <f t="shared" si="49"/>
        <v>0.14993333333333331</v>
      </c>
      <c r="N94" s="56">
        <f t="shared" si="50"/>
        <v>10.64016893333333</v>
      </c>
      <c r="O94" s="58">
        <f t="shared" si="51"/>
        <v>21.28033786666666</v>
      </c>
      <c r="P94" s="56">
        <f t="shared" si="52"/>
        <v>2.1280337866666659</v>
      </c>
      <c r="Q94" s="57"/>
      <c r="R94" s="56"/>
      <c r="S94" s="58"/>
      <c r="T94" s="56"/>
    </row>
    <row r="95" spans="4:20" ht="14.4" customHeight="1" x14ac:dyDescent="0.3">
      <c r="D95" s="78"/>
      <c r="E95" s="22" t="s">
        <v>119</v>
      </c>
      <c r="F95" s="22">
        <f t="shared" si="46"/>
        <v>10</v>
      </c>
      <c r="G95" s="65">
        <v>0.38879999999999998</v>
      </c>
      <c r="H95" s="66">
        <v>0.75670000000000004</v>
      </c>
      <c r="I95" s="56"/>
      <c r="J95" s="57">
        <f t="shared" si="47"/>
        <v>0.34969999999999996</v>
      </c>
      <c r="K95" s="58">
        <f t="shared" si="48"/>
        <v>0.71956666666666669</v>
      </c>
      <c r="L95" s="56"/>
      <c r="M95" s="62">
        <f t="shared" si="49"/>
        <v>0.16980833333333328</v>
      </c>
      <c r="N95" s="56">
        <f t="shared" si="50"/>
        <v>12.050618183333329</v>
      </c>
      <c r="O95" s="58">
        <f t="shared" si="51"/>
        <v>24.101236366666658</v>
      </c>
      <c r="P95" s="56">
        <f t="shared" si="52"/>
        <v>2.4101236366666656</v>
      </c>
      <c r="Q95" s="57"/>
      <c r="R95" s="56"/>
      <c r="S95" s="58"/>
      <c r="T95" s="56"/>
    </row>
    <row r="96" spans="4:20" ht="14.4" customHeight="1" x14ac:dyDescent="0.3">
      <c r="D96" s="76">
        <f>A50</f>
        <v>24</v>
      </c>
      <c r="E96" s="12" t="s">
        <v>120</v>
      </c>
      <c r="F96" s="12">
        <f>B50</f>
        <v>10</v>
      </c>
      <c r="G96" s="54">
        <v>0.36720000000000003</v>
      </c>
      <c r="H96" s="55">
        <v>0.70199999999999996</v>
      </c>
      <c r="I96" s="56"/>
      <c r="J96" s="57">
        <f t="shared" si="47"/>
        <v>0.3281</v>
      </c>
      <c r="K96" s="58">
        <f t="shared" si="48"/>
        <v>0.66486666666666661</v>
      </c>
      <c r="L96" s="56"/>
      <c r="M96" s="62">
        <f t="shared" si="49"/>
        <v>0.16188333333333335</v>
      </c>
      <c r="N96" s="56">
        <f t="shared" si="50"/>
        <v>11.488212633333333</v>
      </c>
      <c r="O96" s="58">
        <f t="shared" si="51"/>
        <v>22.976425266666666</v>
      </c>
      <c r="P96" s="56">
        <f t="shared" si="52"/>
        <v>2.2976425266666665</v>
      </c>
      <c r="Q96" s="57">
        <f>AVERAGE(P96:P98)</f>
        <v>2.1721509833333328</v>
      </c>
      <c r="R96" s="56">
        <f>STDEV(P96:P98)</f>
        <v>0.23950692070772506</v>
      </c>
      <c r="S96" s="58">
        <f>R96/Q96*100</f>
        <v>11.026255658351303</v>
      </c>
      <c r="T96" s="56"/>
    </row>
    <row r="97" spans="4:20" ht="14.4" customHeight="1" x14ac:dyDescent="0.3">
      <c r="D97" s="77"/>
      <c r="E97" s="17" t="s">
        <v>121</v>
      </c>
      <c r="F97" s="17">
        <f t="shared" si="45"/>
        <v>10</v>
      </c>
      <c r="G97" s="57">
        <v>0.36580000000000001</v>
      </c>
      <c r="H97" s="58">
        <v>0.68930000000000002</v>
      </c>
      <c r="I97" s="56"/>
      <c r="J97" s="57">
        <f t="shared" si="47"/>
        <v>0.32669999999999999</v>
      </c>
      <c r="K97" s="58">
        <f t="shared" si="48"/>
        <v>0.65216666666666667</v>
      </c>
      <c r="L97" s="56"/>
      <c r="M97" s="62">
        <f t="shared" si="49"/>
        <v>0.16365833333333332</v>
      </c>
      <c r="N97" s="56">
        <f t="shared" si="50"/>
        <v>11.614177283333332</v>
      </c>
      <c r="O97" s="58">
        <f t="shared" si="51"/>
        <v>23.228354566666663</v>
      </c>
      <c r="P97" s="56">
        <f t="shared" si="52"/>
        <v>2.3228354566666662</v>
      </c>
      <c r="Q97" s="57"/>
      <c r="R97" s="56"/>
      <c r="S97" s="58"/>
      <c r="T97" s="56"/>
    </row>
    <row r="98" spans="4:20" ht="14.4" customHeight="1" x14ac:dyDescent="0.3">
      <c r="D98" s="78"/>
      <c r="E98" s="22" t="s">
        <v>122</v>
      </c>
      <c r="F98" s="22">
        <f t="shared" si="46"/>
        <v>10</v>
      </c>
      <c r="G98" s="65">
        <v>0.33329999999999999</v>
      </c>
      <c r="H98" s="66">
        <v>0.67959999999999998</v>
      </c>
      <c r="I98" s="56"/>
      <c r="J98" s="65">
        <f t="shared" si="47"/>
        <v>0.29419999999999996</v>
      </c>
      <c r="K98" s="58">
        <f t="shared" si="48"/>
        <v>0.64246666666666663</v>
      </c>
      <c r="L98" s="56"/>
      <c r="M98" s="69">
        <f t="shared" si="49"/>
        <v>0.1335833333333333</v>
      </c>
      <c r="N98" s="56">
        <f t="shared" si="50"/>
        <v>9.47987483333333</v>
      </c>
      <c r="O98" s="58">
        <f t="shared" si="51"/>
        <v>18.95974966666666</v>
      </c>
      <c r="P98" s="70">
        <f t="shared" si="52"/>
        <v>1.8959749666666661</v>
      </c>
      <c r="Q98" s="65"/>
      <c r="R98" s="70"/>
      <c r="S98" s="66"/>
      <c r="T98" s="56"/>
    </row>
    <row r="99" spans="4:20" x14ac:dyDescent="0.3">
      <c r="N99" s="35"/>
    </row>
  </sheetData>
  <mergeCells count="31">
    <mergeCell ref="D96:D98"/>
    <mergeCell ref="D78:D80"/>
    <mergeCell ref="D81:D83"/>
    <mergeCell ref="D84:D86"/>
    <mergeCell ref="D87:D89"/>
    <mergeCell ref="D90:D92"/>
    <mergeCell ref="D93:D95"/>
    <mergeCell ref="D60:D62"/>
    <mergeCell ref="D63:D65"/>
    <mergeCell ref="D66:D68"/>
    <mergeCell ref="D69:D71"/>
    <mergeCell ref="D72:D74"/>
    <mergeCell ref="D75:D77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1C84-3BEB-4493-A61F-30BE761CDB9C}">
  <dimension ref="A1:X99"/>
  <sheetViews>
    <sheetView zoomScale="80" zoomScaleNormal="80" workbookViewId="0">
      <selection activeCell="K26" sqref="K26"/>
    </sheetView>
  </sheetViews>
  <sheetFormatPr defaultColWidth="8.88671875" defaultRowHeight="14.4" x14ac:dyDescent="0.3"/>
  <cols>
    <col min="1" max="1" width="10.5546875" bestFit="1" customWidth="1"/>
    <col min="2" max="2" width="9.109375" bestFit="1" customWidth="1"/>
    <col min="4" max="4" width="9.44140625" customWidth="1"/>
    <col min="5" max="5" width="10" customWidth="1"/>
    <col min="6" max="6" width="11.6640625" customWidth="1"/>
    <col min="7" max="7" width="12.5546875" customWidth="1"/>
    <col min="8" max="8" width="12.6640625" customWidth="1"/>
    <col min="10" max="11" width="9" customWidth="1"/>
    <col min="12" max="12" width="11.6640625" customWidth="1"/>
    <col min="13" max="13" width="9" customWidth="1"/>
    <col min="14" max="14" width="11.6640625" bestFit="1" customWidth="1"/>
    <col min="15" max="15" width="9" customWidth="1"/>
    <col min="16" max="16" width="9" bestFit="1" customWidth="1"/>
    <col min="17" max="17" width="10.88671875" customWidth="1"/>
    <col min="18" max="18" width="10.6640625" customWidth="1"/>
    <col min="19" max="19" width="9" bestFit="1" customWidth="1"/>
    <col min="20" max="20" width="9.5546875" bestFit="1" customWidth="1"/>
    <col min="21" max="21" width="9.5546875" customWidth="1"/>
  </cols>
  <sheetData>
    <row r="1" spans="5:17" x14ac:dyDescent="0.3">
      <c r="E1" s="79" t="s">
        <v>0</v>
      </c>
      <c r="F1" s="79"/>
      <c r="G1" s="79"/>
    </row>
    <row r="2" spans="5:17" x14ac:dyDescent="0.3">
      <c r="E2" s="79"/>
      <c r="F2" s="79"/>
      <c r="G2" s="79"/>
    </row>
    <row r="4" spans="5:17" ht="28.5" customHeight="1" x14ac:dyDescent="0.3">
      <c r="E4" s="1"/>
      <c r="F4" s="80" t="s">
        <v>1</v>
      </c>
      <c r="G4" s="81"/>
      <c r="I4" s="1"/>
      <c r="J4" s="80" t="s">
        <v>1</v>
      </c>
      <c r="K4" s="81"/>
      <c r="L4" s="2"/>
      <c r="M4" s="71" t="s">
        <v>2</v>
      </c>
      <c r="N4" s="72"/>
      <c r="O4" s="2"/>
      <c r="P4" s="82" t="s">
        <v>3</v>
      </c>
      <c r="Q4" s="83"/>
    </row>
    <row r="5" spans="5:17" ht="17.25" customHeight="1" x14ac:dyDescent="0.3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2" t="s">
        <v>1</v>
      </c>
      <c r="Q5" s="83"/>
    </row>
    <row r="6" spans="5:17" x14ac:dyDescent="0.3">
      <c r="E6" s="11" t="s">
        <v>8</v>
      </c>
      <c r="F6">
        <v>4.2000000000000003E-2</v>
      </c>
      <c r="G6">
        <v>3.8100000000000002E-2</v>
      </c>
      <c r="I6" s="13">
        <v>12.5</v>
      </c>
      <c r="J6" s="14">
        <f>AVERAGE(F9:F11)</f>
        <v>0.26476666666666665</v>
      </c>
      <c r="K6" s="15">
        <f>AVERAGE(G9:G11)</f>
        <v>3.6366666666666665E-2</v>
      </c>
      <c r="M6" s="14">
        <f>J6-$J$14</f>
        <v>0.22566666666666665</v>
      </c>
      <c r="N6" s="15">
        <f>K6-$K$14</f>
        <v>-7.666666666666655E-4</v>
      </c>
      <c r="P6" s="1" t="s">
        <v>5</v>
      </c>
      <c r="Q6" s="7" t="s">
        <v>7</v>
      </c>
    </row>
    <row r="7" spans="5:17" x14ac:dyDescent="0.3">
      <c r="E7" s="16" t="s">
        <v>9</v>
      </c>
      <c r="F7">
        <v>3.5799999999999998E-2</v>
      </c>
      <c r="G7">
        <v>3.49E-2</v>
      </c>
      <c r="I7" s="18">
        <v>25</v>
      </c>
      <c r="J7" s="19">
        <f>AVERAGE(F12:F14)</f>
        <v>0.56596666666666673</v>
      </c>
      <c r="K7" s="20">
        <f>AVERAGE(G12:G14)</f>
        <v>3.6399999999999995E-2</v>
      </c>
      <c r="M7" s="19">
        <f>J7-$J$14</f>
        <v>0.52686666666666671</v>
      </c>
      <c r="N7" s="20">
        <f>K7-$K$14</f>
        <v>-7.3333333333333584E-4</v>
      </c>
      <c r="P7" s="17">
        <f>M6</f>
        <v>0.22566666666666665</v>
      </c>
      <c r="Q7" s="12">
        <v>12.5</v>
      </c>
    </row>
    <row r="8" spans="5:17" x14ac:dyDescent="0.3">
      <c r="E8" s="21" t="s">
        <v>10</v>
      </c>
      <c r="F8">
        <v>3.95E-2</v>
      </c>
      <c r="G8">
        <v>3.8399999999999997E-2</v>
      </c>
      <c r="I8" s="18">
        <v>50</v>
      </c>
      <c r="J8" s="19">
        <f>AVERAGE(F15:F17)</f>
        <v>1.1274333333333333</v>
      </c>
      <c r="K8" s="20">
        <f>AVERAGE(G15:G17)</f>
        <v>3.7200000000000004E-2</v>
      </c>
      <c r="M8" s="19">
        <f>J8-$J$14</f>
        <v>1.0883333333333334</v>
      </c>
      <c r="N8" s="20">
        <f>K8-$K$14</f>
        <v>6.6666666666673202E-5</v>
      </c>
      <c r="P8" s="17">
        <f>M7</f>
        <v>0.52686666666666671</v>
      </c>
      <c r="Q8" s="17">
        <v>25</v>
      </c>
    </row>
    <row r="9" spans="5:17" x14ac:dyDescent="0.3">
      <c r="E9" s="11" t="s">
        <v>11</v>
      </c>
      <c r="F9">
        <v>0.31159999999999999</v>
      </c>
      <c r="G9">
        <v>3.56E-2</v>
      </c>
      <c r="I9" s="18">
        <v>100</v>
      </c>
      <c r="J9" s="19">
        <f>AVERAGE(F18:F20)</f>
        <v>1.7840999999999998</v>
      </c>
      <c r="K9" s="20">
        <f>AVERAGE(G18:G20)</f>
        <v>3.833333333333333E-2</v>
      </c>
      <c r="M9" s="19">
        <f>J9-$J$14</f>
        <v>1.7449999999999999</v>
      </c>
      <c r="N9" s="20">
        <f>K9-$K$14</f>
        <v>1.1999999999999997E-3</v>
      </c>
      <c r="P9" s="17">
        <f>M8</f>
        <v>1.0883333333333334</v>
      </c>
      <c r="Q9" s="17">
        <v>50</v>
      </c>
    </row>
    <row r="10" spans="5:17" x14ac:dyDescent="0.3">
      <c r="E10" s="16" t="s">
        <v>12</v>
      </c>
      <c r="F10">
        <v>0.17879999999999999</v>
      </c>
      <c r="G10">
        <v>3.6999999999999998E-2</v>
      </c>
      <c r="I10" s="23">
        <v>250</v>
      </c>
      <c r="J10" s="24">
        <f>AVERAGE(F21:F23)</f>
        <v>3.8068999999999997</v>
      </c>
      <c r="K10" s="25">
        <f>AVERAGE(G21:G23)</f>
        <v>3.5266666666666668E-2</v>
      </c>
      <c r="M10" s="19">
        <f>J10-$J$14</f>
        <v>3.7677999999999998</v>
      </c>
      <c r="N10" s="20">
        <f>K10-$K$14</f>
        <v>-1.8666666666666623E-3</v>
      </c>
      <c r="P10" s="17">
        <f>M9</f>
        <v>1.7449999999999999</v>
      </c>
      <c r="Q10" s="17">
        <v>100</v>
      </c>
    </row>
    <row r="11" spans="5:17" x14ac:dyDescent="0.3">
      <c r="E11" s="21" t="s">
        <v>13</v>
      </c>
      <c r="F11">
        <v>0.3039</v>
      </c>
      <c r="G11">
        <v>3.6499999999999998E-2</v>
      </c>
      <c r="I11" s="26" t="s">
        <v>14</v>
      </c>
      <c r="J11" s="13">
        <f t="shared" ref="J11:K13" si="0">F6</f>
        <v>4.2000000000000003E-2</v>
      </c>
      <c r="K11" s="27">
        <f t="shared" si="0"/>
        <v>3.8100000000000002E-2</v>
      </c>
      <c r="M11" s="23"/>
      <c r="N11" s="28"/>
      <c r="P11" s="22">
        <f>M10</f>
        <v>3.7677999999999998</v>
      </c>
      <c r="Q11" s="22">
        <v>250</v>
      </c>
    </row>
    <row r="12" spans="5:17" x14ac:dyDescent="0.3">
      <c r="E12" s="11" t="s">
        <v>15</v>
      </c>
      <c r="F12">
        <v>0.55330000000000001</v>
      </c>
      <c r="G12">
        <v>3.5499999999999997E-2</v>
      </c>
      <c r="I12" s="29" t="s">
        <v>14</v>
      </c>
      <c r="J12" s="18">
        <f t="shared" si="0"/>
        <v>3.5799999999999998E-2</v>
      </c>
      <c r="K12" s="30">
        <f t="shared" si="0"/>
        <v>3.49E-2</v>
      </c>
    </row>
    <row r="13" spans="5:17" x14ac:dyDescent="0.3">
      <c r="E13" s="16" t="s">
        <v>16</v>
      </c>
      <c r="F13">
        <v>0.54720000000000002</v>
      </c>
      <c r="G13">
        <v>3.7400000000000003E-2</v>
      </c>
      <c r="I13" s="31" t="s">
        <v>14</v>
      </c>
      <c r="J13" s="23">
        <f t="shared" si="0"/>
        <v>3.95E-2</v>
      </c>
      <c r="K13" s="28">
        <f t="shared" si="0"/>
        <v>3.8399999999999997E-2</v>
      </c>
    </row>
    <row r="14" spans="5:17" x14ac:dyDescent="0.3">
      <c r="E14" s="21" t="s">
        <v>17</v>
      </c>
      <c r="F14">
        <v>0.59740000000000004</v>
      </c>
      <c r="G14">
        <v>3.6299999999999999E-2</v>
      </c>
      <c r="I14" s="32" t="s">
        <v>18</v>
      </c>
      <c r="J14" s="33">
        <f>AVERAGE(J11:J13)</f>
        <v>3.9100000000000003E-2</v>
      </c>
      <c r="K14" s="34">
        <f>AVERAGE(K11:K13)</f>
        <v>3.7133333333333331E-2</v>
      </c>
    </row>
    <row r="15" spans="5:17" x14ac:dyDescent="0.3">
      <c r="E15" s="11" t="s">
        <v>19</v>
      </c>
      <c r="F15">
        <v>1.2909999999999999</v>
      </c>
      <c r="G15">
        <v>3.8300000000000001E-2</v>
      </c>
      <c r="M15" s="13" t="s">
        <v>20</v>
      </c>
      <c r="N15" s="35"/>
      <c r="O15" s="27"/>
    </row>
    <row r="16" spans="5:17" x14ac:dyDescent="0.3">
      <c r="E16" s="16" t="s">
        <v>21</v>
      </c>
      <c r="F16">
        <v>1.0270999999999999</v>
      </c>
      <c r="G16">
        <v>3.6799999999999999E-2</v>
      </c>
      <c r="M16" s="18" t="s">
        <v>22</v>
      </c>
      <c r="O16" s="30"/>
    </row>
    <row r="17" spans="1:24" x14ac:dyDescent="0.3">
      <c r="E17" s="21" t="s">
        <v>23</v>
      </c>
      <c r="F17">
        <v>1.0642</v>
      </c>
      <c r="G17">
        <v>3.6499999999999998E-2</v>
      </c>
      <c r="M17" s="23" t="s">
        <v>24</v>
      </c>
      <c r="N17" s="36"/>
      <c r="O17" s="28"/>
    </row>
    <row r="18" spans="1:24" x14ac:dyDescent="0.3">
      <c r="E18" s="11" t="s">
        <v>25</v>
      </c>
      <c r="F18">
        <v>2.1677</v>
      </c>
      <c r="G18">
        <v>4.1599999999999998E-2</v>
      </c>
      <c r="I18" s="82" t="s">
        <v>26</v>
      </c>
      <c r="J18" s="84"/>
      <c r="K18" s="83"/>
      <c r="W18" s="37"/>
      <c r="X18" s="37"/>
    </row>
    <row r="19" spans="1:24" ht="15.6" x14ac:dyDescent="0.3">
      <c r="E19" s="16" t="s">
        <v>27</v>
      </c>
      <c r="F19">
        <v>1.1813</v>
      </c>
      <c r="G19">
        <v>3.78E-2</v>
      </c>
      <c r="I19" s="38" t="s">
        <v>28</v>
      </c>
      <c r="J19" s="36"/>
      <c r="K19" s="28"/>
    </row>
    <row r="20" spans="1:24" x14ac:dyDescent="0.3">
      <c r="E20" s="21" t="s">
        <v>29</v>
      </c>
      <c r="F20">
        <v>2.0032999999999999</v>
      </c>
      <c r="G20">
        <v>3.56E-2</v>
      </c>
      <c r="U20" s="37"/>
      <c r="V20" s="37"/>
    </row>
    <row r="21" spans="1:24" x14ac:dyDescent="0.3">
      <c r="E21" s="11" t="s">
        <v>30</v>
      </c>
      <c r="F21">
        <v>3.8005</v>
      </c>
      <c r="G21">
        <v>3.4299999999999997E-2</v>
      </c>
      <c r="U21" s="37"/>
      <c r="V21" s="37"/>
    </row>
    <row r="22" spans="1:24" x14ac:dyDescent="0.3">
      <c r="E22" s="16" t="s">
        <v>31</v>
      </c>
      <c r="F22" s="39" t="s">
        <v>123</v>
      </c>
      <c r="G22">
        <v>3.4799999999999998E-2</v>
      </c>
      <c r="U22" s="37"/>
      <c r="V22" s="37"/>
    </row>
    <row r="23" spans="1:24" x14ac:dyDescent="0.3">
      <c r="E23" s="21" t="s">
        <v>32</v>
      </c>
      <c r="F23">
        <v>3.8132999999999999</v>
      </c>
      <c r="G23">
        <v>3.6700000000000003E-2</v>
      </c>
      <c r="U23" s="37"/>
      <c r="V23" s="37"/>
    </row>
    <row r="24" spans="1:24" x14ac:dyDescent="0.3">
      <c r="E24" s="39"/>
      <c r="V24" s="37"/>
      <c r="W24" s="37"/>
    </row>
    <row r="25" spans="1:24" ht="31.5" customHeight="1" x14ac:dyDescent="0.3">
      <c r="A25" s="85" t="s">
        <v>33</v>
      </c>
      <c r="B25" s="86"/>
      <c r="J25" s="36"/>
      <c r="K25" s="36"/>
      <c r="M25" s="73"/>
      <c r="N25" s="41" t="s">
        <v>34</v>
      </c>
      <c r="O25" s="42" t="s">
        <v>124</v>
      </c>
      <c r="P25" s="75" t="s">
        <v>35</v>
      </c>
      <c r="Q25" s="71" t="s">
        <v>36</v>
      </c>
      <c r="R25" s="75" t="s">
        <v>37</v>
      </c>
      <c r="S25" s="74" t="s">
        <v>37</v>
      </c>
      <c r="T25" s="72" t="s">
        <v>38</v>
      </c>
      <c r="U25" s="6" t="s">
        <v>36</v>
      </c>
      <c r="V25" s="37"/>
    </row>
    <row r="26" spans="1:24" ht="30.75" customHeight="1" x14ac:dyDescent="0.3">
      <c r="A26" s="45" t="s">
        <v>39</v>
      </c>
      <c r="B26" s="1" t="s">
        <v>40</v>
      </c>
      <c r="D26" s="46" t="s">
        <v>38</v>
      </c>
      <c r="E26" s="46" t="s">
        <v>41</v>
      </c>
      <c r="F26" s="47" t="s">
        <v>42</v>
      </c>
      <c r="G26" s="47" t="s">
        <v>5</v>
      </c>
      <c r="H26" s="47" t="s">
        <v>6</v>
      </c>
      <c r="I26" s="48"/>
      <c r="J26" s="49" t="s">
        <v>43</v>
      </c>
      <c r="K26" s="50" t="s">
        <v>44</v>
      </c>
      <c r="M26" s="47" t="s">
        <v>45</v>
      </c>
      <c r="N26" s="51" t="s">
        <v>46</v>
      </c>
      <c r="O26" s="52" t="s">
        <v>47</v>
      </c>
      <c r="P26" s="53" t="s">
        <v>48</v>
      </c>
      <c r="Q26" s="71" t="s">
        <v>49</v>
      </c>
      <c r="R26" s="41" t="s">
        <v>49</v>
      </c>
      <c r="S26" s="74" t="s">
        <v>50</v>
      </c>
      <c r="T26" s="74"/>
      <c r="U26" s="6" t="s">
        <v>49</v>
      </c>
      <c r="V26" s="37"/>
    </row>
    <row r="27" spans="1:24" ht="15" customHeight="1" x14ac:dyDescent="0.3">
      <c r="A27" s="18">
        <v>1</v>
      </c>
      <c r="B27" s="30">
        <v>10</v>
      </c>
      <c r="D27" s="76">
        <f>A27</f>
        <v>1</v>
      </c>
      <c r="E27" s="12" t="s">
        <v>51</v>
      </c>
      <c r="F27" s="12">
        <f>B27</f>
        <v>10</v>
      </c>
      <c r="G27" s="54">
        <v>0.22420000000000001</v>
      </c>
      <c r="H27" s="55">
        <v>0.68049999999999999</v>
      </c>
      <c r="I27" s="56"/>
      <c r="J27" s="57">
        <f t="shared" ref="J27:J90" si="1">G27-$J$14</f>
        <v>0.18510000000000001</v>
      </c>
      <c r="K27" s="58">
        <f t="shared" ref="K27:K90" si="2">H27-$K$14</f>
        <v>0.64336666666666664</v>
      </c>
      <c r="L27" s="56"/>
      <c r="M27" s="59">
        <f>J27-(0.25*K27)</f>
        <v>2.4258333333333354E-2</v>
      </c>
      <c r="N27" s="56">
        <f>M27*70.966</f>
        <v>1.7215168833333347</v>
      </c>
      <c r="O27" s="58">
        <f>N27*2</f>
        <v>3.4430337666666695</v>
      </c>
      <c r="P27" s="56">
        <f>O27/F27</f>
        <v>0.34430337666666694</v>
      </c>
      <c r="Q27" s="57">
        <f>AVERAGE(P27:P29)</f>
        <v>1.3021078233333332</v>
      </c>
      <c r="R27" s="56">
        <f>STDEV(P27:P29)</f>
        <v>0.84693129346375728</v>
      </c>
      <c r="S27" s="58">
        <f>R27/Q27*100</f>
        <v>65.043099986578227</v>
      </c>
      <c r="T27" s="60">
        <f>D27</f>
        <v>1</v>
      </c>
      <c r="U27" s="61">
        <f>Q27</f>
        <v>1.3021078233333332</v>
      </c>
      <c r="V27" s="37"/>
    </row>
    <row r="28" spans="1:24" ht="14.4" customHeight="1" x14ac:dyDescent="0.3">
      <c r="A28" s="18">
        <v>2</v>
      </c>
      <c r="B28" s="30">
        <v>10</v>
      </c>
      <c r="D28" s="77"/>
      <c r="E28" s="17" t="s">
        <v>52</v>
      </c>
      <c r="F28" s="17">
        <f>F27</f>
        <v>10</v>
      </c>
      <c r="G28" s="57">
        <v>0.32040000000000002</v>
      </c>
      <c r="H28" s="58">
        <v>0.61219999999999997</v>
      </c>
      <c r="I28" s="56"/>
      <c r="J28" s="57">
        <f t="shared" si="1"/>
        <v>0.28129999999999999</v>
      </c>
      <c r="K28" s="58">
        <f t="shared" si="2"/>
        <v>0.57506666666666661</v>
      </c>
      <c r="L28" s="56"/>
      <c r="M28" s="62">
        <f t="shared" ref="M28:M91" si="3">J28-(0.25*K28)</f>
        <v>0.13753333333333334</v>
      </c>
      <c r="N28" s="56">
        <f t="shared" ref="N28:N91" si="4">M28*70.966</f>
        <v>9.7601905333333328</v>
      </c>
      <c r="O28" s="58">
        <f t="shared" ref="O28:O91" si="5">N28*2</f>
        <v>19.520381066666666</v>
      </c>
      <c r="P28" s="56">
        <f t="shared" ref="P28:P91" si="6">O28/F28</f>
        <v>1.9520381066666666</v>
      </c>
      <c r="Q28" s="57"/>
      <c r="R28" s="56"/>
      <c r="S28" s="58"/>
      <c r="T28" s="63">
        <f>D30</f>
        <v>2</v>
      </c>
      <c r="U28" s="64">
        <f>Q30</f>
        <v>2.2033760233333326</v>
      </c>
    </row>
    <row r="29" spans="1:24" ht="14.4" customHeight="1" x14ac:dyDescent="0.3">
      <c r="A29" s="18">
        <v>3</v>
      </c>
      <c r="B29" s="30">
        <v>10</v>
      </c>
      <c r="D29" s="78"/>
      <c r="E29" s="22" t="s">
        <v>53</v>
      </c>
      <c r="F29" s="22">
        <f>F27</f>
        <v>10</v>
      </c>
      <c r="G29" s="65">
        <v>0.3019</v>
      </c>
      <c r="H29" s="66">
        <v>0.63460000000000005</v>
      </c>
      <c r="I29" s="56"/>
      <c r="J29" s="57">
        <f t="shared" si="1"/>
        <v>0.26279999999999998</v>
      </c>
      <c r="K29" s="58">
        <f t="shared" si="2"/>
        <v>0.5974666666666667</v>
      </c>
      <c r="L29" s="56"/>
      <c r="M29" s="62">
        <f t="shared" si="3"/>
        <v>0.1134333333333333</v>
      </c>
      <c r="N29" s="56">
        <f t="shared" si="4"/>
        <v>8.0499099333333302</v>
      </c>
      <c r="O29" s="58">
        <f t="shared" si="5"/>
        <v>16.09981986666666</v>
      </c>
      <c r="P29" s="56">
        <f t="shared" si="6"/>
        <v>1.609981986666666</v>
      </c>
      <c r="Q29" s="57"/>
      <c r="R29" s="56"/>
      <c r="S29" s="58"/>
      <c r="T29" s="63">
        <f>D33</f>
        <v>3</v>
      </c>
      <c r="U29" s="64">
        <f>Q33</f>
        <v>2.3020187633333333</v>
      </c>
    </row>
    <row r="30" spans="1:24" ht="14.4" customHeight="1" x14ac:dyDescent="0.3">
      <c r="A30" s="18">
        <v>4</v>
      </c>
      <c r="B30" s="30">
        <v>10</v>
      </c>
      <c r="D30" s="76">
        <f>A28</f>
        <v>2</v>
      </c>
      <c r="E30" s="12" t="s">
        <v>54</v>
      </c>
      <c r="F30" s="12">
        <f>B28</f>
        <v>10</v>
      </c>
      <c r="G30" s="54">
        <v>0.34560000000000002</v>
      </c>
      <c r="H30" s="55">
        <v>0.64859999999999995</v>
      </c>
      <c r="I30" s="56"/>
      <c r="J30" s="57">
        <f t="shared" si="1"/>
        <v>0.30649999999999999</v>
      </c>
      <c r="K30" s="58">
        <f t="shared" si="2"/>
        <v>0.6114666666666666</v>
      </c>
      <c r="L30" s="56"/>
      <c r="M30" s="62">
        <f t="shared" si="3"/>
        <v>0.15363333333333334</v>
      </c>
      <c r="N30" s="56">
        <f t="shared" si="4"/>
        <v>10.902743133333333</v>
      </c>
      <c r="O30" s="58">
        <f t="shared" si="5"/>
        <v>21.805486266666666</v>
      </c>
      <c r="P30" s="56">
        <f t="shared" si="6"/>
        <v>2.1805486266666665</v>
      </c>
      <c r="Q30" s="57">
        <f>AVERAGE(P30:P32)</f>
        <v>2.2033760233333326</v>
      </c>
      <c r="R30" s="56">
        <f>STDEV(P30:P32)</f>
        <v>0.27658772794727965</v>
      </c>
      <c r="S30" s="58">
        <f>R30/Q30*100</f>
        <v>12.55290631368719</v>
      </c>
      <c r="T30" s="63">
        <f>D36</f>
        <v>4</v>
      </c>
      <c r="U30" s="64">
        <f>Q36</f>
        <v>1.6137668399999996</v>
      </c>
    </row>
    <row r="31" spans="1:24" ht="14.4" customHeight="1" x14ac:dyDescent="0.3">
      <c r="A31" s="18">
        <v>5</v>
      </c>
      <c r="B31" s="30">
        <v>10</v>
      </c>
      <c r="D31" s="77"/>
      <c r="E31" s="17" t="s">
        <v>55</v>
      </c>
      <c r="F31" s="17">
        <f t="shared" ref="F31" si="7">F30</f>
        <v>10</v>
      </c>
      <c r="G31" s="57">
        <v>0.32819999999999999</v>
      </c>
      <c r="H31" s="58">
        <v>0.64710000000000001</v>
      </c>
      <c r="I31" s="56"/>
      <c r="J31" s="57">
        <f t="shared" si="1"/>
        <v>0.28909999999999997</v>
      </c>
      <c r="K31" s="58">
        <f t="shared" si="2"/>
        <v>0.60996666666666666</v>
      </c>
      <c r="L31" s="56"/>
      <c r="M31" s="62">
        <f t="shared" si="3"/>
        <v>0.1366083333333333</v>
      </c>
      <c r="N31" s="56">
        <f t="shared" si="4"/>
        <v>9.6945469833333302</v>
      </c>
      <c r="O31" s="58">
        <f t="shared" si="5"/>
        <v>19.38909396666666</v>
      </c>
      <c r="P31" s="56">
        <f t="shared" si="6"/>
        <v>1.938909396666666</v>
      </c>
      <c r="Q31" s="57"/>
      <c r="R31" s="56"/>
      <c r="S31" s="58"/>
      <c r="T31" s="63">
        <f>D39</f>
        <v>5</v>
      </c>
      <c r="U31" s="64">
        <f>Q39</f>
        <v>1.0577482299999996</v>
      </c>
    </row>
    <row r="32" spans="1:24" ht="14.4" customHeight="1" x14ac:dyDescent="0.3">
      <c r="A32" s="18">
        <v>6</v>
      </c>
      <c r="B32" s="30">
        <v>10</v>
      </c>
      <c r="D32" s="78"/>
      <c r="E32" s="22" t="s">
        <v>56</v>
      </c>
      <c r="F32" s="22">
        <f t="shared" ref="F32" si="8">F30</f>
        <v>10</v>
      </c>
      <c r="G32" s="65">
        <v>0.36899999999999999</v>
      </c>
      <c r="H32" s="66">
        <v>0.65480000000000005</v>
      </c>
      <c r="I32" s="56"/>
      <c r="J32" s="57">
        <f t="shared" si="1"/>
        <v>0.32989999999999997</v>
      </c>
      <c r="K32" s="58">
        <f t="shared" si="2"/>
        <v>0.6176666666666667</v>
      </c>
      <c r="L32" s="56"/>
      <c r="M32" s="62">
        <f t="shared" si="3"/>
        <v>0.1754833333333333</v>
      </c>
      <c r="N32" s="56">
        <f t="shared" si="4"/>
        <v>12.45335023333333</v>
      </c>
      <c r="O32" s="58">
        <f t="shared" si="5"/>
        <v>24.90670046666666</v>
      </c>
      <c r="P32" s="56">
        <f t="shared" si="6"/>
        <v>2.4906700466666658</v>
      </c>
      <c r="Q32" s="57"/>
      <c r="R32" s="56"/>
      <c r="S32" s="58"/>
      <c r="T32" s="63">
        <f>D42</f>
        <v>6</v>
      </c>
      <c r="U32" s="64">
        <f>Q42</f>
        <v>1.6788190066666662</v>
      </c>
    </row>
    <row r="33" spans="1:21" ht="14.4" customHeight="1" x14ac:dyDescent="0.3">
      <c r="A33" s="18">
        <v>7</v>
      </c>
      <c r="B33" s="30">
        <v>10</v>
      </c>
      <c r="D33" s="76">
        <f>A29</f>
        <v>3</v>
      </c>
      <c r="E33" s="12" t="s">
        <v>57</v>
      </c>
      <c r="F33" s="12">
        <f>B29</f>
        <v>10</v>
      </c>
      <c r="G33" s="54">
        <v>0.35880000000000001</v>
      </c>
      <c r="H33" s="55">
        <v>0.66449999999999998</v>
      </c>
      <c r="I33" s="56"/>
      <c r="J33" s="57">
        <f t="shared" si="1"/>
        <v>0.31969999999999998</v>
      </c>
      <c r="K33" s="58">
        <f t="shared" si="2"/>
        <v>0.62736666666666663</v>
      </c>
      <c r="L33" s="56"/>
      <c r="M33" s="62">
        <f t="shared" si="3"/>
        <v>0.16285833333333333</v>
      </c>
      <c r="N33" s="56">
        <f t="shared" si="4"/>
        <v>11.557404483333332</v>
      </c>
      <c r="O33" s="58">
        <f t="shared" si="5"/>
        <v>23.114808966666665</v>
      </c>
      <c r="P33" s="56">
        <f t="shared" si="6"/>
        <v>2.3114808966666667</v>
      </c>
      <c r="Q33" s="57">
        <f>AVERAGE(P33:P35)</f>
        <v>2.3020187633333333</v>
      </c>
      <c r="R33" s="56">
        <f>STDEV(P33:P35)</f>
        <v>7.1790039471379699E-2</v>
      </c>
      <c r="S33" s="58">
        <f>R33/Q33*100</f>
        <v>3.1185688238017399</v>
      </c>
      <c r="T33" s="63">
        <f>D45</f>
        <v>7</v>
      </c>
      <c r="U33" s="64">
        <f>Q45</f>
        <v>2.2822665600000001</v>
      </c>
    </row>
    <row r="34" spans="1:21" ht="14.4" customHeight="1" x14ac:dyDescent="0.3">
      <c r="A34" s="18">
        <v>8</v>
      </c>
      <c r="B34" s="30">
        <v>10</v>
      </c>
      <c r="D34" s="77"/>
      <c r="E34" s="17" t="s">
        <v>58</v>
      </c>
      <c r="F34" s="17">
        <f t="shared" ref="F34" si="9">F33</f>
        <v>10</v>
      </c>
      <c r="G34" s="57">
        <v>0.36130000000000001</v>
      </c>
      <c r="H34" s="58">
        <v>0.65839999999999999</v>
      </c>
      <c r="I34" s="56"/>
      <c r="J34" s="57">
        <f t="shared" si="1"/>
        <v>0.32219999999999999</v>
      </c>
      <c r="K34" s="58">
        <f t="shared" si="2"/>
        <v>0.62126666666666663</v>
      </c>
      <c r="L34" s="56"/>
      <c r="M34" s="62">
        <f t="shared" si="3"/>
        <v>0.16688333333333333</v>
      </c>
      <c r="N34" s="56">
        <f t="shared" si="4"/>
        <v>11.843042633333331</v>
      </c>
      <c r="O34" s="58">
        <f t="shared" si="5"/>
        <v>23.686085266666662</v>
      </c>
      <c r="P34" s="56">
        <f t="shared" si="6"/>
        <v>2.3686085266666663</v>
      </c>
      <c r="Q34" s="57"/>
      <c r="R34" s="56"/>
      <c r="S34" s="58"/>
      <c r="T34" s="63">
        <f>D48</f>
        <v>8</v>
      </c>
      <c r="U34" s="64">
        <f>Q48</f>
        <v>2.1300444899999995</v>
      </c>
    </row>
    <row r="35" spans="1:21" ht="14.4" customHeight="1" x14ac:dyDescent="0.3">
      <c r="A35" s="18">
        <v>9</v>
      </c>
      <c r="B35" s="30">
        <v>10</v>
      </c>
      <c r="D35" s="78"/>
      <c r="E35" s="22" t="s">
        <v>59</v>
      </c>
      <c r="F35" s="22">
        <f t="shared" ref="F35" si="10">F33</f>
        <v>10</v>
      </c>
      <c r="G35" s="65">
        <v>0.35639999999999999</v>
      </c>
      <c r="H35" s="66">
        <v>0.67900000000000005</v>
      </c>
      <c r="I35" s="56"/>
      <c r="J35" s="57">
        <f t="shared" si="1"/>
        <v>0.31729999999999997</v>
      </c>
      <c r="K35" s="58">
        <f t="shared" si="2"/>
        <v>0.6418666666666667</v>
      </c>
      <c r="L35" s="56"/>
      <c r="M35" s="62">
        <f t="shared" si="3"/>
        <v>0.1568333333333333</v>
      </c>
      <c r="N35" s="56">
        <f t="shared" si="4"/>
        <v>11.12983433333333</v>
      </c>
      <c r="O35" s="58">
        <f t="shared" si="5"/>
        <v>22.259668666666659</v>
      </c>
      <c r="P35" s="56">
        <f t="shared" si="6"/>
        <v>2.2259668666666661</v>
      </c>
      <c r="Q35" s="57"/>
      <c r="R35" s="56"/>
      <c r="S35" s="58"/>
      <c r="T35" s="63">
        <f>D51</f>
        <v>9</v>
      </c>
      <c r="U35" s="64">
        <f>Q51</f>
        <v>1.9344148833333328</v>
      </c>
    </row>
    <row r="36" spans="1:21" ht="14.4" customHeight="1" x14ac:dyDescent="0.3">
      <c r="A36" s="18">
        <v>10</v>
      </c>
      <c r="B36" s="30">
        <v>10</v>
      </c>
      <c r="D36" s="76">
        <f>A30</f>
        <v>4</v>
      </c>
      <c r="E36" s="12" t="s">
        <v>60</v>
      </c>
      <c r="F36" s="12">
        <f>B30</f>
        <v>10</v>
      </c>
      <c r="G36" s="54">
        <v>0.28100000000000003</v>
      </c>
      <c r="H36" s="55">
        <v>0.62529999999999997</v>
      </c>
      <c r="I36" s="56"/>
      <c r="J36" s="57">
        <f t="shared" si="1"/>
        <v>0.24190000000000003</v>
      </c>
      <c r="K36" s="58">
        <f t="shared" si="2"/>
        <v>0.58816666666666662</v>
      </c>
      <c r="L36" s="56"/>
      <c r="M36" s="62">
        <f t="shared" si="3"/>
        <v>9.4858333333333378E-2</v>
      </c>
      <c r="N36" s="56">
        <f t="shared" si="4"/>
        <v>6.7317164833333356</v>
      </c>
      <c r="O36" s="58">
        <f t="shared" si="5"/>
        <v>13.463432966666671</v>
      </c>
      <c r="P36" s="56">
        <f t="shared" si="6"/>
        <v>1.3463432966666671</v>
      </c>
      <c r="Q36" s="57">
        <f>AVERAGE(P36:P38)</f>
        <v>1.6137668399999996</v>
      </c>
      <c r="R36" s="56">
        <f>STDEV(P36:P38)</f>
        <v>0.27724017868083684</v>
      </c>
      <c r="S36" s="58">
        <f>R36/Q36*100</f>
        <v>17.179692369985549</v>
      </c>
      <c r="T36" s="63">
        <f>D54</f>
        <v>10</v>
      </c>
      <c r="U36" s="64">
        <f>Q54</f>
        <v>1.6266589966666665</v>
      </c>
    </row>
    <row r="37" spans="1:21" ht="14.4" customHeight="1" x14ac:dyDescent="0.3">
      <c r="A37" s="18">
        <v>11</v>
      </c>
      <c r="B37" s="30">
        <v>10</v>
      </c>
      <c r="D37" s="77"/>
      <c r="E37" s="17" t="s">
        <v>61</v>
      </c>
      <c r="F37" s="17">
        <f t="shared" ref="F37" si="11">F36</f>
        <v>10</v>
      </c>
      <c r="G37" s="57">
        <v>0.29089999999999999</v>
      </c>
      <c r="H37" s="58">
        <v>0.5948</v>
      </c>
      <c r="I37" s="56"/>
      <c r="J37" s="57">
        <f t="shared" si="1"/>
        <v>0.25179999999999997</v>
      </c>
      <c r="K37" s="58">
        <f t="shared" si="2"/>
        <v>0.55766666666666664</v>
      </c>
      <c r="L37" s="56"/>
      <c r="M37" s="62">
        <f t="shared" si="3"/>
        <v>0.11238333333333331</v>
      </c>
      <c r="N37" s="56">
        <f t="shared" si="4"/>
        <v>7.9753956333333305</v>
      </c>
      <c r="O37" s="58">
        <f t="shared" si="5"/>
        <v>15.950791266666661</v>
      </c>
      <c r="P37" s="56">
        <f t="shared" si="6"/>
        <v>1.5950791266666662</v>
      </c>
      <c r="Q37" s="57"/>
      <c r="R37" s="56"/>
      <c r="S37" s="58"/>
      <c r="T37" s="63">
        <f>D57</f>
        <v>11</v>
      </c>
      <c r="U37" s="64">
        <f>Q57</f>
        <v>0.13483539999999991</v>
      </c>
    </row>
    <row r="38" spans="1:21" ht="14.4" customHeight="1" x14ac:dyDescent="0.3">
      <c r="A38" s="18">
        <v>12</v>
      </c>
      <c r="B38" s="30">
        <v>10</v>
      </c>
      <c r="D38" s="78"/>
      <c r="E38" s="22" t="s">
        <v>62</v>
      </c>
      <c r="F38" s="22">
        <f t="shared" ref="F38" si="12">F36</f>
        <v>10</v>
      </c>
      <c r="G38" s="65">
        <v>0.31359999999999999</v>
      </c>
      <c r="H38" s="66">
        <v>0.59970000000000001</v>
      </c>
      <c r="I38" s="56"/>
      <c r="J38" s="57">
        <f t="shared" si="1"/>
        <v>0.27449999999999997</v>
      </c>
      <c r="K38" s="58">
        <f t="shared" si="2"/>
        <v>0.56256666666666666</v>
      </c>
      <c r="L38" s="56"/>
      <c r="M38" s="62">
        <f t="shared" si="3"/>
        <v>0.1338583333333333</v>
      </c>
      <c r="N38" s="56">
        <f t="shared" si="4"/>
        <v>9.4993904833333307</v>
      </c>
      <c r="O38" s="58">
        <f t="shared" si="5"/>
        <v>18.998780966666661</v>
      </c>
      <c r="P38" s="56">
        <f t="shared" si="6"/>
        <v>1.8998780966666662</v>
      </c>
      <c r="Q38" s="57"/>
      <c r="R38" s="56"/>
      <c r="S38" s="58"/>
      <c r="T38" s="63">
        <f>D60</f>
        <v>12</v>
      </c>
      <c r="U38" s="64">
        <f>Q60</f>
        <v>0.13010433333333329</v>
      </c>
    </row>
    <row r="39" spans="1:21" ht="14.4" customHeight="1" x14ac:dyDescent="0.3">
      <c r="A39" s="18">
        <v>13</v>
      </c>
      <c r="B39" s="30">
        <v>10</v>
      </c>
      <c r="D39" s="76">
        <f>A31</f>
        <v>5</v>
      </c>
      <c r="E39" s="12" t="s">
        <v>63</v>
      </c>
      <c r="F39" s="12">
        <f>B31</f>
        <v>10</v>
      </c>
      <c r="G39" s="54">
        <v>0.29799999999999999</v>
      </c>
      <c r="H39" s="55">
        <v>0.61119999999999997</v>
      </c>
      <c r="I39" s="56"/>
      <c r="J39" s="57">
        <f t="shared" si="1"/>
        <v>0.25889999999999996</v>
      </c>
      <c r="K39" s="58">
        <f t="shared" si="2"/>
        <v>0.57406666666666661</v>
      </c>
      <c r="L39" s="56"/>
      <c r="M39" s="62">
        <f t="shared" si="3"/>
        <v>0.11538333333333331</v>
      </c>
      <c r="N39" s="56">
        <f t="shared" si="4"/>
        <v>8.1882936333333305</v>
      </c>
      <c r="O39" s="58">
        <f t="shared" si="5"/>
        <v>16.376587266666661</v>
      </c>
      <c r="P39" s="56">
        <f t="shared" si="6"/>
        <v>1.637658726666666</v>
      </c>
      <c r="Q39" s="57">
        <f>AVERAGE(P39:P41)</f>
        <v>1.0577482299999996</v>
      </c>
      <c r="R39" s="56">
        <f>STDEV(P39:P41)</f>
        <v>0.90050138045091344</v>
      </c>
      <c r="S39" s="58">
        <f>R39/Q39*100</f>
        <v>85.133811138678411</v>
      </c>
      <c r="T39" s="63">
        <f>D63</f>
        <v>13</v>
      </c>
      <c r="U39" s="64">
        <f>Q63</f>
        <v>1.5554564433333331</v>
      </c>
    </row>
    <row r="40" spans="1:21" ht="14.4" customHeight="1" x14ac:dyDescent="0.3">
      <c r="A40" s="18">
        <v>14</v>
      </c>
      <c r="B40" s="30">
        <v>10</v>
      </c>
      <c r="D40" s="77"/>
      <c r="E40" s="17" t="s">
        <v>64</v>
      </c>
      <c r="F40" s="17">
        <f t="shared" ref="F40" si="13">F39</f>
        <v>10</v>
      </c>
      <c r="G40" s="57">
        <v>0.20399999999999999</v>
      </c>
      <c r="H40" s="58">
        <v>0.69099999999999995</v>
      </c>
      <c r="I40" s="56"/>
      <c r="J40" s="57">
        <f t="shared" si="1"/>
        <v>0.16489999999999999</v>
      </c>
      <c r="K40" s="58">
        <f t="shared" si="2"/>
        <v>0.6538666666666666</v>
      </c>
      <c r="L40" s="56"/>
      <c r="M40" s="62">
        <f t="shared" si="3"/>
        <v>1.433333333333342E-3</v>
      </c>
      <c r="N40" s="56">
        <f t="shared" si="4"/>
        <v>0.10171793333333394</v>
      </c>
      <c r="O40" s="58">
        <f t="shared" si="5"/>
        <v>0.20343586666666788</v>
      </c>
      <c r="P40" s="56">
        <f t="shared" si="6"/>
        <v>2.0343586666666788E-2</v>
      </c>
      <c r="Q40" s="57"/>
      <c r="R40" s="56"/>
      <c r="S40" s="58"/>
      <c r="T40" s="63">
        <f>D66</f>
        <v>14</v>
      </c>
      <c r="U40" s="64">
        <f>Q66</f>
        <v>2.29894357</v>
      </c>
    </row>
    <row r="41" spans="1:21" ht="14.4" customHeight="1" x14ac:dyDescent="0.3">
      <c r="A41" s="18">
        <v>15</v>
      </c>
      <c r="B41" s="30">
        <v>10</v>
      </c>
      <c r="D41" s="78"/>
      <c r="E41" s="22" t="s">
        <v>65</v>
      </c>
      <c r="F41" s="22">
        <f t="shared" ref="F41" si="14">F39</f>
        <v>10</v>
      </c>
      <c r="G41" s="65">
        <v>0.28799999999999998</v>
      </c>
      <c r="H41" s="66">
        <v>0.60570000000000002</v>
      </c>
      <c r="I41" s="56"/>
      <c r="J41" s="57">
        <f t="shared" si="1"/>
        <v>0.24889999999999998</v>
      </c>
      <c r="K41" s="58">
        <f t="shared" si="2"/>
        <v>0.56856666666666666</v>
      </c>
      <c r="L41" s="56"/>
      <c r="M41" s="62">
        <f t="shared" si="3"/>
        <v>0.10675833333333332</v>
      </c>
      <c r="N41" s="56">
        <f t="shared" si="4"/>
        <v>7.5762118833333316</v>
      </c>
      <c r="O41" s="58">
        <f t="shared" si="5"/>
        <v>15.152423766666663</v>
      </c>
      <c r="P41" s="56">
        <f t="shared" si="6"/>
        <v>1.5152423766666663</v>
      </c>
      <c r="Q41" s="57"/>
      <c r="R41" s="56"/>
      <c r="S41" s="58"/>
      <c r="T41" s="63">
        <f>D69</f>
        <v>15</v>
      </c>
      <c r="U41" s="64">
        <f>Q69</f>
        <v>2.3113626199999993</v>
      </c>
    </row>
    <row r="42" spans="1:21" ht="14.4" customHeight="1" x14ac:dyDescent="0.3">
      <c r="A42" s="18">
        <v>16</v>
      </c>
      <c r="B42" s="30">
        <v>10</v>
      </c>
      <c r="D42" s="76">
        <f>A32</f>
        <v>6</v>
      </c>
      <c r="E42" s="12" t="s">
        <v>66</v>
      </c>
      <c r="F42" s="12">
        <f>B32</f>
        <v>10</v>
      </c>
      <c r="G42" s="54">
        <v>0.33489999999999998</v>
      </c>
      <c r="H42" s="55">
        <v>0.79159999999999997</v>
      </c>
      <c r="I42" s="56"/>
      <c r="J42" s="57">
        <f t="shared" si="1"/>
        <v>0.29579999999999995</v>
      </c>
      <c r="K42" s="58">
        <f t="shared" si="2"/>
        <v>0.75446666666666662</v>
      </c>
      <c r="L42" s="56"/>
      <c r="M42" s="62">
        <f t="shared" si="3"/>
        <v>0.1071833333333333</v>
      </c>
      <c r="N42" s="56">
        <f t="shared" si="4"/>
        <v>7.6063724333333305</v>
      </c>
      <c r="O42" s="58">
        <f t="shared" si="5"/>
        <v>15.212744866666661</v>
      </c>
      <c r="P42" s="56">
        <f t="shared" si="6"/>
        <v>1.5212744866666661</v>
      </c>
      <c r="Q42" s="57">
        <f>AVERAGE(P42:P44)</f>
        <v>1.6788190066666662</v>
      </c>
      <c r="R42" s="56">
        <f>STDEV(P42:P44)</f>
        <v>0.6426981241977695</v>
      </c>
      <c r="S42" s="58">
        <f>R42/Q42*100</f>
        <v>38.28275243761157</v>
      </c>
      <c r="T42" s="63">
        <f>D72</f>
        <v>16</v>
      </c>
      <c r="U42" s="64">
        <f>Q72</f>
        <v>1.9332321166666666</v>
      </c>
    </row>
    <row r="43" spans="1:21" ht="14.4" customHeight="1" x14ac:dyDescent="0.3">
      <c r="A43" s="18">
        <v>17</v>
      </c>
      <c r="B43" s="30">
        <v>10</v>
      </c>
      <c r="D43" s="77"/>
      <c r="E43" s="17" t="s">
        <v>67</v>
      </c>
      <c r="F43" s="17">
        <f t="shared" ref="F43" si="15">F42</f>
        <v>10</v>
      </c>
      <c r="G43" s="57">
        <v>0.38379999999999997</v>
      </c>
      <c r="H43" s="58">
        <v>0.74360000000000004</v>
      </c>
      <c r="I43" s="56"/>
      <c r="J43" s="57">
        <f t="shared" si="1"/>
        <v>0.34469999999999995</v>
      </c>
      <c r="K43" s="58">
        <f t="shared" si="2"/>
        <v>0.70646666666666669</v>
      </c>
      <c r="L43" s="56"/>
      <c r="M43" s="62">
        <f t="shared" si="3"/>
        <v>0.16808333333333328</v>
      </c>
      <c r="N43" s="56">
        <f t="shared" si="4"/>
        <v>11.928201833333329</v>
      </c>
      <c r="O43" s="58">
        <f t="shared" si="5"/>
        <v>23.856403666666658</v>
      </c>
      <c r="P43" s="56">
        <f t="shared" si="6"/>
        <v>2.3856403666666659</v>
      </c>
      <c r="Q43" s="57"/>
      <c r="R43" s="56"/>
      <c r="S43" s="58"/>
      <c r="T43" s="63">
        <f>D75</f>
        <v>17</v>
      </c>
      <c r="U43" s="64">
        <f>Q75</f>
        <v>1.6459380933333332</v>
      </c>
    </row>
    <row r="44" spans="1:21" ht="14.4" customHeight="1" x14ac:dyDescent="0.3">
      <c r="A44" s="18">
        <v>18</v>
      </c>
      <c r="B44" s="30">
        <v>10</v>
      </c>
      <c r="D44" s="78"/>
      <c r="E44" s="22" t="s">
        <v>68</v>
      </c>
      <c r="F44" s="22">
        <f t="shared" ref="F44" si="16">F42</f>
        <v>10</v>
      </c>
      <c r="G44" s="65">
        <v>0.30120000000000002</v>
      </c>
      <c r="H44" s="66">
        <v>0.76719999999999999</v>
      </c>
      <c r="I44" s="56"/>
      <c r="J44" s="57">
        <f t="shared" si="1"/>
        <v>0.2621</v>
      </c>
      <c r="K44" s="58">
        <f t="shared" si="2"/>
        <v>0.73006666666666664</v>
      </c>
      <c r="L44" s="56"/>
      <c r="M44" s="62">
        <f t="shared" si="3"/>
        <v>7.9583333333333339E-2</v>
      </c>
      <c r="N44" s="56">
        <f t="shared" si="4"/>
        <v>5.647710833333333</v>
      </c>
      <c r="O44" s="58">
        <f t="shared" si="5"/>
        <v>11.295421666666666</v>
      </c>
      <c r="P44" s="56">
        <f t="shared" si="6"/>
        <v>1.1295421666666665</v>
      </c>
      <c r="Q44" s="57"/>
      <c r="R44" s="56"/>
      <c r="S44" s="58"/>
      <c r="T44" s="63">
        <f>D78</f>
        <v>18</v>
      </c>
      <c r="U44" s="64">
        <f>Q78</f>
        <v>2.3638774599999999</v>
      </c>
    </row>
    <row r="45" spans="1:21" ht="14.4" customHeight="1" x14ac:dyDescent="0.3">
      <c r="A45" s="18">
        <v>19</v>
      </c>
      <c r="B45" s="30">
        <v>10</v>
      </c>
      <c r="D45" s="76">
        <f>A33</f>
        <v>7</v>
      </c>
      <c r="E45" s="12" t="s">
        <v>69</v>
      </c>
      <c r="F45" s="12">
        <f>B33</f>
        <v>10</v>
      </c>
      <c r="G45" s="54">
        <v>0.38040000000000002</v>
      </c>
      <c r="H45" s="55">
        <v>0.68089999999999995</v>
      </c>
      <c r="I45" s="56"/>
      <c r="J45" s="57">
        <f t="shared" si="1"/>
        <v>0.34129999999999999</v>
      </c>
      <c r="K45" s="58">
        <f t="shared" si="2"/>
        <v>0.6437666666666666</v>
      </c>
      <c r="L45" s="56"/>
      <c r="M45" s="62">
        <f t="shared" si="3"/>
        <v>0.18035833333333334</v>
      </c>
      <c r="N45" s="56">
        <f t="shared" si="4"/>
        <v>12.799309483333333</v>
      </c>
      <c r="O45" s="58">
        <f t="shared" si="5"/>
        <v>25.598618966666667</v>
      </c>
      <c r="P45" s="56">
        <f t="shared" si="6"/>
        <v>2.5598618966666669</v>
      </c>
      <c r="Q45" s="57">
        <f>AVERAGE(P45:P47)</f>
        <v>2.2822665600000001</v>
      </c>
      <c r="R45" s="56">
        <f>STDEV(P45:P47)</f>
        <v>0.28145654490293848</v>
      </c>
      <c r="S45" s="58">
        <f>R45/Q45*100</f>
        <v>12.33232567290205</v>
      </c>
      <c r="T45" s="63">
        <f>D81</f>
        <v>19</v>
      </c>
      <c r="U45" s="64">
        <f>Q81</f>
        <v>2.3990056299999996</v>
      </c>
    </row>
    <row r="46" spans="1:21" ht="14.4" customHeight="1" x14ac:dyDescent="0.3">
      <c r="A46" s="18">
        <v>20</v>
      </c>
      <c r="B46" s="30">
        <v>10</v>
      </c>
      <c r="D46" s="77"/>
      <c r="E46" s="17" t="s">
        <v>70</v>
      </c>
      <c r="F46" s="17">
        <f t="shared" ref="F46" si="17">F45</f>
        <v>10</v>
      </c>
      <c r="G46" s="57">
        <v>0.3468</v>
      </c>
      <c r="H46" s="58">
        <v>0.70509999999999995</v>
      </c>
      <c r="I46" s="56"/>
      <c r="J46" s="57">
        <f t="shared" si="1"/>
        <v>0.30769999999999997</v>
      </c>
      <c r="K46" s="58">
        <f t="shared" si="2"/>
        <v>0.6679666666666666</v>
      </c>
      <c r="L46" s="56"/>
      <c r="M46" s="62">
        <f t="shared" si="3"/>
        <v>0.14070833333333332</v>
      </c>
      <c r="N46" s="56">
        <f t="shared" si="4"/>
        <v>9.985507583333332</v>
      </c>
      <c r="O46" s="58">
        <f t="shared" si="5"/>
        <v>19.971015166666664</v>
      </c>
      <c r="P46" s="56">
        <f t="shared" si="6"/>
        <v>1.9971015166666664</v>
      </c>
      <c r="Q46" s="57"/>
      <c r="R46" s="56"/>
      <c r="S46" s="58"/>
      <c r="T46" s="63">
        <f>D84</f>
        <v>20</v>
      </c>
      <c r="U46" s="64">
        <f>Q84</f>
        <v>1.8289120966666665</v>
      </c>
    </row>
    <row r="47" spans="1:21" ht="14.4" customHeight="1" x14ac:dyDescent="0.3">
      <c r="A47" s="18">
        <v>21</v>
      </c>
      <c r="B47" s="30">
        <v>10</v>
      </c>
      <c r="D47" s="78"/>
      <c r="E47" s="22" t="s">
        <v>71</v>
      </c>
      <c r="F47" s="22">
        <f t="shared" ref="F47" si="18">F45</f>
        <v>10</v>
      </c>
      <c r="G47" s="65">
        <v>0.36020000000000002</v>
      </c>
      <c r="H47" s="66">
        <v>0.67620000000000002</v>
      </c>
      <c r="I47" s="56"/>
      <c r="J47" s="57">
        <f t="shared" si="1"/>
        <v>0.3211</v>
      </c>
      <c r="K47" s="58">
        <f t="shared" si="2"/>
        <v>0.63906666666666667</v>
      </c>
      <c r="L47" s="56"/>
      <c r="M47" s="62">
        <f t="shared" si="3"/>
        <v>0.16133333333333333</v>
      </c>
      <c r="N47" s="56">
        <f t="shared" si="4"/>
        <v>11.449181333333332</v>
      </c>
      <c r="O47" s="58">
        <f t="shared" si="5"/>
        <v>22.898362666666664</v>
      </c>
      <c r="P47" s="56">
        <f t="shared" si="6"/>
        <v>2.2898362666666663</v>
      </c>
      <c r="Q47" s="57"/>
      <c r="R47" s="56"/>
      <c r="S47" s="58"/>
      <c r="T47" s="63">
        <f>D87</f>
        <v>21</v>
      </c>
      <c r="U47" s="64">
        <f>Q87</f>
        <v>0.99565297999999969</v>
      </c>
    </row>
    <row r="48" spans="1:21" ht="14.4" customHeight="1" x14ac:dyDescent="0.3">
      <c r="A48" s="18">
        <v>22</v>
      </c>
      <c r="B48" s="30">
        <v>10</v>
      </c>
      <c r="D48" s="76">
        <f>A34</f>
        <v>8</v>
      </c>
      <c r="E48" s="12" t="s">
        <v>72</v>
      </c>
      <c r="F48" s="12">
        <f>B34</f>
        <v>10</v>
      </c>
      <c r="G48" s="54">
        <v>0.38429999999999997</v>
      </c>
      <c r="H48" s="55">
        <v>0.72040000000000004</v>
      </c>
      <c r="I48" s="56"/>
      <c r="J48" s="57">
        <f t="shared" si="1"/>
        <v>0.34519999999999995</v>
      </c>
      <c r="K48" s="58">
        <f t="shared" si="2"/>
        <v>0.68326666666666669</v>
      </c>
      <c r="L48" s="56"/>
      <c r="M48" s="62">
        <f t="shared" si="3"/>
        <v>0.17438333333333328</v>
      </c>
      <c r="N48" s="56">
        <f t="shared" si="4"/>
        <v>12.375287633333329</v>
      </c>
      <c r="O48" s="58">
        <f t="shared" si="5"/>
        <v>24.750575266666658</v>
      </c>
      <c r="P48" s="56">
        <f t="shared" si="6"/>
        <v>2.4750575266666659</v>
      </c>
      <c r="Q48" s="57">
        <f>AVERAGE(P48:P50)</f>
        <v>2.1300444899999995</v>
      </c>
      <c r="R48" s="56">
        <f>STDEV(P48:P50)</f>
        <v>0.34560593792103367</v>
      </c>
      <c r="S48" s="58">
        <f>R48/Q48*100</f>
        <v>16.225291985381666</v>
      </c>
      <c r="T48" s="63">
        <f>D90</f>
        <v>22</v>
      </c>
      <c r="U48" s="64">
        <f>Q90</f>
        <v>2.1272058499999993</v>
      </c>
    </row>
    <row r="49" spans="1:22" ht="14.4" customHeight="1" x14ac:dyDescent="0.3">
      <c r="A49" s="18">
        <v>23</v>
      </c>
      <c r="B49" s="30">
        <v>10</v>
      </c>
      <c r="D49" s="77"/>
      <c r="E49" s="17" t="s">
        <v>73</v>
      </c>
      <c r="F49" s="17">
        <f t="shared" ref="F49" si="19">F48</f>
        <v>10</v>
      </c>
      <c r="G49" s="57">
        <v>0.3412</v>
      </c>
      <c r="H49" s="58">
        <v>0.74280000000000002</v>
      </c>
      <c r="I49" s="56"/>
      <c r="J49" s="57">
        <f t="shared" si="1"/>
        <v>0.30209999999999998</v>
      </c>
      <c r="K49" s="58">
        <f t="shared" si="2"/>
        <v>0.70566666666666666</v>
      </c>
      <c r="L49" s="56"/>
      <c r="M49" s="62">
        <f t="shared" si="3"/>
        <v>0.12568333333333331</v>
      </c>
      <c r="N49" s="56">
        <f t="shared" si="4"/>
        <v>8.9192434333333317</v>
      </c>
      <c r="O49" s="58">
        <f t="shared" si="5"/>
        <v>17.838486866666663</v>
      </c>
      <c r="P49" s="56">
        <f t="shared" si="6"/>
        <v>1.7838486866666663</v>
      </c>
      <c r="Q49" s="57"/>
      <c r="R49" s="56"/>
      <c r="S49" s="58"/>
      <c r="T49" s="63">
        <f>D93</f>
        <v>23</v>
      </c>
      <c r="U49" s="64">
        <f>Q93</f>
        <v>2.2039674066666661</v>
      </c>
    </row>
    <row r="50" spans="1:22" ht="14.4" customHeight="1" x14ac:dyDescent="0.3">
      <c r="A50" s="23">
        <v>24</v>
      </c>
      <c r="B50" s="30">
        <v>10</v>
      </c>
      <c r="D50" s="78"/>
      <c r="E50" s="22" t="s">
        <v>74</v>
      </c>
      <c r="F50" s="22">
        <f t="shared" ref="F50" si="20">F48</f>
        <v>10</v>
      </c>
      <c r="G50" s="65">
        <v>0.35870000000000002</v>
      </c>
      <c r="H50" s="66">
        <v>0.71489999999999998</v>
      </c>
      <c r="I50" s="56"/>
      <c r="J50" s="57">
        <f t="shared" si="1"/>
        <v>0.3196</v>
      </c>
      <c r="K50" s="58">
        <f t="shared" si="2"/>
        <v>0.67776666666666663</v>
      </c>
      <c r="L50" s="56"/>
      <c r="M50" s="62">
        <f t="shared" si="3"/>
        <v>0.15015833333333334</v>
      </c>
      <c r="N50" s="56">
        <f t="shared" si="4"/>
        <v>10.656136283333332</v>
      </c>
      <c r="O50" s="58">
        <f t="shared" si="5"/>
        <v>21.312272566666664</v>
      </c>
      <c r="P50" s="56">
        <f t="shared" si="6"/>
        <v>2.1312272566666666</v>
      </c>
      <c r="Q50" s="57"/>
      <c r="R50" s="56"/>
      <c r="S50" s="58"/>
      <c r="T50" s="67">
        <f>D96</f>
        <v>24</v>
      </c>
      <c r="U50" s="68">
        <f>Q96</f>
        <v>2.1721509833333328</v>
      </c>
    </row>
    <row r="51" spans="1:22" ht="14.4" customHeight="1" x14ac:dyDescent="0.3">
      <c r="D51" s="76">
        <f>A35</f>
        <v>9</v>
      </c>
      <c r="E51" s="12" t="s">
        <v>75</v>
      </c>
      <c r="F51" s="12">
        <f>B35</f>
        <v>10</v>
      </c>
      <c r="G51" s="54">
        <v>0.36849999999999999</v>
      </c>
      <c r="H51" s="55">
        <v>0.69530000000000003</v>
      </c>
      <c r="I51" s="56"/>
      <c r="J51" s="57">
        <f t="shared" si="1"/>
        <v>0.32939999999999997</v>
      </c>
      <c r="K51" s="58">
        <f t="shared" si="2"/>
        <v>0.65816666666666668</v>
      </c>
      <c r="L51" s="56"/>
      <c r="M51" s="62">
        <f t="shared" si="3"/>
        <v>0.1648583333333333</v>
      </c>
      <c r="N51" s="56">
        <f t="shared" si="4"/>
        <v>11.69933648333333</v>
      </c>
      <c r="O51" s="58">
        <f t="shared" si="5"/>
        <v>23.398672966666659</v>
      </c>
      <c r="P51" s="56">
        <f t="shared" si="6"/>
        <v>2.3398672966666658</v>
      </c>
      <c r="Q51" s="57">
        <f>AVERAGE(P51:P53)</f>
        <v>1.9344148833333328</v>
      </c>
      <c r="R51" s="56">
        <f>STDEV(P51:P53)</f>
        <v>0.71582758465350282</v>
      </c>
      <c r="S51" s="58">
        <f>R51/Q51*100</f>
        <v>37.004863373466584</v>
      </c>
      <c r="T51" s="56"/>
      <c r="U51" s="56"/>
      <c r="V51" s="56"/>
    </row>
    <row r="52" spans="1:22" ht="14.4" customHeight="1" x14ac:dyDescent="0.3">
      <c r="D52" s="77"/>
      <c r="E52" s="17" t="s">
        <v>76</v>
      </c>
      <c r="F52" s="17">
        <f t="shared" ref="F52" si="21">F51</f>
        <v>10</v>
      </c>
      <c r="G52" s="57">
        <v>0.36259999999999998</v>
      </c>
      <c r="H52" s="58">
        <v>0.6673</v>
      </c>
      <c r="I52" s="56"/>
      <c r="J52" s="57">
        <f t="shared" si="1"/>
        <v>0.32349999999999995</v>
      </c>
      <c r="K52" s="58">
        <f t="shared" si="2"/>
        <v>0.63016666666666665</v>
      </c>
      <c r="L52" s="56"/>
      <c r="M52" s="62">
        <f t="shared" si="3"/>
        <v>0.16595833333333329</v>
      </c>
      <c r="N52" s="56">
        <f t="shared" si="4"/>
        <v>11.777399083333329</v>
      </c>
      <c r="O52" s="58">
        <f t="shared" si="5"/>
        <v>23.554798166666657</v>
      </c>
      <c r="P52" s="56">
        <f t="shared" si="6"/>
        <v>2.3554798166666657</v>
      </c>
      <c r="Q52" s="57"/>
      <c r="R52" s="56"/>
      <c r="S52" s="58"/>
      <c r="T52" s="56"/>
    </row>
    <row r="53" spans="1:22" ht="14.4" customHeight="1" x14ac:dyDescent="0.3">
      <c r="D53" s="78"/>
      <c r="E53" s="22" t="s">
        <v>77</v>
      </c>
      <c r="F53" s="22">
        <f t="shared" ref="F53" si="22">F51</f>
        <v>10</v>
      </c>
      <c r="G53" s="65">
        <v>0.2828</v>
      </c>
      <c r="H53" s="66">
        <v>0.69969999999999999</v>
      </c>
      <c r="I53" s="56"/>
      <c r="J53" s="57">
        <f t="shared" si="1"/>
        <v>0.2437</v>
      </c>
      <c r="K53" s="58">
        <f t="shared" si="2"/>
        <v>0.66256666666666664</v>
      </c>
      <c r="L53" s="56"/>
      <c r="M53" s="62">
        <f t="shared" si="3"/>
        <v>7.8058333333333341E-2</v>
      </c>
      <c r="N53" s="56">
        <f t="shared" si="4"/>
        <v>5.5394876833333333</v>
      </c>
      <c r="O53" s="58">
        <f t="shared" si="5"/>
        <v>11.078975366666667</v>
      </c>
      <c r="P53" s="56">
        <f t="shared" si="6"/>
        <v>1.1078975366666666</v>
      </c>
      <c r="Q53" s="57"/>
      <c r="R53" s="56"/>
      <c r="S53" s="58"/>
      <c r="T53" s="56"/>
    </row>
    <row r="54" spans="1:22" ht="14.4" customHeight="1" x14ac:dyDescent="0.3">
      <c r="D54" s="76">
        <f>A36</f>
        <v>10</v>
      </c>
      <c r="E54" s="12" t="s">
        <v>78</v>
      </c>
      <c r="F54" s="12">
        <f>B36</f>
        <v>10</v>
      </c>
      <c r="G54" s="54">
        <v>0.31690000000000002</v>
      </c>
      <c r="H54" s="55">
        <v>0.77539999999999998</v>
      </c>
      <c r="I54" s="56"/>
      <c r="J54" s="57">
        <f t="shared" si="1"/>
        <v>0.27779999999999999</v>
      </c>
      <c r="K54" s="58">
        <f t="shared" si="2"/>
        <v>0.73826666666666663</v>
      </c>
      <c r="L54" s="56"/>
      <c r="M54" s="62">
        <f t="shared" si="3"/>
        <v>9.3233333333333335E-2</v>
      </c>
      <c r="N54" s="56">
        <f t="shared" si="4"/>
        <v>6.6163967333333327</v>
      </c>
      <c r="O54" s="58">
        <f t="shared" si="5"/>
        <v>13.232793466666665</v>
      </c>
      <c r="P54" s="56">
        <f t="shared" si="6"/>
        <v>1.3232793466666666</v>
      </c>
      <c r="Q54" s="57">
        <f>AVERAGE(P54:P56)</f>
        <v>1.6266589966666665</v>
      </c>
      <c r="R54" s="56">
        <f>STDEV(P54:P56)</f>
        <v>0.80199657470844432</v>
      </c>
      <c r="S54" s="58">
        <f>R54/Q54*100</f>
        <v>49.303300590467195</v>
      </c>
      <c r="T54" s="56"/>
    </row>
    <row r="55" spans="1:22" ht="14.4" customHeight="1" x14ac:dyDescent="0.3">
      <c r="D55" s="77"/>
      <c r="E55" s="17" t="s">
        <v>79</v>
      </c>
      <c r="F55" s="17">
        <f t="shared" ref="F55" si="23">F54</f>
        <v>10</v>
      </c>
      <c r="G55" s="57">
        <v>0.39300000000000002</v>
      </c>
      <c r="H55" s="58">
        <v>0.73799999999999999</v>
      </c>
      <c r="I55" s="56"/>
      <c r="J55" s="57">
        <f t="shared" si="1"/>
        <v>0.35389999999999999</v>
      </c>
      <c r="K55" s="58">
        <f t="shared" si="2"/>
        <v>0.70086666666666664</v>
      </c>
      <c r="L55" s="56"/>
      <c r="M55" s="62">
        <f t="shared" si="3"/>
        <v>0.17868333333333333</v>
      </c>
      <c r="N55" s="56">
        <f t="shared" si="4"/>
        <v>12.680441433333332</v>
      </c>
      <c r="O55" s="58">
        <f t="shared" si="5"/>
        <v>25.360882866666664</v>
      </c>
      <c r="P55" s="56">
        <f t="shared" si="6"/>
        <v>2.5360882866666663</v>
      </c>
      <c r="Q55" s="57"/>
      <c r="R55" s="56"/>
      <c r="S55" s="58"/>
      <c r="T55" s="56"/>
    </row>
    <row r="56" spans="1:22" ht="14.4" customHeight="1" x14ac:dyDescent="0.3">
      <c r="D56" s="78"/>
      <c r="E56" s="22" t="s">
        <v>80</v>
      </c>
      <c r="F56" s="22">
        <f t="shared" ref="F56" si="24">F54</f>
        <v>10</v>
      </c>
      <c r="G56" s="65">
        <v>0.3075</v>
      </c>
      <c r="H56" s="66">
        <v>0.82310000000000005</v>
      </c>
      <c r="I56" s="56"/>
      <c r="J56" s="57">
        <f t="shared" si="1"/>
        <v>0.26839999999999997</v>
      </c>
      <c r="K56" s="58">
        <f t="shared" si="2"/>
        <v>0.7859666666666667</v>
      </c>
      <c r="L56" s="56"/>
      <c r="M56" s="62">
        <f t="shared" si="3"/>
        <v>7.1908333333333296E-2</v>
      </c>
      <c r="N56" s="56">
        <f t="shared" si="4"/>
        <v>5.1030467833333306</v>
      </c>
      <c r="O56" s="58">
        <f t="shared" si="5"/>
        <v>10.206093566666661</v>
      </c>
      <c r="P56" s="56">
        <f t="shared" si="6"/>
        <v>1.0206093566666661</v>
      </c>
      <c r="Q56" s="57"/>
      <c r="R56" s="56"/>
      <c r="S56" s="58"/>
      <c r="T56" s="56"/>
    </row>
    <row r="57" spans="1:22" ht="14.4" customHeight="1" x14ac:dyDescent="0.3">
      <c r="D57" s="76">
        <f>A37</f>
        <v>11</v>
      </c>
      <c r="E57" s="12" t="s">
        <v>81</v>
      </c>
      <c r="F57" s="12">
        <f>B37</f>
        <v>10</v>
      </c>
      <c r="G57" s="54">
        <v>5.0999999999999997E-2</v>
      </c>
      <c r="H57" s="55">
        <v>4.8300000000000003E-2</v>
      </c>
      <c r="I57" s="56"/>
      <c r="J57" s="57">
        <f t="shared" si="1"/>
        <v>1.1899999999999994E-2</v>
      </c>
      <c r="K57" s="58">
        <f t="shared" si="2"/>
        <v>1.1166666666666672E-2</v>
      </c>
      <c r="L57" s="56"/>
      <c r="M57" s="62">
        <f t="shared" si="3"/>
        <v>9.1083333333333259E-3</v>
      </c>
      <c r="N57" s="56">
        <f t="shared" si="4"/>
        <v>0.64638198333333274</v>
      </c>
      <c r="O57" s="58">
        <f t="shared" si="5"/>
        <v>1.2927639666666655</v>
      </c>
      <c r="P57" s="56">
        <f t="shared" si="6"/>
        <v>0.12927639666666654</v>
      </c>
      <c r="Q57" s="57">
        <f>AVERAGE(P57:P59)</f>
        <v>0.13483539999999991</v>
      </c>
      <c r="R57" s="56">
        <f>STDEV(P57:P59)</f>
        <v>4.8175060588684033E-3</v>
      </c>
      <c r="S57" s="58">
        <f>R57/Q57*100</f>
        <v>3.5728792727046508</v>
      </c>
      <c r="T57" s="56"/>
    </row>
    <row r="58" spans="1:22" ht="14.4" customHeight="1" x14ac:dyDescent="0.3">
      <c r="D58" s="77"/>
      <c r="E58" s="17" t="s">
        <v>82</v>
      </c>
      <c r="F58" s="17">
        <f t="shared" ref="F58" si="25">F57</f>
        <v>10</v>
      </c>
      <c r="G58" s="57">
        <v>5.1799999999999999E-2</v>
      </c>
      <c r="H58" s="58">
        <v>4.9200000000000001E-2</v>
      </c>
      <c r="I58" s="56"/>
      <c r="J58" s="57">
        <f t="shared" si="1"/>
        <v>1.2699999999999996E-2</v>
      </c>
      <c r="K58" s="58">
        <f t="shared" si="2"/>
        <v>1.206666666666667E-2</v>
      </c>
      <c r="L58" s="56"/>
      <c r="M58" s="62">
        <f t="shared" si="3"/>
        <v>9.6833333333333285E-3</v>
      </c>
      <c r="N58" s="56">
        <f t="shared" si="4"/>
        <v>0.68718743333333299</v>
      </c>
      <c r="O58" s="58">
        <f t="shared" si="5"/>
        <v>1.374374866666666</v>
      </c>
      <c r="P58" s="56">
        <f t="shared" si="6"/>
        <v>0.13743748666666661</v>
      </c>
      <c r="Q58" s="57"/>
      <c r="R58" s="56"/>
      <c r="S58" s="58"/>
      <c r="T58" s="56"/>
    </row>
    <row r="59" spans="1:22" ht="14.4" customHeight="1" x14ac:dyDescent="0.3">
      <c r="D59" s="78"/>
      <c r="E59" s="22" t="s">
        <v>83</v>
      </c>
      <c r="F59" s="22">
        <f t="shared" ref="F59" si="26">F57</f>
        <v>10</v>
      </c>
      <c r="G59" s="65">
        <v>5.1900000000000002E-2</v>
      </c>
      <c r="H59" s="66">
        <v>4.9500000000000002E-2</v>
      </c>
      <c r="I59" s="56"/>
      <c r="J59" s="57">
        <f t="shared" si="1"/>
        <v>1.2799999999999999E-2</v>
      </c>
      <c r="K59" s="58">
        <f t="shared" si="2"/>
        <v>1.2366666666666672E-2</v>
      </c>
      <c r="L59" s="56"/>
      <c r="M59" s="62">
        <f t="shared" si="3"/>
        <v>9.708333333333331E-3</v>
      </c>
      <c r="N59" s="56">
        <f t="shared" si="4"/>
        <v>0.68896158333333313</v>
      </c>
      <c r="O59" s="58">
        <f t="shared" si="5"/>
        <v>1.3779231666666663</v>
      </c>
      <c r="P59" s="56">
        <f t="shared" si="6"/>
        <v>0.13779231666666664</v>
      </c>
      <c r="Q59" s="57"/>
      <c r="R59" s="56"/>
      <c r="S59" s="58"/>
      <c r="T59" s="56"/>
    </row>
    <row r="60" spans="1:22" ht="14.4" customHeight="1" x14ac:dyDescent="0.3">
      <c r="D60" s="76">
        <f>A38</f>
        <v>12</v>
      </c>
      <c r="E60" s="12" t="s">
        <v>84</v>
      </c>
      <c r="F60" s="12">
        <f>B38</f>
        <v>10</v>
      </c>
      <c r="G60" s="54">
        <v>0.05</v>
      </c>
      <c r="H60" s="55">
        <v>4.7699999999999999E-2</v>
      </c>
      <c r="I60" s="56"/>
      <c r="J60" s="57">
        <f t="shared" si="1"/>
        <v>1.09E-2</v>
      </c>
      <c r="K60" s="58">
        <f t="shared" si="2"/>
        <v>1.0566666666666669E-2</v>
      </c>
      <c r="L60" s="56"/>
      <c r="M60" s="62">
        <f t="shared" si="3"/>
        <v>8.2583333333333328E-3</v>
      </c>
      <c r="N60" s="56">
        <f t="shared" si="4"/>
        <v>0.58606088333333328</v>
      </c>
      <c r="O60" s="58">
        <f t="shared" si="5"/>
        <v>1.1721217666666666</v>
      </c>
      <c r="P60" s="56">
        <f t="shared" si="6"/>
        <v>0.11721217666666665</v>
      </c>
      <c r="Q60" s="57">
        <f>AVERAGE(P60:P62)</f>
        <v>0.13010433333333329</v>
      </c>
      <c r="R60" s="56">
        <f>STDEV(P60:P62)</f>
        <v>1.1662703088119515E-2</v>
      </c>
      <c r="S60" s="58">
        <f>R60/Q60*100</f>
        <v>8.9641157902397719</v>
      </c>
      <c r="T60" s="56"/>
    </row>
    <row r="61" spans="1:22" ht="14.4" customHeight="1" x14ac:dyDescent="0.3">
      <c r="D61" s="77"/>
      <c r="E61" s="17" t="s">
        <v>85</v>
      </c>
      <c r="F61" s="17">
        <f t="shared" ref="F61" si="27">F60</f>
        <v>10</v>
      </c>
      <c r="G61" s="57">
        <v>5.1999999999999998E-2</v>
      </c>
      <c r="H61" s="58">
        <v>4.9299999999999997E-2</v>
      </c>
      <c r="I61" s="56"/>
      <c r="J61" s="57">
        <f t="shared" si="1"/>
        <v>1.2899999999999995E-2</v>
      </c>
      <c r="K61" s="58">
        <f t="shared" si="2"/>
        <v>1.2166666666666666E-2</v>
      </c>
      <c r="L61" s="56"/>
      <c r="M61" s="62">
        <f t="shared" si="3"/>
        <v>9.8583333333333283E-3</v>
      </c>
      <c r="N61" s="56">
        <f t="shared" si="4"/>
        <v>0.69960648333333297</v>
      </c>
      <c r="O61" s="58">
        <f t="shared" si="5"/>
        <v>1.3992129666666659</v>
      </c>
      <c r="P61" s="56">
        <f t="shared" si="6"/>
        <v>0.13992129666666658</v>
      </c>
      <c r="Q61" s="57"/>
      <c r="R61" s="56"/>
      <c r="S61" s="58"/>
      <c r="T61" s="56"/>
    </row>
    <row r="62" spans="1:22" ht="14.4" customHeight="1" x14ac:dyDescent="0.3">
      <c r="D62" s="78"/>
      <c r="E62" s="22" t="s">
        <v>86</v>
      </c>
      <c r="F62" s="22">
        <f t="shared" ref="F62" si="28">F60</f>
        <v>10</v>
      </c>
      <c r="G62" s="65">
        <v>5.1299999999999998E-2</v>
      </c>
      <c r="H62" s="66">
        <v>4.8399999999999999E-2</v>
      </c>
      <c r="I62" s="56"/>
      <c r="J62" s="57">
        <f t="shared" si="1"/>
        <v>1.2199999999999996E-2</v>
      </c>
      <c r="K62" s="58">
        <f t="shared" si="2"/>
        <v>1.1266666666666668E-2</v>
      </c>
      <c r="L62" s="56"/>
      <c r="M62" s="62">
        <f t="shared" si="3"/>
        <v>9.3833333333333286E-3</v>
      </c>
      <c r="N62" s="56">
        <f t="shared" si="4"/>
        <v>0.66589763333333296</v>
      </c>
      <c r="O62" s="58">
        <f t="shared" si="5"/>
        <v>1.3317952666666659</v>
      </c>
      <c r="P62" s="56">
        <f t="shared" si="6"/>
        <v>0.1331795266666666</v>
      </c>
      <c r="Q62" s="57"/>
      <c r="R62" s="56"/>
      <c r="S62" s="58"/>
      <c r="T62" s="56"/>
    </row>
    <row r="63" spans="1:22" ht="14.4" customHeight="1" x14ac:dyDescent="0.3">
      <c r="D63" s="76">
        <f>A39</f>
        <v>13</v>
      </c>
      <c r="E63" s="12" t="s">
        <v>87</v>
      </c>
      <c r="F63" s="12">
        <f>B39</f>
        <v>10</v>
      </c>
      <c r="G63" s="54">
        <v>0.30330000000000001</v>
      </c>
      <c r="H63" s="55">
        <v>0.67069999999999996</v>
      </c>
      <c r="I63" s="56"/>
      <c r="J63" s="57">
        <f t="shared" si="1"/>
        <v>0.26419999999999999</v>
      </c>
      <c r="K63" s="58">
        <f t="shared" si="2"/>
        <v>0.63356666666666661</v>
      </c>
      <c r="L63" s="56"/>
      <c r="M63" s="62">
        <f t="shared" si="3"/>
        <v>0.10580833333333334</v>
      </c>
      <c r="N63" s="56">
        <f t="shared" si="4"/>
        <v>7.5087941833333334</v>
      </c>
      <c r="O63" s="58">
        <f t="shared" si="5"/>
        <v>15.017588366666667</v>
      </c>
      <c r="P63" s="56">
        <f t="shared" si="6"/>
        <v>1.5017588366666668</v>
      </c>
      <c r="Q63" s="57">
        <f>AVERAGE(P63:P65)</f>
        <v>1.5554564433333331</v>
      </c>
      <c r="R63" s="56">
        <f>STDEV(P63:P65)</f>
        <v>0.21757107766186398</v>
      </c>
      <c r="S63" s="58">
        <f>R63/Q63*100</f>
        <v>13.987603355553343</v>
      </c>
      <c r="T63" s="56"/>
    </row>
    <row r="64" spans="1:22" ht="14.4" customHeight="1" x14ac:dyDescent="0.3">
      <c r="D64" s="77"/>
      <c r="E64" s="17" t="s">
        <v>88</v>
      </c>
      <c r="F64" s="17">
        <f t="shared" ref="F64" si="29">F63</f>
        <v>10</v>
      </c>
      <c r="G64" s="57">
        <v>0.32150000000000001</v>
      </c>
      <c r="H64" s="58">
        <v>0.66090000000000004</v>
      </c>
      <c r="I64" s="56"/>
      <c r="J64" s="57">
        <f t="shared" si="1"/>
        <v>0.28239999999999998</v>
      </c>
      <c r="K64" s="58">
        <f t="shared" si="2"/>
        <v>0.62376666666666669</v>
      </c>
      <c r="L64" s="56"/>
      <c r="M64" s="62">
        <f t="shared" si="3"/>
        <v>0.12645833333333331</v>
      </c>
      <c r="N64" s="56">
        <f t="shared" si="4"/>
        <v>8.9742420833333316</v>
      </c>
      <c r="O64" s="58">
        <f t="shared" si="5"/>
        <v>17.948484166666663</v>
      </c>
      <c r="P64" s="56">
        <f t="shared" si="6"/>
        <v>1.7948484166666663</v>
      </c>
      <c r="Q64" s="57"/>
      <c r="R64" s="56"/>
      <c r="S64" s="58"/>
      <c r="T64" s="56"/>
    </row>
    <row r="65" spans="4:20" ht="14.4" customHeight="1" x14ac:dyDescent="0.3">
      <c r="D65" s="78"/>
      <c r="E65" s="22" t="s">
        <v>89</v>
      </c>
      <c r="F65" s="22">
        <f t="shared" ref="F65" si="30">F63</f>
        <v>10</v>
      </c>
      <c r="G65" s="65">
        <v>0.29220000000000002</v>
      </c>
      <c r="H65" s="66">
        <v>0.66349999999999998</v>
      </c>
      <c r="I65" s="56"/>
      <c r="J65" s="57">
        <f t="shared" si="1"/>
        <v>0.25309999999999999</v>
      </c>
      <c r="K65" s="58">
        <f t="shared" si="2"/>
        <v>0.62636666666666663</v>
      </c>
      <c r="L65" s="56"/>
      <c r="M65" s="62">
        <f t="shared" si="3"/>
        <v>9.6508333333333335E-2</v>
      </c>
      <c r="N65" s="56">
        <f t="shared" si="4"/>
        <v>6.8488103833333325</v>
      </c>
      <c r="O65" s="58">
        <f t="shared" si="5"/>
        <v>13.697620766666665</v>
      </c>
      <c r="P65" s="56">
        <f t="shared" si="6"/>
        <v>1.3697620766666665</v>
      </c>
      <c r="Q65" s="57"/>
      <c r="R65" s="56"/>
      <c r="S65" s="58"/>
      <c r="T65" s="56"/>
    </row>
    <row r="66" spans="4:20" ht="14.4" customHeight="1" x14ac:dyDescent="0.3">
      <c r="D66" s="76">
        <f>A40</f>
        <v>14</v>
      </c>
      <c r="E66" s="12" t="s">
        <v>90</v>
      </c>
      <c r="F66" s="12">
        <f>B40</f>
        <v>10</v>
      </c>
      <c r="G66" s="54">
        <v>0.37469999999999998</v>
      </c>
      <c r="H66" s="55">
        <v>0.63749999999999996</v>
      </c>
      <c r="I66" s="56"/>
      <c r="J66" s="57">
        <f t="shared" si="1"/>
        <v>0.33559999999999995</v>
      </c>
      <c r="K66" s="58">
        <f t="shared" si="2"/>
        <v>0.6003666666666666</v>
      </c>
      <c r="L66" s="56"/>
      <c r="M66" s="62">
        <f t="shared" si="3"/>
        <v>0.1855083333333333</v>
      </c>
      <c r="N66" s="56">
        <f t="shared" si="4"/>
        <v>13.16478438333333</v>
      </c>
      <c r="O66" s="58">
        <f t="shared" si="5"/>
        <v>26.329568766666661</v>
      </c>
      <c r="P66" s="56">
        <f t="shared" si="6"/>
        <v>2.632956876666666</v>
      </c>
      <c r="Q66" s="57">
        <f>AVERAGE(P66:P68)</f>
        <v>2.29894357</v>
      </c>
      <c r="R66" s="56">
        <f>STDEV(P66:P68)</f>
        <v>0.30750013552127076</v>
      </c>
      <c r="S66" s="58">
        <f>R66/Q66*100</f>
        <v>13.375714808052933</v>
      </c>
      <c r="T66" s="56"/>
    </row>
    <row r="67" spans="4:20" ht="14.4" customHeight="1" x14ac:dyDescent="0.3">
      <c r="D67" s="77"/>
      <c r="E67" s="17" t="s">
        <v>91</v>
      </c>
      <c r="F67" s="17">
        <f t="shared" ref="F67" si="31">F66</f>
        <v>10</v>
      </c>
      <c r="G67" s="57">
        <v>0.34010000000000001</v>
      </c>
      <c r="H67" s="58">
        <v>0.6109</v>
      </c>
      <c r="I67" s="56"/>
      <c r="J67" s="57">
        <f t="shared" si="1"/>
        <v>0.30099999999999999</v>
      </c>
      <c r="K67" s="58">
        <f t="shared" si="2"/>
        <v>0.57376666666666665</v>
      </c>
      <c r="L67" s="56"/>
      <c r="M67" s="62">
        <f t="shared" si="3"/>
        <v>0.15755833333333333</v>
      </c>
      <c r="N67" s="56">
        <f t="shared" si="4"/>
        <v>11.181284683333333</v>
      </c>
      <c r="O67" s="58">
        <f t="shared" si="5"/>
        <v>22.362569366666666</v>
      </c>
      <c r="P67" s="56">
        <f t="shared" si="6"/>
        <v>2.2362569366666665</v>
      </c>
      <c r="Q67" s="57"/>
      <c r="R67" s="56"/>
      <c r="S67" s="58"/>
      <c r="T67" s="56"/>
    </row>
    <row r="68" spans="4:20" ht="14.4" customHeight="1" x14ac:dyDescent="0.3">
      <c r="D68" s="78"/>
      <c r="E68" s="22" t="s">
        <v>92</v>
      </c>
      <c r="F68" s="22">
        <f t="shared" ref="F68" si="32">F66</f>
        <v>10</v>
      </c>
      <c r="G68" s="65">
        <v>0.32540000000000002</v>
      </c>
      <c r="H68" s="66">
        <v>0.6109</v>
      </c>
      <c r="I68" s="56"/>
      <c r="J68" s="57">
        <f t="shared" si="1"/>
        <v>0.2863</v>
      </c>
      <c r="K68" s="58">
        <f t="shared" si="2"/>
        <v>0.57376666666666665</v>
      </c>
      <c r="L68" s="56"/>
      <c r="M68" s="62">
        <f t="shared" si="3"/>
        <v>0.14285833333333334</v>
      </c>
      <c r="N68" s="56">
        <f t="shared" si="4"/>
        <v>10.138084483333333</v>
      </c>
      <c r="O68" s="58">
        <f t="shared" si="5"/>
        <v>20.276168966666667</v>
      </c>
      <c r="P68" s="56">
        <f t="shared" si="6"/>
        <v>2.0276168966666668</v>
      </c>
      <c r="Q68" s="57"/>
      <c r="R68" s="56"/>
      <c r="S68" s="58"/>
      <c r="T68" s="56"/>
    </row>
    <row r="69" spans="4:20" ht="14.4" customHeight="1" x14ac:dyDescent="0.3">
      <c r="D69" s="76">
        <f>A41</f>
        <v>15</v>
      </c>
      <c r="E69" s="12" t="s">
        <v>93</v>
      </c>
      <c r="F69" s="12">
        <f>B41</f>
        <v>10</v>
      </c>
      <c r="G69" s="54">
        <v>0.3705</v>
      </c>
      <c r="H69" s="55">
        <v>0.75170000000000003</v>
      </c>
      <c r="I69" s="56"/>
      <c r="J69" s="57">
        <f t="shared" si="1"/>
        <v>0.33139999999999997</v>
      </c>
      <c r="K69" s="58">
        <f t="shared" si="2"/>
        <v>0.71456666666666668</v>
      </c>
      <c r="L69" s="56"/>
      <c r="M69" s="62">
        <f t="shared" si="3"/>
        <v>0.1527583333333333</v>
      </c>
      <c r="N69" s="56">
        <f t="shared" si="4"/>
        <v>10.840647883333331</v>
      </c>
      <c r="O69" s="58">
        <f t="shared" si="5"/>
        <v>21.681295766666661</v>
      </c>
      <c r="P69" s="56">
        <f t="shared" si="6"/>
        <v>2.1681295766666659</v>
      </c>
      <c r="Q69" s="57">
        <f>AVERAGE(P69:P71)</f>
        <v>2.3113626199999993</v>
      </c>
      <c r="R69" s="56">
        <f>STDEV(P69:P71)</f>
        <v>0.38309684525669124</v>
      </c>
      <c r="S69" s="58">
        <f>R69/Q69*100</f>
        <v>16.574502068251469</v>
      </c>
      <c r="T69" s="56"/>
    </row>
    <row r="70" spans="4:20" ht="14.4" customHeight="1" x14ac:dyDescent="0.3">
      <c r="D70" s="77"/>
      <c r="E70" s="17" t="s">
        <v>94</v>
      </c>
      <c r="F70" s="17">
        <f t="shared" ref="F70" si="33">F69</f>
        <v>10</v>
      </c>
      <c r="G70" s="57">
        <v>0.35199999999999998</v>
      </c>
      <c r="H70" s="58">
        <v>0.71930000000000005</v>
      </c>
      <c r="I70" s="56"/>
      <c r="J70" s="57">
        <f t="shared" si="1"/>
        <v>0.31289999999999996</v>
      </c>
      <c r="K70" s="58">
        <f t="shared" si="2"/>
        <v>0.6821666666666667</v>
      </c>
      <c r="L70" s="56"/>
      <c r="M70" s="62">
        <f t="shared" si="3"/>
        <v>0.14235833333333328</v>
      </c>
      <c r="N70" s="56">
        <f t="shared" si="4"/>
        <v>10.102601483333329</v>
      </c>
      <c r="O70" s="58">
        <f t="shared" si="5"/>
        <v>20.205202966666658</v>
      </c>
      <c r="P70" s="56">
        <f t="shared" si="6"/>
        <v>2.0205202966666658</v>
      </c>
      <c r="Q70" s="57"/>
      <c r="R70" s="56"/>
      <c r="S70" s="58"/>
      <c r="T70" s="56"/>
    </row>
    <row r="71" spans="4:20" ht="14.4" customHeight="1" x14ac:dyDescent="0.3">
      <c r="D71" s="78"/>
      <c r="E71" s="22" t="s">
        <v>95</v>
      </c>
      <c r="F71" s="22">
        <f t="shared" ref="F71" si="34">F69</f>
        <v>10</v>
      </c>
      <c r="G71" s="65">
        <v>0.40339999999999998</v>
      </c>
      <c r="H71" s="66">
        <v>0.72060000000000002</v>
      </c>
      <c r="I71" s="56"/>
      <c r="J71" s="57">
        <f t="shared" si="1"/>
        <v>0.36429999999999996</v>
      </c>
      <c r="K71" s="58">
        <f t="shared" si="2"/>
        <v>0.68346666666666667</v>
      </c>
      <c r="L71" s="56"/>
      <c r="M71" s="62">
        <f t="shared" si="3"/>
        <v>0.19343333333333329</v>
      </c>
      <c r="N71" s="56">
        <f t="shared" si="4"/>
        <v>13.72718993333333</v>
      </c>
      <c r="O71" s="58">
        <f t="shared" si="5"/>
        <v>27.45437986666666</v>
      </c>
      <c r="P71" s="56">
        <f t="shared" si="6"/>
        <v>2.7454379866666661</v>
      </c>
      <c r="Q71" s="57"/>
      <c r="R71" s="56"/>
      <c r="S71" s="58"/>
      <c r="T71" s="56"/>
    </row>
    <row r="72" spans="4:20" ht="14.4" customHeight="1" x14ac:dyDescent="0.3">
      <c r="D72" s="76">
        <f>A42</f>
        <v>16</v>
      </c>
      <c r="E72" s="12" t="s">
        <v>96</v>
      </c>
      <c r="F72" s="12">
        <f>B42</f>
        <v>10</v>
      </c>
      <c r="G72" s="54">
        <v>0.38200000000000001</v>
      </c>
      <c r="H72" s="55">
        <v>0.78759999999999997</v>
      </c>
      <c r="I72" s="56"/>
      <c r="J72" s="57">
        <f t="shared" si="1"/>
        <v>0.34289999999999998</v>
      </c>
      <c r="K72" s="58">
        <f t="shared" si="2"/>
        <v>0.75046666666666662</v>
      </c>
      <c r="L72" s="56"/>
      <c r="M72" s="62">
        <f t="shared" si="3"/>
        <v>0.15528333333333333</v>
      </c>
      <c r="N72" s="56">
        <f t="shared" si="4"/>
        <v>11.019837033333332</v>
      </c>
      <c r="O72" s="58">
        <f t="shared" si="5"/>
        <v>22.039674066666663</v>
      </c>
      <c r="P72" s="56">
        <f t="shared" si="6"/>
        <v>2.2039674066666661</v>
      </c>
      <c r="Q72" s="57">
        <f>AVERAGE(P72:P74)</f>
        <v>1.9332321166666666</v>
      </c>
      <c r="R72" s="56">
        <f>STDEV(P72:P74)</f>
        <v>0.38384324647051954</v>
      </c>
      <c r="S72" s="58">
        <f>R72/Q72*100</f>
        <v>19.855000502079019</v>
      </c>
      <c r="T72" s="56"/>
    </row>
    <row r="73" spans="4:20" ht="14.4" customHeight="1" x14ac:dyDescent="0.3">
      <c r="D73" s="77"/>
      <c r="E73" s="17" t="s">
        <v>97</v>
      </c>
      <c r="F73" s="17">
        <f t="shared" ref="F73" si="35">F72</f>
        <v>10</v>
      </c>
      <c r="G73" s="57">
        <v>0.3705</v>
      </c>
      <c r="H73" s="58">
        <v>0.77039999999999997</v>
      </c>
      <c r="I73" s="56"/>
      <c r="J73" s="57">
        <f t="shared" si="1"/>
        <v>0.33139999999999997</v>
      </c>
      <c r="K73" s="58">
        <f t="shared" si="2"/>
        <v>0.73326666666666662</v>
      </c>
      <c r="L73" s="56"/>
      <c r="M73" s="62">
        <f t="shared" si="3"/>
        <v>0.14808333333333332</v>
      </c>
      <c r="N73" s="56">
        <f t="shared" si="4"/>
        <v>10.508881833333332</v>
      </c>
      <c r="O73" s="58">
        <f t="shared" si="5"/>
        <v>21.017763666666664</v>
      </c>
      <c r="P73" s="56">
        <f t="shared" si="6"/>
        <v>2.1017763666666665</v>
      </c>
      <c r="Q73" s="57"/>
      <c r="R73" s="56"/>
      <c r="S73" s="58"/>
      <c r="T73" s="56"/>
    </row>
    <row r="74" spans="4:20" ht="14.4" customHeight="1" x14ac:dyDescent="0.3">
      <c r="D74" s="78"/>
      <c r="E74" s="22" t="s">
        <v>98</v>
      </c>
      <c r="F74" s="22">
        <f t="shared" ref="F74" si="36">F72</f>
        <v>10</v>
      </c>
      <c r="G74" s="65">
        <v>0.33250000000000002</v>
      </c>
      <c r="H74" s="66">
        <v>0.78969999999999996</v>
      </c>
      <c r="I74" s="56"/>
      <c r="J74" s="57">
        <f t="shared" si="1"/>
        <v>0.29339999999999999</v>
      </c>
      <c r="K74" s="58">
        <f t="shared" si="2"/>
        <v>0.75256666666666661</v>
      </c>
      <c r="L74" s="56"/>
      <c r="M74" s="62">
        <f t="shared" si="3"/>
        <v>0.10525833333333334</v>
      </c>
      <c r="N74" s="56">
        <f t="shared" si="4"/>
        <v>7.4697628833333329</v>
      </c>
      <c r="O74" s="58">
        <f t="shared" si="5"/>
        <v>14.939525766666666</v>
      </c>
      <c r="P74" s="56">
        <f t="shared" si="6"/>
        <v>1.4939525766666666</v>
      </c>
      <c r="Q74" s="57"/>
      <c r="R74" s="56"/>
      <c r="S74" s="58"/>
      <c r="T74" s="56"/>
    </row>
    <row r="75" spans="4:20" ht="14.4" customHeight="1" x14ac:dyDescent="0.3">
      <c r="D75" s="76">
        <f>A43</f>
        <v>17</v>
      </c>
      <c r="E75" s="12" t="s">
        <v>99</v>
      </c>
      <c r="F75" s="12">
        <f>B43</f>
        <v>10</v>
      </c>
      <c r="G75" s="54">
        <v>0.375</v>
      </c>
      <c r="H75" s="55">
        <v>0.75209999999999999</v>
      </c>
      <c r="I75" s="56"/>
      <c r="J75" s="57">
        <f t="shared" si="1"/>
        <v>0.33589999999999998</v>
      </c>
      <c r="K75" s="58">
        <f t="shared" si="2"/>
        <v>0.71496666666666664</v>
      </c>
      <c r="L75" s="56"/>
      <c r="M75" s="62">
        <f t="shared" si="3"/>
        <v>0.15715833333333332</v>
      </c>
      <c r="N75" s="56">
        <f t="shared" si="4"/>
        <v>11.152898283333331</v>
      </c>
      <c r="O75" s="58">
        <f t="shared" si="5"/>
        <v>22.305796566666661</v>
      </c>
      <c r="P75" s="56">
        <f t="shared" si="6"/>
        <v>2.230579656666666</v>
      </c>
      <c r="Q75" s="57">
        <f>AVERAGE(P75:P77)</f>
        <v>1.6459380933333332</v>
      </c>
      <c r="R75" s="56">
        <f>STDEV(P75:P77)</f>
        <v>0.51648920401908927</v>
      </c>
      <c r="S75" s="58">
        <f>R75/Q75*100</f>
        <v>31.379625157900186</v>
      </c>
      <c r="T75" s="56"/>
    </row>
    <row r="76" spans="4:20" ht="14.4" customHeight="1" x14ac:dyDescent="0.3">
      <c r="D76" s="77"/>
      <c r="E76" s="17" t="s">
        <v>100</v>
      </c>
      <c r="F76" s="17">
        <f t="shared" ref="F76" si="37">F75</f>
        <v>10</v>
      </c>
      <c r="G76" s="57">
        <v>0.30990000000000001</v>
      </c>
      <c r="H76" s="58">
        <v>0.76759999999999995</v>
      </c>
      <c r="I76" s="56"/>
      <c r="J76" s="57">
        <f t="shared" si="1"/>
        <v>0.27079999999999999</v>
      </c>
      <c r="K76" s="58">
        <f t="shared" si="2"/>
        <v>0.7304666666666666</v>
      </c>
      <c r="L76" s="56"/>
      <c r="M76" s="62">
        <f t="shared" si="3"/>
        <v>8.8183333333333336E-2</v>
      </c>
      <c r="N76" s="56">
        <f t="shared" si="4"/>
        <v>6.2580184333333326</v>
      </c>
      <c r="O76" s="58">
        <f t="shared" si="5"/>
        <v>12.516036866666665</v>
      </c>
      <c r="P76" s="56">
        <f t="shared" si="6"/>
        <v>1.2516036866666664</v>
      </c>
      <c r="Q76" s="57"/>
      <c r="R76" s="56"/>
      <c r="S76" s="58"/>
      <c r="T76" s="56"/>
    </row>
    <row r="77" spans="4:20" ht="14.4" customHeight="1" x14ac:dyDescent="0.3">
      <c r="D77" s="78"/>
      <c r="E77" s="22" t="s">
        <v>101</v>
      </c>
      <c r="F77" s="22">
        <f t="shared" ref="F77" si="38">F75</f>
        <v>10</v>
      </c>
      <c r="G77" s="65">
        <v>0.32150000000000001</v>
      </c>
      <c r="H77" s="66">
        <v>0.75649999999999995</v>
      </c>
      <c r="I77" s="56"/>
      <c r="J77" s="57">
        <f t="shared" si="1"/>
        <v>0.28239999999999998</v>
      </c>
      <c r="K77" s="58">
        <f t="shared" si="2"/>
        <v>0.7193666666666666</v>
      </c>
      <c r="L77" s="56"/>
      <c r="M77" s="62">
        <f t="shared" si="3"/>
        <v>0.10255833333333333</v>
      </c>
      <c r="N77" s="56">
        <f t="shared" si="4"/>
        <v>7.2781546833333328</v>
      </c>
      <c r="O77" s="58">
        <f t="shared" si="5"/>
        <v>14.556309366666666</v>
      </c>
      <c r="P77" s="56">
        <f t="shared" si="6"/>
        <v>1.4556309366666667</v>
      </c>
      <c r="Q77" s="57"/>
      <c r="R77" s="56"/>
      <c r="S77" s="58"/>
      <c r="T77" s="56"/>
    </row>
    <row r="78" spans="4:20" ht="14.4" customHeight="1" x14ac:dyDescent="0.3">
      <c r="D78" s="76">
        <f>A44</f>
        <v>18</v>
      </c>
      <c r="E78" s="12" t="s">
        <v>102</v>
      </c>
      <c r="F78" s="12">
        <f>B44</f>
        <v>10</v>
      </c>
      <c r="G78" s="54">
        <v>0.35759999999999997</v>
      </c>
      <c r="H78" s="55">
        <v>0.75829999999999997</v>
      </c>
      <c r="I78" s="56"/>
      <c r="J78" s="57">
        <f t="shared" si="1"/>
        <v>0.31849999999999995</v>
      </c>
      <c r="K78" s="58">
        <f t="shared" si="2"/>
        <v>0.72116666666666662</v>
      </c>
      <c r="L78" s="56"/>
      <c r="M78" s="62">
        <f t="shared" si="3"/>
        <v>0.13820833333333329</v>
      </c>
      <c r="N78" s="56">
        <f t="shared" si="4"/>
        <v>9.8080925833333303</v>
      </c>
      <c r="O78" s="58">
        <f t="shared" si="5"/>
        <v>19.616185166666661</v>
      </c>
      <c r="P78" s="56">
        <f t="shared" si="6"/>
        <v>1.961618516666666</v>
      </c>
      <c r="Q78" s="57">
        <f>AVERAGE(P78:P80)</f>
        <v>2.3638774599999999</v>
      </c>
      <c r="R78" s="56">
        <f>STDEV(P78:P80)</f>
        <v>0.38508559564401074</v>
      </c>
      <c r="S78" s="58">
        <f>R78/Q78*100</f>
        <v>16.290421232072273</v>
      </c>
      <c r="T78" s="56"/>
    </row>
    <row r="79" spans="4:20" ht="14.4" customHeight="1" x14ac:dyDescent="0.3">
      <c r="D79" s="77"/>
      <c r="E79" s="17" t="s">
        <v>103</v>
      </c>
      <c r="F79" s="17">
        <f t="shared" ref="F79" si="39">F78</f>
        <v>10</v>
      </c>
      <c r="G79" s="57">
        <v>0.40689999999999998</v>
      </c>
      <c r="H79" s="58">
        <v>0.73919999999999997</v>
      </c>
      <c r="I79" s="56"/>
      <c r="J79" s="57">
        <f t="shared" si="1"/>
        <v>0.36779999999999996</v>
      </c>
      <c r="K79" s="58">
        <f t="shared" si="2"/>
        <v>0.70206666666666662</v>
      </c>
      <c r="L79" s="56"/>
      <c r="M79" s="62">
        <f t="shared" si="3"/>
        <v>0.19228333333333331</v>
      </c>
      <c r="N79" s="56">
        <f t="shared" si="4"/>
        <v>13.64557903333333</v>
      </c>
      <c r="O79" s="58">
        <f t="shared" si="5"/>
        <v>27.291158066666661</v>
      </c>
      <c r="P79" s="56">
        <f t="shared" si="6"/>
        <v>2.7291158066666661</v>
      </c>
      <c r="Q79" s="57"/>
      <c r="R79" s="56"/>
      <c r="S79" s="58"/>
      <c r="T79" s="56"/>
    </row>
    <row r="80" spans="4:20" ht="14.4" customHeight="1" x14ac:dyDescent="0.3">
      <c r="D80" s="78"/>
      <c r="E80" s="22" t="s">
        <v>104</v>
      </c>
      <c r="F80" s="22">
        <f t="shared" ref="F80" si="40">F78</f>
        <v>10</v>
      </c>
      <c r="G80" s="65">
        <v>0.38590000000000002</v>
      </c>
      <c r="H80" s="66">
        <v>0.74770000000000003</v>
      </c>
      <c r="I80" s="56"/>
      <c r="J80" s="57">
        <f t="shared" si="1"/>
        <v>0.3468</v>
      </c>
      <c r="K80" s="58">
        <f t="shared" si="2"/>
        <v>0.71056666666666668</v>
      </c>
      <c r="L80" s="56"/>
      <c r="M80" s="62">
        <f t="shared" si="3"/>
        <v>0.16915833333333333</v>
      </c>
      <c r="N80" s="56">
        <f t="shared" si="4"/>
        <v>12.004490283333332</v>
      </c>
      <c r="O80" s="58">
        <f t="shared" si="5"/>
        <v>24.008980566666665</v>
      </c>
      <c r="P80" s="56">
        <f t="shared" si="6"/>
        <v>2.4008980566666667</v>
      </c>
      <c r="Q80" s="57"/>
      <c r="R80" s="56"/>
      <c r="S80" s="58"/>
      <c r="T80" s="56"/>
    </row>
    <row r="81" spans="4:20" ht="14.4" customHeight="1" x14ac:dyDescent="0.3">
      <c r="D81" s="76">
        <f>A45</f>
        <v>19</v>
      </c>
      <c r="E81" s="12" t="s">
        <v>105</v>
      </c>
      <c r="F81" s="12">
        <f>B45</f>
        <v>10</v>
      </c>
      <c r="G81" s="54">
        <v>0.3589</v>
      </c>
      <c r="H81" s="55">
        <v>0.71020000000000005</v>
      </c>
      <c r="I81" s="56"/>
      <c r="J81" s="57">
        <f t="shared" si="1"/>
        <v>0.31979999999999997</v>
      </c>
      <c r="K81" s="58">
        <f t="shared" si="2"/>
        <v>0.6730666666666667</v>
      </c>
      <c r="L81" s="56"/>
      <c r="M81" s="62">
        <f t="shared" si="3"/>
        <v>0.1515333333333333</v>
      </c>
      <c r="N81" s="56">
        <f t="shared" si="4"/>
        <v>10.75371453333333</v>
      </c>
      <c r="O81" s="58">
        <f t="shared" si="5"/>
        <v>21.50742906666666</v>
      </c>
      <c r="P81" s="56">
        <f t="shared" si="6"/>
        <v>2.1507429066666659</v>
      </c>
      <c r="Q81" s="57">
        <f>AVERAGE(P81:P83)</f>
        <v>2.3990056299999996</v>
      </c>
      <c r="R81" s="56">
        <f>STDEV(P81:P83)</f>
        <v>0.21506337724683336</v>
      </c>
      <c r="S81" s="58">
        <f>R81/Q81*100</f>
        <v>8.9646883090821845</v>
      </c>
      <c r="T81" s="56"/>
    </row>
    <row r="82" spans="4:20" ht="14.4" customHeight="1" x14ac:dyDescent="0.3">
      <c r="D82" s="77"/>
      <c r="E82" s="17" t="s">
        <v>106</v>
      </c>
      <c r="F82" s="17">
        <f t="shared" ref="F82" si="41">F81</f>
        <v>10</v>
      </c>
      <c r="G82" s="57">
        <v>0.3851</v>
      </c>
      <c r="H82" s="58">
        <v>0.71150000000000002</v>
      </c>
      <c r="I82" s="56"/>
      <c r="J82" s="57">
        <f t="shared" si="1"/>
        <v>0.34599999999999997</v>
      </c>
      <c r="K82" s="58">
        <f t="shared" si="2"/>
        <v>0.67436666666666667</v>
      </c>
      <c r="L82" s="56"/>
      <c r="M82" s="62">
        <f t="shared" si="3"/>
        <v>0.17740833333333331</v>
      </c>
      <c r="N82" s="56">
        <f t="shared" si="4"/>
        <v>12.589959783333331</v>
      </c>
      <c r="O82" s="58">
        <f t="shared" si="5"/>
        <v>25.179919566666662</v>
      </c>
      <c r="P82" s="56">
        <f t="shared" si="6"/>
        <v>2.5179919566666662</v>
      </c>
      <c r="Q82" s="57"/>
      <c r="R82" s="56"/>
      <c r="S82" s="58"/>
      <c r="T82" s="56"/>
    </row>
    <row r="83" spans="4:20" ht="14.4" customHeight="1" x14ac:dyDescent="0.3">
      <c r="D83" s="78"/>
      <c r="E83" s="22" t="s">
        <v>107</v>
      </c>
      <c r="F83" s="22">
        <f t="shared" ref="F83" si="42">F81</f>
        <v>10</v>
      </c>
      <c r="G83" s="65">
        <v>0.38640000000000002</v>
      </c>
      <c r="H83" s="66">
        <v>0.71379999999999999</v>
      </c>
      <c r="I83" s="56"/>
      <c r="J83" s="57">
        <f t="shared" si="1"/>
        <v>0.3473</v>
      </c>
      <c r="K83" s="58">
        <f t="shared" si="2"/>
        <v>0.67666666666666664</v>
      </c>
      <c r="L83" s="56"/>
      <c r="M83" s="62">
        <f t="shared" si="3"/>
        <v>0.17813333333333334</v>
      </c>
      <c r="N83" s="56">
        <f t="shared" si="4"/>
        <v>12.641410133333332</v>
      </c>
      <c r="O83" s="58">
        <f t="shared" si="5"/>
        <v>25.282820266666665</v>
      </c>
      <c r="P83" s="56">
        <f t="shared" si="6"/>
        <v>2.5282820266666666</v>
      </c>
      <c r="Q83" s="57"/>
      <c r="R83" s="56"/>
      <c r="S83" s="58"/>
      <c r="T83" s="56"/>
    </row>
    <row r="84" spans="4:20" ht="14.4" customHeight="1" x14ac:dyDescent="0.3">
      <c r="D84" s="76">
        <f>A46</f>
        <v>20</v>
      </c>
      <c r="E84" s="12" t="s">
        <v>108</v>
      </c>
      <c r="F84" s="12">
        <f>B46</f>
        <v>10</v>
      </c>
      <c r="G84" s="54">
        <v>0.4</v>
      </c>
      <c r="H84" s="55">
        <v>0.72199999999999998</v>
      </c>
      <c r="I84" s="56"/>
      <c r="J84" s="57">
        <f t="shared" si="1"/>
        <v>0.3609</v>
      </c>
      <c r="K84" s="58">
        <f t="shared" si="2"/>
        <v>0.68486666666666662</v>
      </c>
      <c r="L84" s="56"/>
      <c r="M84" s="62">
        <f t="shared" si="3"/>
        <v>0.18968333333333334</v>
      </c>
      <c r="N84" s="56">
        <f t="shared" si="4"/>
        <v>13.461067433333334</v>
      </c>
      <c r="O84" s="58">
        <f t="shared" si="5"/>
        <v>26.922134866666667</v>
      </c>
      <c r="P84" s="56">
        <f t="shared" si="6"/>
        <v>2.6922134866666667</v>
      </c>
      <c r="Q84" s="57">
        <f>AVERAGE(P84:P86)</f>
        <v>1.8289120966666665</v>
      </c>
      <c r="R84" s="56">
        <f>STDEV(P84:P86)</f>
        <v>0.75053272208177635</v>
      </c>
      <c r="S84" s="58">
        <f>R84/Q84*100</f>
        <v>41.03711290715831</v>
      </c>
      <c r="T84" s="56"/>
    </row>
    <row r="85" spans="4:20" ht="14.4" customHeight="1" x14ac:dyDescent="0.3">
      <c r="D85" s="77"/>
      <c r="E85" s="17" t="s">
        <v>109</v>
      </c>
      <c r="F85" s="17">
        <f t="shared" ref="F85" si="43">F84</f>
        <v>10</v>
      </c>
      <c r="G85" s="57">
        <v>0.31630000000000003</v>
      </c>
      <c r="H85" s="58">
        <v>0.77070000000000005</v>
      </c>
      <c r="I85" s="56"/>
      <c r="J85" s="57">
        <f t="shared" si="1"/>
        <v>0.2772</v>
      </c>
      <c r="K85" s="58">
        <f t="shared" si="2"/>
        <v>0.7335666666666667</v>
      </c>
      <c r="L85" s="56"/>
      <c r="M85" s="62">
        <f t="shared" si="3"/>
        <v>9.3808333333333327E-2</v>
      </c>
      <c r="N85" s="56">
        <f t="shared" si="4"/>
        <v>6.6572021833333324</v>
      </c>
      <c r="O85" s="58">
        <f t="shared" si="5"/>
        <v>13.314404366666665</v>
      </c>
      <c r="P85" s="56">
        <f t="shared" si="6"/>
        <v>1.3314404366666666</v>
      </c>
      <c r="Q85" s="57"/>
      <c r="R85" s="56"/>
      <c r="S85" s="58"/>
      <c r="T85" s="56"/>
    </row>
    <row r="86" spans="4:20" ht="14.4" customHeight="1" x14ac:dyDescent="0.3">
      <c r="D86" s="78"/>
      <c r="E86" s="22" t="s">
        <v>110</v>
      </c>
      <c r="F86" s="22">
        <f t="shared" ref="F86" si="44">F84</f>
        <v>10</v>
      </c>
      <c r="G86" s="65">
        <v>0.32750000000000001</v>
      </c>
      <c r="H86" s="66">
        <v>0.77839999999999998</v>
      </c>
      <c r="I86" s="56"/>
      <c r="J86" s="57">
        <f t="shared" si="1"/>
        <v>0.28839999999999999</v>
      </c>
      <c r="K86" s="58">
        <f t="shared" si="2"/>
        <v>0.74126666666666663</v>
      </c>
      <c r="L86" s="56"/>
      <c r="M86" s="62">
        <f t="shared" si="3"/>
        <v>0.10308333333333333</v>
      </c>
      <c r="N86" s="56">
        <f t="shared" si="4"/>
        <v>7.3154118333333322</v>
      </c>
      <c r="O86" s="58">
        <f t="shared" si="5"/>
        <v>14.630823666666664</v>
      </c>
      <c r="P86" s="56">
        <f t="shared" si="6"/>
        <v>1.4630823666666664</v>
      </c>
      <c r="Q86" s="57"/>
      <c r="R86" s="56"/>
      <c r="S86" s="58"/>
      <c r="T86" s="56"/>
    </row>
    <row r="87" spans="4:20" ht="14.4" customHeight="1" x14ac:dyDescent="0.3">
      <c r="D87" s="76">
        <f>A47</f>
        <v>21</v>
      </c>
      <c r="E87" s="12" t="s">
        <v>111</v>
      </c>
      <c r="F87" s="12">
        <f>B47</f>
        <v>10</v>
      </c>
      <c r="G87" s="54">
        <v>0.33729999999999999</v>
      </c>
      <c r="H87" s="55">
        <v>0.77980000000000005</v>
      </c>
      <c r="I87" s="56"/>
      <c r="J87" s="57">
        <f t="shared" si="1"/>
        <v>0.29819999999999997</v>
      </c>
      <c r="K87" s="58">
        <f t="shared" si="2"/>
        <v>0.7426666666666667</v>
      </c>
      <c r="L87" s="56"/>
      <c r="M87" s="62">
        <f t="shared" si="3"/>
        <v>0.11253333333333329</v>
      </c>
      <c r="N87" s="56">
        <f t="shared" si="4"/>
        <v>7.9860405333333295</v>
      </c>
      <c r="O87" s="58">
        <f t="shared" si="5"/>
        <v>15.972081066666659</v>
      </c>
      <c r="P87" s="56">
        <f t="shared" si="6"/>
        <v>1.5972081066666659</v>
      </c>
      <c r="Q87" s="57">
        <f>AVERAGE(P87:P89)</f>
        <v>0.99565297999999969</v>
      </c>
      <c r="R87" s="56">
        <f>STDEV(P87:P89)</f>
        <v>0.78051795754062125</v>
      </c>
      <c r="S87" s="58">
        <f>R87/Q87*100</f>
        <v>78.392569822933851</v>
      </c>
      <c r="T87" s="56"/>
    </row>
    <row r="88" spans="4:20" ht="14.4" customHeight="1" x14ac:dyDescent="0.3">
      <c r="D88" s="77"/>
      <c r="E88" s="17" t="s">
        <v>112</v>
      </c>
      <c r="F88" s="17">
        <f t="shared" ref="F88:F97" si="45">F87</f>
        <v>10</v>
      </c>
      <c r="G88" s="57">
        <v>0.2397</v>
      </c>
      <c r="H88" s="58">
        <v>0.8075</v>
      </c>
      <c r="I88" s="56"/>
      <c r="J88" s="57">
        <f t="shared" si="1"/>
        <v>0.2006</v>
      </c>
      <c r="K88" s="58">
        <f t="shared" si="2"/>
        <v>0.77036666666666664</v>
      </c>
      <c r="L88" s="56"/>
      <c r="M88" s="62">
        <f t="shared" si="3"/>
        <v>8.0083333333333395E-3</v>
      </c>
      <c r="N88" s="56">
        <f t="shared" si="4"/>
        <v>0.56831938333333376</v>
      </c>
      <c r="O88" s="58">
        <f t="shared" si="5"/>
        <v>1.1366387666666675</v>
      </c>
      <c r="P88" s="56">
        <f t="shared" si="6"/>
        <v>0.11366387666666675</v>
      </c>
      <c r="Q88" s="57"/>
      <c r="R88" s="56"/>
      <c r="S88" s="58"/>
      <c r="T88" s="56"/>
    </row>
    <row r="89" spans="4:20" ht="14.4" customHeight="1" x14ac:dyDescent="0.3">
      <c r="D89" s="78"/>
      <c r="E89" s="22" t="s">
        <v>113</v>
      </c>
      <c r="F89" s="22">
        <f t="shared" ref="F89:F98" si="46">F87</f>
        <v>10</v>
      </c>
      <c r="G89" s="65">
        <v>0.30349999999999999</v>
      </c>
      <c r="H89" s="66">
        <v>0.73509999999999998</v>
      </c>
      <c r="I89" s="56"/>
      <c r="J89" s="57">
        <f t="shared" si="1"/>
        <v>0.26439999999999997</v>
      </c>
      <c r="K89" s="58">
        <f t="shared" si="2"/>
        <v>0.69796666666666662</v>
      </c>
      <c r="L89" s="56"/>
      <c r="M89" s="62">
        <f t="shared" si="3"/>
        <v>8.9908333333333312E-2</v>
      </c>
      <c r="N89" s="56">
        <f t="shared" si="4"/>
        <v>6.3804347833333317</v>
      </c>
      <c r="O89" s="58">
        <f t="shared" si="5"/>
        <v>12.760869566666663</v>
      </c>
      <c r="P89" s="56">
        <f t="shared" si="6"/>
        <v>1.2760869566666664</v>
      </c>
      <c r="Q89" s="57"/>
      <c r="R89" s="56"/>
      <c r="S89" s="58"/>
      <c r="T89" s="56"/>
    </row>
    <row r="90" spans="4:20" ht="14.4" customHeight="1" x14ac:dyDescent="0.3">
      <c r="D90" s="76">
        <f>A48</f>
        <v>22</v>
      </c>
      <c r="E90" s="12" t="s">
        <v>114</v>
      </c>
      <c r="F90" s="12">
        <f>B48</f>
        <v>10</v>
      </c>
      <c r="G90" s="54">
        <v>0.3619</v>
      </c>
      <c r="H90" s="55">
        <v>0.70750000000000002</v>
      </c>
      <c r="I90" s="56"/>
      <c r="J90" s="57">
        <f t="shared" si="1"/>
        <v>0.32279999999999998</v>
      </c>
      <c r="K90" s="58">
        <f t="shared" si="2"/>
        <v>0.67036666666666667</v>
      </c>
      <c r="L90" s="56"/>
      <c r="M90" s="62">
        <f t="shared" si="3"/>
        <v>0.15520833333333331</v>
      </c>
      <c r="N90" s="56">
        <f t="shared" si="4"/>
        <v>11.01451458333333</v>
      </c>
      <c r="O90" s="58">
        <f t="shared" si="5"/>
        <v>22.02902916666666</v>
      </c>
      <c r="P90" s="56">
        <f t="shared" si="6"/>
        <v>2.202902916666666</v>
      </c>
      <c r="Q90" s="57">
        <f>AVERAGE(P90:P92)</f>
        <v>2.1272058499999993</v>
      </c>
      <c r="R90" s="56">
        <f>STDEV(P90:P92)</f>
        <v>0.15859842560507803</v>
      </c>
      <c r="S90" s="58">
        <f>R90/Q90*100</f>
        <v>7.4557159385904317</v>
      </c>
      <c r="T90" s="56"/>
    </row>
    <row r="91" spans="4:20" ht="14.4" customHeight="1" x14ac:dyDescent="0.3">
      <c r="D91" s="77"/>
      <c r="E91" s="17" t="s">
        <v>115</v>
      </c>
      <c r="F91" s="17">
        <f t="shared" si="45"/>
        <v>10</v>
      </c>
      <c r="G91" s="57">
        <v>0.34089999999999998</v>
      </c>
      <c r="H91" s="58">
        <v>0.69620000000000004</v>
      </c>
      <c r="I91" s="56"/>
      <c r="J91" s="57">
        <f t="shared" ref="J91:J98" si="47">G91-$J$14</f>
        <v>0.30179999999999996</v>
      </c>
      <c r="K91" s="58">
        <f t="shared" ref="K91:K98" si="48">H91-$K$14</f>
        <v>0.65906666666666669</v>
      </c>
      <c r="L91" s="56"/>
      <c r="M91" s="62">
        <f t="shared" si="3"/>
        <v>0.13703333333333328</v>
      </c>
      <c r="N91" s="56">
        <f t="shared" si="4"/>
        <v>9.7247075333333299</v>
      </c>
      <c r="O91" s="58">
        <f t="shared" si="5"/>
        <v>19.44941506666666</v>
      </c>
      <c r="P91" s="56">
        <f t="shared" si="6"/>
        <v>1.944941506666666</v>
      </c>
      <c r="Q91" s="57"/>
      <c r="R91" s="56"/>
      <c r="S91" s="58"/>
      <c r="T91" s="56"/>
    </row>
    <row r="92" spans="4:20" ht="14.4" customHeight="1" x14ac:dyDescent="0.3">
      <c r="D92" s="78"/>
      <c r="E92" s="22" t="s">
        <v>116</v>
      </c>
      <c r="F92" s="22">
        <f t="shared" si="46"/>
        <v>10</v>
      </c>
      <c r="G92" s="65">
        <v>0.3599</v>
      </c>
      <c r="H92" s="66">
        <v>0.69079999999999997</v>
      </c>
      <c r="I92" s="56"/>
      <c r="J92" s="57">
        <f t="shared" si="47"/>
        <v>0.32079999999999997</v>
      </c>
      <c r="K92" s="58">
        <f t="shared" si="48"/>
        <v>0.65366666666666662</v>
      </c>
      <c r="L92" s="56"/>
      <c r="M92" s="62">
        <f t="shared" ref="M92:M98" si="49">J92-(0.25*K92)</f>
        <v>0.15738333333333332</v>
      </c>
      <c r="N92" s="56">
        <f t="shared" ref="N92:N98" si="50">M92*70.966</f>
        <v>11.168865633333331</v>
      </c>
      <c r="O92" s="58">
        <f t="shared" ref="O92:O98" si="51">N92*2</f>
        <v>22.337731266666662</v>
      </c>
      <c r="P92" s="56">
        <f t="shared" ref="P92:P98" si="52">O92/F92</f>
        <v>2.2337731266666663</v>
      </c>
      <c r="Q92" s="57"/>
      <c r="R92" s="56"/>
      <c r="S92" s="58"/>
      <c r="T92" s="56"/>
    </row>
    <row r="93" spans="4:20" ht="14.4" customHeight="1" x14ac:dyDescent="0.3">
      <c r="D93" s="76">
        <f>A49</f>
        <v>23</v>
      </c>
      <c r="E93" s="12" t="s">
        <v>117</v>
      </c>
      <c r="F93" s="12">
        <f>B49</f>
        <v>10</v>
      </c>
      <c r="G93" s="54">
        <v>0.36370000000000002</v>
      </c>
      <c r="H93" s="55">
        <v>0.75109999999999999</v>
      </c>
      <c r="I93" s="56"/>
      <c r="J93" s="57">
        <f t="shared" si="47"/>
        <v>0.3246</v>
      </c>
      <c r="K93" s="58">
        <f t="shared" si="48"/>
        <v>0.71396666666666664</v>
      </c>
      <c r="L93" s="56"/>
      <c r="M93" s="62">
        <f t="shared" si="49"/>
        <v>0.14610833333333334</v>
      </c>
      <c r="N93" s="56">
        <f t="shared" si="50"/>
        <v>10.368723983333332</v>
      </c>
      <c r="O93" s="58">
        <f t="shared" si="51"/>
        <v>20.737447966666664</v>
      </c>
      <c r="P93" s="56">
        <f t="shared" si="52"/>
        <v>2.0737447966666664</v>
      </c>
      <c r="Q93" s="57">
        <f>AVERAGE(P93:P95)</f>
        <v>2.2039674066666661</v>
      </c>
      <c r="R93" s="56">
        <f>STDEV(P93:P95)</f>
        <v>0.18058825262088499</v>
      </c>
      <c r="S93" s="58">
        <f>R93/Q93*100</f>
        <v>8.1937805466012321</v>
      </c>
      <c r="T93" s="56"/>
    </row>
    <row r="94" spans="4:20" ht="14.4" customHeight="1" x14ac:dyDescent="0.3">
      <c r="D94" s="77"/>
      <c r="E94" s="17" t="s">
        <v>118</v>
      </c>
      <c r="F94" s="17">
        <f t="shared" si="45"/>
        <v>10</v>
      </c>
      <c r="G94" s="57">
        <v>0.37209999999999999</v>
      </c>
      <c r="H94" s="58">
        <v>0.76939999999999997</v>
      </c>
      <c r="I94" s="56"/>
      <c r="J94" s="57">
        <f t="shared" si="47"/>
        <v>0.33299999999999996</v>
      </c>
      <c r="K94" s="58">
        <f t="shared" si="48"/>
        <v>0.73226666666666662</v>
      </c>
      <c r="L94" s="56"/>
      <c r="M94" s="62">
        <f t="shared" si="49"/>
        <v>0.14993333333333331</v>
      </c>
      <c r="N94" s="56">
        <f t="shared" si="50"/>
        <v>10.64016893333333</v>
      </c>
      <c r="O94" s="58">
        <f t="shared" si="51"/>
        <v>21.28033786666666</v>
      </c>
      <c r="P94" s="56">
        <f t="shared" si="52"/>
        <v>2.1280337866666659</v>
      </c>
      <c r="Q94" s="57"/>
      <c r="R94" s="56"/>
      <c r="S94" s="58"/>
      <c r="T94" s="56"/>
    </row>
    <row r="95" spans="4:20" ht="14.4" customHeight="1" x14ac:dyDescent="0.3">
      <c r="D95" s="78"/>
      <c r="E95" s="22" t="s">
        <v>119</v>
      </c>
      <c r="F95" s="22">
        <f t="shared" si="46"/>
        <v>10</v>
      </c>
      <c r="G95" s="65">
        <v>0.38879999999999998</v>
      </c>
      <c r="H95" s="66">
        <v>0.75670000000000004</v>
      </c>
      <c r="I95" s="56"/>
      <c r="J95" s="57">
        <f t="shared" si="47"/>
        <v>0.34969999999999996</v>
      </c>
      <c r="K95" s="58">
        <f t="shared" si="48"/>
        <v>0.71956666666666669</v>
      </c>
      <c r="L95" s="56"/>
      <c r="M95" s="62">
        <f t="shared" si="49"/>
        <v>0.16980833333333328</v>
      </c>
      <c r="N95" s="56">
        <f t="shared" si="50"/>
        <v>12.050618183333329</v>
      </c>
      <c r="O95" s="58">
        <f t="shared" si="51"/>
        <v>24.101236366666658</v>
      </c>
      <c r="P95" s="56">
        <f t="shared" si="52"/>
        <v>2.4101236366666656</v>
      </c>
      <c r="Q95" s="57"/>
      <c r="R95" s="56"/>
      <c r="S95" s="58"/>
      <c r="T95" s="56"/>
    </row>
    <row r="96" spans="4:20" ht="14.4" customHeight="1" x14ac:dyDescent="0.3">
      <c r="D96" s="76">
        <f>A50</f>
        <v>24</v>
      </c>
      <c r="E96" s="12" t="s">
        <v>120</v>
      </c>
      <c r="F96" s="12">
        <f>B50</f>
        <v>10</v>
      </c>
      <c r="G96" s="54">
        <v>0.36720000000000003</v>
      </c>
      <c r="H96" s="55">
        <v>0.70199999999999996</v>
      </c>
      <c r="I96" s="56"/>
      <c r="J96" s="57">
        <f t="shared" si="47"/>
        <v>0.3281</v>
      </c>
      <c r="K96" s="58">
        <f t="shared" si="48"/>
        <v>0.66486666666666661</v>
      </c>
      <c r="L96" s="56"/>
      <c r="M96" s="62">
        <f t="shared" si="49"/>
        <v>0.16188333333333335</v>
      </c>
      <c r="N96" s="56">
        <f t="shared" si="50"/>
        <v>11.488212633333333</v>
      </c>
      <c r="O96" s="58">
        <f t="shared" si="51"/>
        <v>22.976425266666666</v>
      </c>
      <c r="P96" s="56">
        <f t="shared" si="52"/>
        <v>2.2976425266666665</v>
      </c>
      <c r="Q96" s="57">
        <f>AVERAGE(P96:P98)</f>
        <v>2.1721509833333328</v>
      </c>
      <c r="R96" s="56">
        <f>STDEV(P96:P98)</f>
        <v>0.23950692070772506</v>
      </c>
      <c r="S96" s="58">
        <f>R96/Q96*100</f>
        <v>11.026255658351303</v>
      </c>
      <c r="T96" s="56"/>
    </row>
    <row r="97" spans="4:20" ht="14.4" customHeight="1" x14ac:dyDescent="0.3">
      <c r="D97" s="77"/>
      <c r="E97" s="17" t="s">
        <v>121</v>
      </c>
      <c r="F97" s="17">
        <f t="shared" si="45"/>
        <v>10</v>
      </c>
      <c r="G97" s="57">
        <v>0.36580000000000001</v>
      </c>
      <c r="H97" s="58">
        <v>0.68930000000000002</v>
      </c>
      <c r="I97" s="56"/>
      <c r="J97" s="57">
        <f t="shared" si="47"/>
        <v>0.32669999999999999</v>
      </c>
      <c r="K97" s="58">
        <f t="shared" si="48"/>
        <v>0.65216666666666667</v>
      </c>
      <c r="L97" s="56"/>
      <c r="M97" s="62">
        <f t="shared" si="49"/>
        <v>0.16365833333333332</v>
      </c>
      <c r="N97" s="56">
        <f t="shared" si="50"/>
        <v>11.614177283333332</v>
      </c>
      <c r="O97" s="58">
        <f t="shared" si="51"/>
        <v>23.228354566666663</v>
      </c>
      <c r="P97" s="56">
        <f t="shared" si="52"/>
        <v>2.3228354566666662</v>
      </c>
      <c r="Q97" s="57"/>
      <c r="R97" s="56"/>
      <c r="S97" s="58"/>
      <c r="T97" s="56"/>
    </row>
    <row r="98" spans="4:20" ht="14.4" customHeight="1" x14ac:dyDescent="0.3">
      <c r="D98" s="78"/>
      <c r="E98" s="22" t="s">
        <v>122</v>
      </c>
      <c r="F98" s="22">
        <f t="shared" si="46"/>
        <v>10</v>
      </c>
      <c r="G98" s="65">
        <v>0.33329999999999999</v>
      </c>
      <c r="H98" s="66">
        <v>0.67959999999999998</v>
      </c>
      <c r="I98" s="56"/>
      <c r="J98" s="65">
        <f t="shared" si="47"/>
        <v>0.29419999999999996</v>
      </c>
      <c r="K98" s="58">
        <f t="shared" si="48"/>
        <v>0.64246666666666663</v>
      </c>
      <c r="L98" s="56"/>
      <c r="M98" s="69">
        <f t="shared" si="49"/>
        <v>0.1335833333333333</v>
      </c>
      <c r="N98" s="56">
        <f t="shared" si="50"/>
        <v>9.47987483333333</v>
      </c>
      <c r="O98" s="58">
        <f t="shared" si="51"/>
        <v>18.95974966666666</v>
      </c>
      <c r="P98" s="70">
        <f t="shared" si="52"/>
        <v>1.8959749666666661</v>
      </c>
      <c r="Q98" s="65"/>
      <c r="R98" s="70"/>
      <c r="S98" s="66"/>
      <c r="T98" s="56"/>
    </row>
    <row r="99" spans="4:20" x14ac:dyDescent="0.3">
      <c r="N99" s="35"/>
    </row>
  </sheetData>
  <mergeCells count="31">
    <mergeCell ref="D96:D98"/>
    <mergeCell ref="D78:D80"/>
    <mergeCell ref="D81:D83"/>
    <mergeCell ref="D84:D86"/>
    <mergeCell ref="D87:D89"/>
    <mergeCell ref="D90:D92"/>
    <mergeCell ref="D93:D95"/>
    <mergeCell ref="D60:D62"/>
    <mergeCell ref="D63:D65"/>
    <mergeCell ref="D66:D68"/>
    <mergeCell ref="D69:D71"/>
    <mergeCell ref="D72:D74"/>
    <mergeCell ref="D75:D77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1-24</vt:lpstr>
      <vt:lpstr>25-48</vt:lpstr>
      <vt:lpstr>49-72</vt:lpstr>
      <vt:lpstr>73-96</vt:lpstr>
      <vt:lpstr>97-120</vt:lpstr>
      <vt:lpstr>121-144</vt:lpstr>
      <vt:lpstr>145-168</vt:lpstr>
      <vt:lpstr>169-192</vt:lpstr>
      <vt:lpstr>193-202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Ruven Gierholz</dc:creator>
  <cp:lastModifiedBy>Güvencli, Nuri</cp:lastModifiedBy>
  <dcterms:created xsi:type="dcterms:W3CDTF">2025-04-30T12:26:55Z</dcterms:created>
  <dcterms:modified xsi:type="dcterms:W3CDTF">2025-05-11T13:47:46Z</dcterms:modified>
</cp:coreProperties>
</file>