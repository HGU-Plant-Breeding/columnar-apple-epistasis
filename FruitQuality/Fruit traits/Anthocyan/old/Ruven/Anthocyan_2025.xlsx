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evenc\Desktop\R_Working_Directory\Fruit traits\Anthocyan\Ruven\"/>
    </mc:Choice>
  </mc:AlternateContent>
  <xr:revisionPtr revIDLastSave="0" documentId="13_ncr:1_{BAB70FB5-7DB9-488E-8C6D-6EFB68611E8C}" xr6:coauthVersionLast="36" xr6:coauthVersionMax="47" xr10:uidLastSave="{00000000-0000-0000-0000-000000000000}"/>
  <bookViews>
    <workbookView xWindow="-105" yWindow="-105" windowWidth="23250" windowHeight="12450" activeTab="5" xr2:uid="{EB30DD52-98CB-4CCE-8161-7A2E208EC454}"/>
  </bookViews>
  <sheets>
    <sheet name="plate1" sheetId="1" r:id="rId1"/>
    <sheet name="plate2" sheetId="12" r:id="rId2"/>
    <sheet name="plate3" sheetId="13" r:id="rId3"/>
    <sheet name="plate4" sheetId="14" r:id="rId4"/>
    <sheet name="plate5" sheetId="15" r:id="rId5"/>
    <sheet name="Antho_2025" sheetId="1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6" i="15" l="1"/>
  <c r="F97" i="15" s="1"/>
  <c r="D96" i="15"/>
  <c r="T50" i="15" s="1"/>
  <c r="F95" i="15"/>
  <c r="F94" i="15"/>
  <c r="F93" i="15"/>
  <c r="D93" i="15"/>
  <c r="F90" i="15"/>
  <c r="F91" i="15" s="1"/>
  <c r="D90" i="15"/>
  <c r="T48" i="15" s="1"/>
  <c r="F87" i="15"/>
  <c r="D87" i="15"/>
  <c r="T47" i="15" s="1"/>
  <c r="F86" i="15"/>
  <c r="F85" i="15"/>
  <c r="F84" i="15"/>
  <c r="D84" i="15"/>
  <c r="T46" i="15" s="1"/>
  <c r="F83" i="15"/>
  <c r="F82" i="15"/>
  <c r="K81" i="15"/>
  <c r="F81" i="15"/>
  <c r="D81" i="15"/>
  <c r="F78" i="15"/>
  <c r="F79" i="15" s="1"/>
  <c r="D78" i="15"/>
  <c r="F75" i="15"/>
  <c r="D75" i="15"/>
  <c r="T43" i="15" s="1"/>
  <c r="F73" i="15"/>
  <c r="F72" i="15"/>
  <c r="F74" i="15" s="1"/>
  <c r="D72" i="15"/>
  <c r="T42" i="15" s="1"/>
  <c r="F71" i="15"/>
  <c r="F70" i="15"/>
  <c r="F69" i="15"/>
  <c r="D69" i="15"/>
  <c r="K68" i="15"/>
  <c r="F66" i="15"/>
  <c r="F67" i="15" s="1"/>
  <c r="D66" i="15"/>
  <c r="T40" i="15" s="1"/>
  <c r="K63" i="15"/>
  <c r="F63" i="15"/>
  <c r="D63" i="15"/>
  <c r="T39" i="15" s="1"/>
  <c r="F62" i="15"/>
  <c r="F61" i="15"/>
  <c r="F60" i="15"/>
  <c r="D60" i="15"/>
  <c r="T38" i="15" s="1"/>
  <c r="F59" i="15"/>
  <c r="F58" i="15"/>
  <c r="F57" i="15"/>
  <c r="D57" i="15"/>
  <c r="F56" i="15"/>
  <c r="F55" i="15"/>
  <c r="F54" i="15"/>
  <c r="D54" i="15"/>
  <c r="F51" i="15"/>
  <c r="D51" i="15"/>
  <c r="T49" i="15"/>
  <c r="F49" i="15"/>
  <c r="F48" i="15"/>
  <c r="F50" i="15" s="1"/>
  <c r="D48" i="15"/>
  <c r="T34" i="15" s="1"/>
  <c r="F47" i="15"/>
  <c r="F46" i="15"/>
  <c r="T45" i="15"/>
  <c r="F45" i="15"/>
  <c r="D45" i="15"/>
  <c r="T44" i="15"/>
  <c r="F42" i="15"/>
  <c r="F43" i="15" s="1"/>
  <c r="D42" i="15"/>
  <c r="T41" i="15"/>
  <c r="F39" i="15"/>
  <c r="F41" i="15" s="1"/>
  <c r="D39" i="15"/>
  <c r="T31" i="15" s="1"/>
  <c r="T37" i="15"/>
  <c r="T36" i="15"/>
  <c r="F36" i="15"/>
  <c r="D36" i="15"/>
  <c r="T30" i="15" s="1"/>
  <c r="T35" i="15"/>
  <c r="F35" i="15"/>
  <c r="T33" i="15"/>
  <c r="F33" i="15"/>
  <c r="F34" i="15" s="1"/>
  <c r="D33" i="15"/>
  <c r="T32" i="15"/>
  <c r="F32" i="15"/>
  <c r="F30" i="15"/>
  <c r="F31" i="15" s="1"/>
  <c r="D30" i="15"/>
  <c r="T29" i="15"/>
  <c r="T28" i="15"/>
  <c r="F27" i="15"/>
  <c r="F29" i="15" s="1"/>
  <c r="D27" i="15"/>
  <c r="T27" i="15" s="1"/>
  <c r="K13" i="15"/>
  <c r="J13" i="15"/>
  <c r="K12" i="15"/>
  <c r="J12" i="15"/>
  <c r="K11" i="15"/>
  <c r="K14" i="15" s="1"/>
  <c r="K95" i="15" s="1"/>
  <c r="J11" i="15"/>
  <c r="J14" i="15" s="1"/>
  <c r="K10" i="15"/>
  <c r="J10" i="15"/>
  <c r="K9" i="15"/>
  <c r="N9" i="15" s="1"/>
  <c r="J9" i="15"/>
  <c r="M9" i="15" s="1"/>
  <c r="P10" i="15" s="1"/>
  <c r="K8" i="15"/>
  <c r="J8" i="15"/>
  <c r="M8" i="15" s="1"/>
  <c r="P9" i="15" s="1"/>
  <c r="K7" i="15"/>
  <c r="N7" i="15" s="1"/>
  <c r="J7" i="15"/>
  <c r="M7" i="15" s="1"/>
  <c r="P8" i="15" s="1"/>
  <c r="K6" i="15"/>
  <c r="N6" i="15" s="1"/>
  <c r="J6" i="15"/>
  <c r="F98" i="14"/>
  <c r="F97" i="14"/>
  <c r="F96" i="14"/>
  <c r="D96" i="14"/>
  <c r="F95" i="14"/>
  <c r="F94" i="14"/>
  <c r="F93" i="14"/>
  <c r="D93" i="14"/>
  <c r="F92" i="14"/>
  <c r="F90" i="14"/>
  <c r="F91" i="14" s="1"/>
  <c r="D90" i="14"/>
  <c r="F87" i="14"/>
  <c r="F88" i="14" s="1"/>
  <c r="D87" i="14"/>
  <c r="T47" i="14" s="1"/>
  <c r="F86" i="14"/>
  <c r="F85" i="14"/>
  <c r="F84" i="14"/>
  <c r="D84" i="14"/>
  <c r="F83" i="14"/>
  <c r="F82" i="14"/>
  <c r="F81" i="14"/>
  <c r="D81" i="14"/>
  <c r="F80" i="14"/>
  <c r="F78" i="14"/>
  <c r="F79" i="14" s="1"/>
  <c r="D78" i="14"/>
  <c r="T44" i="14" s="1"/>
  <c r="F75" i="14"/>
  <c r="F76" i="14" s="1"/>
  <c r="D75" i="14"/>
  <c r="T43" i="14" s="1"/>
  <c r="F74" i="14"/>
  <c r="F73" i="14"/>
  <c r="F72" i="14"/>
  <c r="D72" i="14"/>
  <c r="F71" i="14"/>
  <c r="F70" i="14"/>
  <c r="F69" i="14"/>
  <c r="D69" i="14"/>
  <c r="F68" i="14"/>
  <c r="F66" i="14"/>
  <c r="F67" i="14" s="1"/>
  <c r="D66" i="14"/>
  <c r="T40" i="14" s="1"/>
  <c r="F63" i="14"/>
  <c r="F64" i="14" s="1"/>
  <c r="D63" i="14"/>
  <c r="T39" i="14" s="1"/>
  <c r="F62" i="14"/>
  <c r="F61" i="14"/>
  <c r="F60" i="14"/>
  <c r="D60" i="14"/>
  <c r="F59" i="14"/>
  <c r="F58" i="14"/>
  <c r="F57" i="14"/>
  <c r="D57" i="14"/>
  <c r="F56" i="14"/>
  <c r="F54" i="14"/>
  <c r="F55" i="14" s="1"/>
  <c r="D54" i="14"/>
  <c r="T36" i="14" s="1"/>
  <c r="F53" i="14"/>
  <c r="F51" i="14"/>
  <c r="F52" i="14" s="1"/>
  <c r="D51" i="14"/>
  <c r="T50" i="14"/>
  <c r="T49" i="14"/>
  <c r="T48" i="14"/>
  <c r="F48" i="14"/>
  <c r="F50" i="14" s="1"/>
  <c r="D48" i="14"/>
  <c r="T34" i="14" s="1"/>
  <c r="F47" i="14"/>
  <c r="T46" i="14"/>
  <c r="T45" i="14"/>
  <c r="F45" i="14"/>
  <c r="F46" i="14" s="1"/>
  <c r="D45" i="14"/>
  <c r="T33" i="14" s="1"/>
  <c r="F44" i="14"/>
  <c r="F43" i="14"/>
  <c r="T42" i="14"/>
  <c r="F42" i="14"/>
  <c r="D42" i="14"/>
  <c r="T41" i="14"/>
  <c r="F41" i="14"/>
  <c r="F40" i="14"/>
  <c r="F39" i="14"/>
  <c r="D39" i="14"/>
  <c r="T38" i="14"/>
  <c r="F38" i="14"/>
  <c r="T37" i="14"/>
  <c r="F36" i="14"/>
  <c r="F37" i="14" s="1"/>
  <c r="D36" i="14"/>
  <c r="T30" i="14" s="1"/>
  <c r="T35" i="14"/>
  <c r="F34" i="14"/>
  <c r="F33" i="14"/>
  <c r="F35" i="14" s="1"/>
  <c r="D33" i="14"/>
  <c r="T32" i="14"/>
  <c r="F32" i="14"/>
  <c r="T31" i="14"/>
  <c r="F30" i="14"/>
  <c r="F31" i="14" s="1"/>
  <c r="D30" i="14"/>
  <c r="T28" i="14" s="1"/>
  <c r="T29" i="14"/>
  <c r="F28" i="14"/>
  <c r="F27" i="14"/>
  <c r="F29" i="14" s="1"/>
  <c r="D27" i="14"/>
  <c r="T27" i="14" s="1"/>
  <c r="K13" i="14"/>
  <c r="J13" i="14"/>
  <c r="K12" i="14"/>
  <c r="J12" i="14"/>
  <c r="K11" i="14"/>
  <c r="J11" i="14"/>
  <c r="K10" i="14"/>
  <c r="J10" i="14"/>
  <c r="K9" i="14"/>
  <c r="J9" i="14"/>
  <c r="K8" i="14"/>
  <c r="J8" i="14"/>
  <c r="K7" i="14"/>
  <c r="J7" i="14"/>
  <c r="K6" i="14"/>
  <c r="J6" i="14"/>
  <c r="F98" i="13"/>
  <c r="F97" i="13"/>
  <c r="F96" i="13"/>
  <c r="D96" i="13"/>
  <c r="T50" i="13" s="1"/>
  <c r="F93" i="13"/>
  <c r="D93" i="13"/>
  <c r="F90" i="13"/>
  <c r="D90" i="13"/>
  <c r="T48" i="13" s="1"/>
  <c r="F87" i="13"/>
  <c r="D87" i="13"/>
  <c r="T47" i="13" s="1"/>
  <c r="F86" i="13"/>
  <c r="F85" i="13"/>
  <c r="F84" i="13"/>
  <c r="D84" i="13"/>
  <c r="T46" i="13" s="1"/>
  <c r="F81" i="13"/>
  <c r="D81" i="13"/>
  <c r="F78" i="13"/>
  <c r="D78" i="13"/>
  <c r="T44" i="13" s="1"/>
  <c r="F75" i="13"/>
  <c r="D75" i="13"/>
  <c r="T43" i="13" s="1"/>
  <c r="F74" i="13"/>
  <c r="F73" i="13"/>
  <c r="F72" i="13"/>
  <c r="D72" i="13"/>
  <c r="T42" i="13" s="1"/>
  <c r="F69" i="13"/>
  <c r="D69" i="13"/>
  <c r="F66" i="13"/>
  <c r="D66" i="13"/>
  <c r="T40" i="13" s="1"/>
  <c r="F63" i="13"/>
  <c r="D63" i="13"/>
  <c r="T39" i="13" s="1"/>
  <c r="F62" i="13"/>
  <c r="F61" i="13"/>
  <c r="F60" i="13"/>
  <c r="D60" i="13"/>
  <c r="T38" i="13" s="1"/>
  <c r="F57" i="13"/>
  <c r="D57" i="13"/>
  <c r="F54" i="13"/>
  <c r="D54" i="13"/>
  <c r="F51" i="13"/>
  <c r="D51" i="13"/>
  <c r="T35" i="13" s="1"/>
  <c r="F50" i="13"/>
  <c r="T49" i="13"/>
  <c r="F49" i="13"/>
  <c r="F48" i="13"/>
  <c r="D48" i="13"/>
  <c r="F47" i="13"/>
  <c r="F46" i="13"/>
  <c r="T45" i="13"/>
  <c r="F45" i="13"/>
  <c r="D45" i="13"/>
  <c r="F42" i="13"/>
  <c r="F43" i="13" s="1"/>
  <c r="D42" i="13"/>
  <c r="T32" i="13" s="1"/>
  <c r="T41" i="13"/>
  <c r="F40" i="13"/>
  <c r="F39" i="13"/>
  <c r="F41" i="13" s="1"/>
  <c r="D39" i="13"/>
  <c r="T37" i="13"/>
  <c r="T36" i="13"/>
  <c r="F36" i="13"/>
  <c r="F37" i="13" s="1"/>
  <c r="D36" i="13"/>
  <c r="T34" i="13"/>
  <c r="T33" i="13"/>
  <c r="F33" i="13"/>
  <c r="F34" i="13" s="1"/>
  <c r="D33" i="13"/>
  <c r="T29" i="13" s="1"/>
  <c r="F32" i="13"/>
  <c r="T31" i="13"/>
  <c r="F31" i="13"/>
  <c r="T30" i="13"/>
  <c r="F30" i="13"/>
  <c r="D30" i="13"/>
  <c r="F29" i="13"/>
  <c r="T28" i="13"/>
  <c r="F28" i="13"/>
  <c r="T27" i="13"/>
  <c r="F27" i="13"/>
  <c r="D27" i="13"/>
  <c r="K13" i="13"/>
  <c r="J13" i="13"/>
  <c r="K12" i="13"/>
  <c r="J12" i="13"/>
  <c r="K11" i="13"/>
  <c r="K14" i="13" s="1"/>
  <c r="K37" i="13" s="1"/>
  <c r="J11" i="13"/>
  <c r="K10" i="13"/>
  <c r="N10" i="13" s="1"/>
  <c r="J10" i="13"/>
  <c r="K9" i="13"/>
  <c r="N9" i="13" s="1"/>
  <c r="J9" i="13"/>
  <c r="K8" i="13"/>
  <c r="J8" i="13"/>
  <c r="K7" i="13"/>
  <c r="J7" i="13"/>
  <c r="K6" i="13"/>
  <c r="J6" i="13"/>
  <c r="F98" i="12"/>
  <c r="F97" i="12"/>
  <c r="F96" i="12"/>
  <c r="D96" i="12"/>
  <c r="T50" i="12" s="1"/>
  <c r="F95" i="12"/>
  <c r="F94" i="12"/>
  <c r="F93" i="12"/>
  <c r="D93" i="12"/>
  <c r="F90" i="12"/>
  <c r="F91" i="12" s="1"/>
  <c r="D90" i="12"/>
  <c r="T48" i="12" s="1"/>
  <c r="F87" i="12"/>
  <c r="D87" i="12"/>
  <c r="F86" i="12"/>
  <c r="F85" i="12"/>
  <c r="F84" i="12"/>
  <c r="D84" i="12"/>
  <c r="T46" i="12" s="1"/>
  <c r="F83" i="12"/>
  <c r="F82" i="12"/>
  <c r="F81" i="12"/>
  <c r="D81" i="12"/>
  <c r="F80" i="12"/>
  <c r="F78" i="12"/>
  <c r="F79" i="12" s="1"/>
  <c r="D78" i="12"/>
  <c r="T44" i="12" s="1"/>
  <c r="F75" i="12"/>
  <c r="D75" i="12"/>
  <c r="T43" i="12" s="1"/>
  <c r="F74" i="12"/>
  <c r="F73" i="12"/>
  <c r="F72" i="12"/>
  <c r="D72" i="12"/>
  <c r="T42" i="12" s="1"/>
  <c r="F71" i="12"/>
  <c r="F70" i="12"/>
  <c r="F69" i="12"/>
  <c r="D69" i="12"/>
  <c r="F66" i="12"/>
  <c r="F67" i="12" s="1"/>
  <c r="D66" i="12"/>
  <c r="T40" i="12" s="1"/>
  <c r="F63" i="12"/>
  <c r="D63" i="12"/>
  <c r="F62" i="12"/>
  <c r="F61" i="12"/>
  <c r="F60" i="12"/>
  <c r="D60" i="12"/>
  <c r="F59" i="12"/>
  <c r="F58" i="12"/>
  <c r="F57" i="12"/>
  <c r="D57" i="12"/>
  <c r="F56" i="12"/>
  <c r="F54" i="12"/>
  <c r="F55" i="12" s="1"/>
  <c r="D54" i="12"/>
  <c r="T36" i="12" s="1"/>
  <c r="F51" i="12"/>
  <c r="D51" i="12"/>
  <c r="T49" i="12"/>
  <c r="F49" i="12"/>
  <c r="F48" i="12"/>
  <c r="F50" i="12" s="1"/>
  <c r="D48" i="12"/>
  <c r="T34" i="12" s="1"/>
  <c r="T47" i="12"/>
  <c r="F47" i="12"/>
  <c r="F46" i="12"/>
  <c r="T45" i="12"/>
  <c r="F45" i="12"/>
  <c r="D45" i="12"/>
  <c r="F44" i="12"/>
  <c r="F42" i="12"/>
  <c r="F43" i="12" s="1"/>
  <c r="D42" i="12"/>
  <c r="T32" i="12" s="1"/>
  <c r="T41" i="12"/>
  <c r="F40" i="12"/>
  <c r="T39" i="12"/>
  <c r="F39" i="12"/>
  <c r="F41" i="12" s="1"/>
  <c r="D39" i="12"/>
  <c r="T38" i="12"/>
  <c r="F38" i="12"/>
  <c r="T37" i="12"/>
  <c r="F36" i="12"/>
  <c r="F37" i="12" s="1"/>
  <c r="D36" i="12"/>
  <c r="T30" i="12" s="1"/>
  <c r="T35" i="12"/>
  <c r="F34" i="12"/>
  <c r="T33" i="12"/>
  <c r="F33" i="12"/>
  <c r="F35" i="12" s="1"/>
  <c r="D33" i="12"/>
  <c r="T31" i="12"/>
  <c r="F30" i="12"/>
  <c r="F31" i="12" s="1"/>
  <c r="D30" i="12"/>
  <c r="T28" i="12" s="1"/>
  <c r="T29" i="12"/>
  <c r="F28" i="12"/>
  <c r="T27" i="12"/>
  <c r="F27" i="12"/>
  <c r="F29" i="12" s="1"/>
  <c r="D27" i="12"/>
  <c r="K13" i="12"/>
  <c r="J13" i="12"/>
  <c r="K12" i="12"/>
  <c r="J12" i="12"/>
  <c r="K11" i="12"/>
  <c r="K14" i="12" s="1"/>
  <c r="K54" i="12" s="1"/>
  <c r="J11" i="12"/>
  <c r="J14" i="12" s="1"/>
  <c r="J97" i="12" s="1"/>
  <c r="K10" i="12"/>
  <c r="J10" i="12"/>
  <c r="K9" i="12"/>
  <c r="J9" i="12"/>
  <c r="K8" i="12"/>
  <c r="J8" i="12"/>
  <c r="K7" i="12"/>
  <c r="N7" i="12" s="1"/>
  <c r="J7" i="12"/>
  <c r="M7" i="12" s="1"/>
  <c r="P8" i="12" s="1"/>
  <c r="K6" i="12"/>
  <c r="N6" i="12" s="1"/>
  <c r="J6" i="12"/>
  <c r="K9" i="1"/>
  <c r="J9" i="1"/>
  <c r="K8" i="1"/>
  <c r="J8" i="1"/>
  <c r="K6" i="1"/>
  <c r="J6" i="1"/>
  <c r="K51" i="15" l="1"/>
  <c r="K76" i="15"/>
  <c r="J14" i="14"/>
  <c r="M10" i="14" s="1"/>
  <c r="P11" i="14" s="1"/>
  <c r="K90" i="13"/>
  <c r="K51" i="13"/>
  <c r="N6" i="13"/>
  <c r="K74" i="13"/>
  <c r="K28" i="13"/>
  <c r="N7" i="13"/>
  <c r="K42" i="13"/>
  <c r="K75" i="13"/>
  <c r="J14" i="13"/>
  <c r="J71" i="13" s="1"/>
  <c r="M71" i="13" s="1"/>
  <c r="N71" i="13" s="1"/>
  <c r="O71" i="13" s="1"/>
  <c r="M7" i="13"/>
  <c r="P8" i="13" s="1"/>
  <c r="M9" i="13"/>
  <c r="P10" i="13" s="1"/>
  <c r="K46" i="13"/>
  <c r="K83" i="13"/>
  <c r="K66" i="13"/>
  <c r="J89" i="15"/>
  <c r="J77" i="15"/>
  <c r="J65" i="15"/>
  <c r="J53" i="15"/>
  <c r="J41" i="15"/>
  <c r="J37" i="15"/>
  <c r="J39" i="15"/>
  <c r="J96" i="15"/>
  <c r="J91" i="15"/>
  <c r="J84" i="15"/>
  <c r="J79" i="15"/>
  <c r="J72" i="15"/>
  <c r="J67" i="15"/>
  <c r="M67" i="15" s="1"/>
  <c r="N67" i="15" s="1"/>
  <c r="O67" i="15" s="1"/>
  <c r="P67" i="15" s="1"/>
  <c r="J60" i="15"/>
  <c r="M60" i="15" s="1"/>
  <c r="N60" i="15" s="1"/>
  <c r="O60" i="15" s="1"/>
  <c r="P60" i="15" s="1"/>
  <c r="J55" i="15"/>
  <c r="M55" i="15" s="1"/>
  <c r="N55" i="15" s="1"/>
  <c r="O55" i="15" s="1"/>
  <c r="P55" i="15" s="1"/>
  <c r="J98" i="15"/>
  <c r="J86" i="15"/>
  <c r="M86" i="15" s="1"/>
  <c r="N86" i="15" s="1"/>
  <c r="O86" i="15" s="1"/>
  <c r="P86" i="15" s="1"/>
  <c r="J74" i="15"/>
  <c r="M74" i="15" s="1"/>
  <c r="N74" i="15" s="1"/>
  <c r="O74" i="15" s="1"/>
  <c r="P74" i="15" s="1"/>
  <c r="J62" i="15"/>
  <c r="M62" i="15" s="1"/>
  <c r="N62" i="15" s="1"/>
  <c r="O62" i="15" s="1"/>
  <c r="P62" i="15" s="1"/>
  <c r="J48" i="15"/>
  <c r="M48" i="15" s="1"/>
  <c r="N48" i="15" s="1"/>
  <c r="O48" i="15" s="1"/>
  <c r="P48" i="15" s="1"/>
  <c r="J97" i="15"/>
  <c r="J90" i="15"/>
  <c r="J85" i="15"/>
  <c r="J78" i="15"/>
  <c r="J73" i="15"/>
  <c r="J66" i="15"/>
  <c r="J61" i="15"/>
  <c r="J54" i="15"/>
  <c r="J36" i="15"/>
  <c r="J33" i="15"/>
  <c r="J57" i="15"/>
  <c r="J43" i="15"/>
  <c r="J38" i="15"/>
  <c r="M10" i="15"/>
  <c r="P11" i="15" s="1"/>
  <c r="J94" i="15"/>
  <c r="J70" i="15"/>
  <c r="J50" i="15"/>
  <c r="M50" i="15" s="1"/>
  <c r="N50" i="15" s="1"/>
  <c r="O50" i="15" s="1"/>
  <c r="P50" i="15" s="1"/>
  <c r="J40" i="15"/>
  <c r="M40" i="15" s="1"/>
  <c r="N40" i="15" s="1"/>
  <c r="O40" i="15" s="1"/>
  <c r="P40" i="15" s="1"/>
  <c r="J35" i="15"/>
  <c r="M35" i="15" s="1"/>
  <c r="N35" i="15" s="1"/>
  <c r="O35" i="15" s="1"/>
  <c r="P35" i="15" s="1"/>
  <c r="J30" i="15"/>
  <c r="M30" i="15" s="1"/>
  <c r="N30" i="15" s="1"/>
  <c r="O30" i="15" s="1"/>
  <c r="P30" i="15" s="1"/>
  <c r="J76" i="15"/>
  <c r="M76" i="15" s="1"/>
  <c r="N76" i="15" s="1"/>
  <c r="O76" i="15" s="1"/>
  <c r="J51" i="15"/>
  <c r="M51" i="15" s="1"/>
  <c r="N51" i="15" s="1"/>
  <c r="O51" i="15" s="1"/>
  <c r="P51" i="15" s="1"/>
  <c r="J93" i="15"/>
  <c r="J88" i="15"/>
  <c r="J83" i="15"/>
  <c r="J75" i="15"/>
  <c r="J69" i="15"/>
  <c r="J64" i="15"/>
  <c r="J80" i="15"/>
  <c r="J58" i="15"/>
  <c r="J47" i="15"/>
  <c r="J44" i="15"/>
  <c r="M44" i="15" s="1"/>
  <c r="N44" i="15" s="1"/>
  <c r="O44" i="15" s="1"/>
  <c r="P44" i="15" s="1"/>
  <c r="J34" i="15"/>
  <c r="J28" i="15"/>
  <c r="J71" i="15"/>
  <c r="M71" i="15" s="1"/>
  <c r="N71" i="15" s="1"/>
  <c r="O71" i="15" s="1"/>
  <c r="P71" i="15" s="1"/>
  <c r="J87" i="15"/>
  <c r="J27" i="15"/>
  <c r="M27" i="15" s="1"/>
  <c r="N27" i="15" s="1"/>
  <c r="O27" i="15" s="1"/>
  <c r="P27" i="15" s="1"/>
  <c r="J49" i="15"/>
  <c r="M49" i="15" s="1"/>
  <c r="N49" i="15" s="1"/>
  <c r="O49" i="15" s="1"/>
  <c r="P49" i="15" s="1"/>
  <c r="J95" i="15"/>
  <c r="M95" i="15" s="1"/>
  <c r="N95" i="15" s="1"/>
  <c r="O95" i="15" s="1"/>
  <c r="P95" i="15" s="1"/>
  <c r="J52" i="15"/>
  <c r="M52" i="15" s="1"/>
  <c r="N52" i="15" s="1"/>
  <c r="O52" i="15" s="1"/>
  <c r="P52" i="15" s="1"/>
  <c r="J82" i="15"/>
  <c r="J56" i="15"/>
  <c r="J42" i="15"/>
  <c r="M42" i="15" s="1"/>
  <c r="N42" i="15" s="1"/>
  <c r="O42" i="15" s="1"/>
  <c r="P42" i="15" s="1"/>
  <c r="J45" i="15"/>
  <c r="M6" i="15"/>
  <c r="P7" i="15" s="1"/>
  <c r="J32" i="15"/>
  <c r="J63" i="15"/>
  <c r="M63" i="15" s="1"/>
  <c r="N63" i="15" s="1"/>
  <c r="O63" i="15" s="1"/>
  <c r="P63" i="15" s="1"/>
  <c r="J31" i="15"/>
  <c r="J92" i="15"/>
  <c r="J46" i="15"/>
  <c r="J59" i="15"/>
  <c r="J29" i="15"/>
  <c r="J81" i="15"/>
  <c r="M81" i="15" s="1"/>
  <c r="N81" i="15" s="1"/>
  <c r="O81" i="15" s="1"/>
  <c r="P81" i="15" s="1"/>
  <c r="J68" i="15"/>
  <c r="M68" i="15" s="1"/>
  <c r="N68" i="15" s="1"/>
  <c r="O68" i="15" s="1"/>
  <c r="K82" i="15"/>
  <c r="K33" i="15"/>
  <c r="K52" i="15"/>
  <c r="K69" i="15"/>
  <c r="K39" i="15"/>
  <c r="K96" i="15"/>
  <c r="K91" i="15"/>
  <c r="K84" i="15"/>
  <c r="K79" i="15"/>
  <c r="K72" i="15"/>
  <c r="K67" i="15"/>
  <c r="K60" i="15"/>
  <c r="K55" i="15"/>
  <c r="K35" i="15"/>
  <c r="K31" i="15"/>
  <c r="K44" i="15"/>
  <c r="K40" i="15"/>
  <c r="K32" i="15"/>
  <c r="K28" i="15"/>
  <c r="K74" i="15"/>
  <c r="K57" i="15"/>
  <c r="K43" i="15"/>
  <c r="K38" i="15"/>
  <c r="N10" i="15"/>
  <c r="K94" i="15"/>
  <c r="K87" i="15"/>
  <c r="K77" i="15"/>
  <c r="K45" i="15"/>
  <c r="K97" i="15"/>
  <c r="K70" i="15"/>
  <c r="K50" i="15"/>
  <c r="K30" i="15"/>
  <c r="K48" i="15"/>
  <c r="K64" i="15"/>
  <c r="K90" i="15"/>
  <c r="F37" i="15"/>
  <c r="F38" i="15"/>
  <c r="K86" i="15"/>
  <c r="F92" i="15"/>
  <c r="K49" i="15"/>
  <c r="K92" i="15"/>
  <c r="K85" i="15"/>
  <c r="K59" i="15"/>
  <c r="K36" i="15"/>
  <c r="F77" i="15"/>
  <c r="F76" i="15"/>
  <c r="K46" i="15"/>
  <c r="K75" i="15"/>
  <c r="K83" i="15"/>
  <c r="F40" i="15"/>
  <c r="K66" i="15"/>
  <c r="F28" i="15"/>
  <c r="K37" i="15"/>
  <c r="F44" i="15"/>
  <c r="K54" i="15"/>
  <c r="K71" i="15"/>
  <c r="F80" i="15"/>
  <c r="K88" i="15"/>
  <c r="K41" i="15"/>
  <c r="K62" i="15"/>
  <c r="K34" i="15"/>
  <c r="K47" i="15"/>
  <c r="K58" i="15"/>
  <c r="K80" i="15"/>
  <c r="K29" i="15"/>
  <c r="K78" i="15"/>
  <c r="K42" i="15"/>
  <c r="K56" i="15"/>
  <c r="K65" i="15"/>
  <c r="K73" i="15"/>
  <c r="F89" i="15"/>
  <c r="F88" i="15"/>
  <c r="N8" i="15"/>
  <c r="K53" i="15"/>
  <c r="K61" i="15"/>
  <c r="K27" i="15"/>
  <c r="F53" i="15"/>
  <c r="F52" i="15"/>
  <c r="K89" i="15"/>
  <c r="F98" i="15"/>
  <c r="F65" i="15"/>
  <c r="F64" i="15"/>
  <c r="F68" i="15"/>
  <c r="K93" i="15"/>
  <c r="K98" i="15"/>
  <c r="M6" i="14"/>
  <c r="P7" i="14" s="1"/>
  <c r="J89" i="14"/>
  <c r="J77" i="14"/>
  <c r="J65" i="14"/>
  <c r="J96" i="14"/>
  <c r="J84" i="14"/>
  <c r="J79" i="14"/>
  <c r="J72" i="14"/>
  <c r="J67" i="14"/>
  <c r="J60" i="14"/>
  <c r="J55" i="14"/>
  <c r="J35" i="14"/>
  <c r="J31" i="14"/>
  <c r="J93" i="14"/>
  <c r="J88" i="14"/>
  <c r="J69" i="14"/>
  <c r="J64" i="14"/>
  <c r="J50" i="14"/>
  <c r="J33" i="14"/>
  <c r="J29" i="14"/>
  <c r="J86" i="14"/>
  <c r="J74" i="14"/>
  <c r="J62" i="14"/>
  <c r="J27" i="14"/>
  <c r="J76" i="14"/>
  <c r="J57" i="14"/>
  <c r="J52" i="14"/>
  <c r="J46" i="14"/>
  <c r="J98" i="14"/>
  <c r="J48" i="14"/>
  <c r="J90" i="14"/>
  <c r="J78" i="14"/>
  <c r="J66" i="14"/>
  <c r="J42" i="14"/>
  <c r="J34" i="14"/>
  <c r="J39" i="14"/>
  <c r="J28" i="14"/>
  <c r="J95" i="14"/>
  <c r="J94" i="14"/>
  <c r="J82" i="14"/>
  <c r="J70" i="14"/>
  <c r="J58" i="14"/>
  <c r="J51" i="14"/>
  <c r="J37" i="14"/>
  <c r="J38" i="14"/>
  <c r="J40" i="14"/>
  <c r="J45" i="14"/>
  <c r="J92" i="14"/>
  <c r="J56" i="14"/>
  <c r="J30" i="14"/>
  <c r="J59" i="14"/>
  <c r="J97" i="14"/>
  <c r="J85" i="14"/>
  <c r="J73" i="14"/>
  <c r="J61" i="14"/>
  <c r="J54" i="14"/>
  <c r="J36" i="14"/>
  <c r="J41" i="14"/>
  <c r="J49" i="14"/>
  <c r="J68" i="14"/>
  <c r="J71" i="14"/>
  <c r="J75" i="14"/>
  <c r="J44" i="14"/>
  <c r="J43" i="14"/>
  <c r="M7" i="14"/>
  <c r="P8" i="14" s="1"/>
  <c r="J47" i="14"/>
  <c r="J53" i="14"/>
  <c r="J80" i="14"/>
  <c r="J83" i="14"/>
  <c r="J87" i="14"/>
  <c r="J63" i="14"/>
  <c r="J32" i="14"/>
  <c r="M8" i="14"/>
  <c r="P9" i="14" s="1"/>
  <c r="F65" i="14"/>
  <c r="F77" i="14"/>
  <c r="F89" i="14"/>
  <c r="M9" i="14"/>
  <c r="P10" i="14" s="1"/>
  <c r="K14" i="14"/>
  <c r="N6" i="14" s="1"/>
  <c r="N8" i="14"/>
  <c r="F49" i="14"/>
  <c r="K39" i="13"/>
  <c r="K67" i="13"/>
  <c r="K60" i="13"/>
  <c r="K35" i="13"/>
  <c r="K31" i="13"/>
  <c r="K33" i="13"/>
  <c r="K96" i="13"/>
  <c r="K91" i="13"/>
  <c r="K84" i="13"/>
  <c r="K79" i="13"/>
  <c r="K72" i="13"/>
  <c r="K55" i="13"/>
  <c r="K95" i="13"/>
  <c r="K98" i="13"/>
  <c r="K77" i="13"/>
  <c r="K68" i="13"/>
  <c r="K59" i="13"/>
  <c r="K41" i="13"/>
  <c r="K73" i="13"/>
  <c r="K64" i="13"/>
  <c r="K97" i="13"/>
  <c r="K70" i="13"/>
  <c r="K36" i="13"/>
  <c r="K47" i="13"/>
  <c r="K40" i="13"/>
  <c r="K38" i="13"/>
  <c r="K92" i="13"/>
  <c r="K89" i="13"/>
  <c r="K65" i="13"/>
  <c r="K56" i="13"/>
  <c r="K50" i="13"/>
  <c r="K32" i="13"/>
  <c r="K34" i="13"/>
  <c r="K27" i="13"/>
  <c r="K82" i="13"/>
  <c r="K52" i="13"/>
  <c r="K94" i="13"/>
  <c r="N8" i="13"/>
  <c r="K69" i="13"/>
  <c r="K53" i="13"/>
  <c r="K88" i="13"/>
  <c r="K85" i="13"/>
  <c r="K76" i="13"/>
  <c r="K43" i="13"/>
  <c r="K45" i="13"/>
  <c r="K78" i="13"/>
  <c r="K61" i="13"/>
  <c r="K58" i="13"/>
  <c r="K29" i="13"/>
  <c r="K49" i="13"/>
  <c r="K81" i="13"/>
  <c r="F55" i="13"/>
  <c r="F56" i="13"/>
  <c r="J93" i="13"/>
  <c r="J44" i="13"/>
  <c r="K54" i="13"/>
  <c r="J62" i="13"/>
  <c r="J69" i="13"/>
  <c r="J86" i="13"/>
  <c r="K93" i="13"/>
  <c r="F67" i="13"/>
  <c r="F68" i="13"/>
  <c r="K48" i="13"/>
  <c r="F77" i="13"/>
  <c r="F76" i="13"/>
  <c r="F44" i="13"/>
  <c r="K44" i="13"/>
  <c r="K87" i="13"/>
  <c r="J39" i="13"/>
  <c r="J96" i="13"/>
  <c r="J91" i="13"/>
  <c r="J84" i="13"/>
  <c r="J79" i="13"/>
  <c r="J72" i="13"/>
  <c r="J67" i="13"/>
  <c r="J60" i="13"/>
  <c r="J55" i="13"/>
  <c r="J35" i="13"/>
  <c r="J31" i="13"/>
  <c r="J80" i="13"/>
  <c r="M80" i="13" s="1"/>
  <c r="N80" i="13" s="1"/>
  <c r="O80" i="13" s="1"/>
  <c r="J97" i="13"/>
  <c r="J36" i="13"/>
  <c r="J58" i="13"/>
  <c r="J98" i="13"/>
  <c r="J95" i="13"/>
  <c r="J68" i="13"/>
  <c r="J59" i="13"/>
  <c r="J50" i="13"/>
  <c r="J76" i="13"/>
  <c r="J73" i="13"/>
  <c r="J64" i="13"/>
  <c r="J29" i="13"/>
  <c r="J38" i="13"/>
  <c r="K30" i="13"/>
  <c r="J54" i="13"/>
  <c r="K71" i="13"/>
  <c r="K86" i="13"/>
  <c r="K80" i="13"/>
  <c r="F95" i="13"/>
  <c r="F94" i="13"/>
  <c r="F70" i="13"/>
  <c r="F71" i="13"/>
  <c r="F79" i="13"/>
  <c r="F80" i="13"/>
  <c r="F35" i="13"/>
  <c r="F89" i="13"/>
  <c r="F88" i="13"/>
  <c r="K63" i="13"/>
  <c r="F59" i="13"/>
  <c r="F58" i="13"/>
  <c r="J57" i="13"/>
  <c r="F91" i="13"/>
  <c r="F92" i="13"/>
  <c r="J48" i="13"/>
  <c r="K62" i="13"/>
  <c r="J78" i="13"/>
  <c r="F65" i="13"/>
  <c r="F64" i="13"/>
  <c r="J87" i="13"/>
  <c r="F53" i="13"/>
  <c r="F52" i="13"/>
  <c r="K57" i="13"/>
  <c r="F83" i="13"/>
  <c r="F82" i="13"/>
  <c r="F38" i="13"/>
  <c r="K37" i="12"/>
  <c r="M6" i="12"/>
  <c r="P7" i="12" s="1"/>
  <c r="K41" i="12"/>
  <c r="J61" i="12"/>
  <c r="J85" i="12"/>
  <c r="K85" i="12"/>
  <c r="J38" i="12"/>
  <c r="M8" i="12"/>
  <c r="P9" i="12" s="1"/>
  <c r="F68" i="12"/>
  <c r="F92" i="12"/>
  <c r="J63" i="12"/>
  <c r="M63" i="12" s="1"/>
  <c r="N63" i="12" s="1"/>
  <c r="O63" i="12" s="1"/>
  <c r="P63" i="12" s="1"/>
  <c r="J92" i="12"/>
  <c r="M92" i="12" s="1"/>
  <c r="N92" i="12" s="1"/>
  <c r="O92" i="12" s="1"/>
  <c r="P92" i="12" s="1"/>
  <c r="J56" i="12"/>
  <c r="F77" i="12"/>
  <c r="F76" i="12"/>
  <c r="K56" i="12"/>
  <c r="J80" i="12"/>
  <c r="K75" i="12"/>
  <c r="J30" i="12"/>
  <c r="J66" i="12"/>
  <c r="J90" i="12"/>
  <c r="K66" i="12"/>
  <c r="K90" i="12"/>
  <c r="K53" i="12"/>
  <c r="K61" i="12"/>
  <c r="J34" i="12"/>
  <c r="K38" i="12"/>
  <c r="F89" i="12"/>
  <c r="F88" i="12"/>
  <c r="N8" i="12"/>
  <c r="J87" i="12"/>
  <c r="M9" i="12"/>
  <c r="P10" i="12" s="1"/>
  <c r="K87" i="12"/>
  <c r="J28" i="12"/>
  <c r="M28" i="12" s="1"/>
  <c r="N28" i="12" s="1"/>
  <c r="O28" i="12" s="1"/>
  <c r="P28" i="12" s="1"/>
  <c r="J32" i="12"/>
  <c r="J43" i="12"/>
  <c r="K32" i="12"/>
  <c r="K43" i="12"/>
  <c r="J78" i="12"/>
  <c r="M78" i="12" s="1"/>
  <c r="N78" i="12" s="1"/>
  <c r="O78" i="12" s="1"/>
  <c r="P78" i="12" s="1"/>
  <c r="K39" i="12"/>
  <c r="K93" i="12"/>
  <c r="K50" i="12"/>
  <c r="K83" i="12"/>
  <c r="K42" i="12"/>
  <c r="K96" i="12"/>
  <c r="K91" i="12"/>
  <c r="K84" i="12"/>
  <c r="K79" i="12"/>
  <c r="K72" i="12"/>
  <c r="K67" i="12"/>
  <c r="K60" i="12"/>
  <c r="K55" i="12"/>
  <c r="K35" i="12"/>
  <c r="K31" i="12"/>
  <c r="K88" i="12"/>
  <c r="K46" i="12"/>
  <c r="K40" i="12"/>
  <c r="K95" i="12"/>
  <c r="K33" i="12"/>
  <c r="K98" i="12"/>
  <c r="K86" i="12"/>
  <c r="K74" i="12"/>
  <c r="K62" i="12"/>
  <c r="K76" i="12"/>
  <c r="K69" i="12"/>
  <c r="K52" i="12"/>
  <c r="K48" i="12"/>
  <c r="K59" i="12"/>
  <c r="K29" i="12"/>
  <c r="K27" i="12"/>
  <c r="K81" i="12"/>
  <c r="K64" i="12"/>
  <c r="K57" i="12"/>
  <c r="K44" i="12"/>
  <c r="K71" i="12"/>
  <c r="K51" i="12"/>
  <c r="J70" i="12"/>
  <c r="M70" i="12" s="1"/>
  <c r="N70" i="12" s="1"/>
  <c r="O70" i="12" s="1"/>
  <c r="P70" i="12" s="1"/>
  <c r="K94" i="12"/>
  <c r="K80" i="12"/>
  <c r="K30" i="12"/>
  <c r="K45" i="12"/>
  <c r="K63" i="12"/>
  <c r="K92" i="12"/>
  <c r="F32" i="12"/>
  <c r="J54" i="12"/>
  <c r="M54" i="12" s="1"/>
  <c r="N54" i="12" s="1"/>
  <c r="O54" i="12" s="1"/>
  <c r="P54" i="12" s="1"/>
  <c r="K28" i="12"/>
  <c r="J73" i="12"/>
  <c r="K78" i="12"/>
  <c r="J89" i="12"/>
  <c r="J77" i="12"/>
  <c r="J65" i="12"/>
  <c r="J53" i="12"/>
  <c r="M53" i="12" s="1"/>
  <c r="N53" i="12" s="1"/>
  <c r="O53" i="12" s="1"/>
  <c r="J41" i="12"/>
  <c r="M41" i="12" s="1"/>
  <c r="N41" i="12" s="1"/>
  <c r="O41" i="12" s="1"/>
  <c r="P41" i="12" s="1"/>
  <c r="J37" i="12"/>
  <c r="J86" i="12"/>
  <c r="J62" i="12"/>
  <c r="M62" i="12" s="1"/>
  <c r="N62" i="12" s="1"/>
  <c r="O62" i="12" s="1"/>
  <c r="P62" i="12" s="1"/>
  <c r="J88" i="12"/>
  <c r="M88" i="12" s="1"/>
  <c r="N88" i="12" s="1"/>
  <c r="O88" i="12" s="1"/>
  <c r="P88" i="12" s="1"/>
  <c r="J69" i="12"/>
  <c r="M69" i="12" s="1"/>
  <c r="N69" i="12" s="1"/>
  <c r="O69" i="12" s="1"/>
  <c r="P69" i="12" s="1"/>
  <c r="J50" i="12"/>
  <c r="M50" i="12" s="1"/>
  <c r="N50" i="12" s="1"/>
  <c r="O50" i="12" s="1"/>
  <c r="P50" i="12" s="1"/>
  <c r="J39" i="12"/>
  <c r="M39" i="12" s="1"/>
  <c r="N39" i="12" s="1"/>
  <c r="O39" i="12" s="1"/>
  <c r="P39" i="12" s="1"/>
  <c r="J74" i="12"/>
  <c r="J81" i="12"/>
  <c r="J52" i="12"/>
  <c r="J40" i="12"/>
  <c r="J71" i="12"/>
  <c r="J96" i="12"/>
  <c r="M96" i="12" s="1"/>
  <c r="N96" i="12" s="1"/>
  <c r="O96" i="12" s="1"/>
  <c r="P96" i="12" s="1"/>
  <c r="J91" i="12"/>
  <c r="M91" i="12" s="1"/>
  <c r="N91" i="12" s="1"/>
  <c r="O91" i="12" s="1"/>
  <c r="P91" i="12" s="1"/>
  <c r="J84" i="12"/>
  <c r="M84" i="12" s="1"/>
  <c r="N84" i="12" s="1"/>
  <c r="O84" i="12" s="1"/>
  <c r="P84" i="12" s="1"/>
  <c r="J79" i="12"/>
  <c r="M79" i="12" s="1"/>
  <c r="N79" i="12" s="1"/>
  <c r="O79" i="12" s="1"/>
  <c r="P79" i="12" s="1"/>
  <c r="J72" i="12"/>
  <c r="J67" i="12"/>
  <c r="M67" i="12" s="1"/>
  <c r="N67" i="12" s="1"/>
  <c r="O67" i="12" s="1"/>
  <c r="P67" i="12" s="1"/>
  <c r="J60" i="12"/>
  <c r="M60" i="12" s="1"/>
  <c r="N60" i="12" s="1"/>
  <c r="O60" i="12" s="1"/>
  <c r="P60" i="12" s="1"/>
  <c r="J55" i="12"/>
  <c r="M55" i="12" s="1"/>
  <c r="N55" i="12" s="1"/>
  <c r="O55" i="12" s="1"/>
  <c r="P55" i="12" s="1"/>
  <c r="J35" i="12"/>
  <c r="M35" i="12" s="1"/>
  <c r="N35" i="12" s="1"/>
  <c r="O35" i="12" s="1"/>
  <c r="P35" i="12" s="1"/>
  <c r="J31" i="12"/>
  <c r="M31" i="12" s="1"/>
  <c r="N31" i="12" s="1"/>
  <c r="O31" i="12" s="1"/>
  <c r="P31" i="12" s="1"/>
  <c r="J33" i="12"/>
  <c r="J29" i="12"/>
  <c r="M29" i="12" s="1"/>
  <c r="N29" i="12" s="1"/>
  <c r="O29" i="12" s="1"/>
  <c r="P29" i="12" s="1"/>
  <c r="J98" i="12"/>
  <c r="J93" i="12"/>
  <c r="J76" i="12"/>
  <c r="J64" i="12"/>
  <c r="J48" i="12"/>
  <c r="J44" i="12"/>
  <c r="J83" i="12"/>
  <c r="M83" i="12" s="1"/>
  <c r="N83" i="12" s="1"/>
  <c r="O83" i="12" s="1"/>
  <c r="P83" i="12" s="1"/>
  <c r="J59" i="12"/>
  <c r="J27" i="12"/>
  <c r="J57" i="12"/>
  <c r="J46" i="12"/>
  <c r="J95" i="12"/>
  <c r="J51" i="12"/>
  <c r="K77" i="12"/>
  <c r="K34" i="12"/>
  <c r="J49" i="12"/>
  <c r="J58" i="12"/>
  <c r="F65" i="12"/>
  <c r="F64" i="12"/>
  <c r="J82" i="12"/>
  <c r="K49" i="12"/>
  <c r="K58" i="12"/>
  <c r="J68" i="12"/>
  <c r="K82" i="12"/>
  <c r="J42" i="12"/>
  <c r="K68" i="12"/>
  <c r="N9" i="12"/>
  <c r="M10" i="12"/>
  <c r="P11" i="12" s="1"/>
  <c r="N10" i="12"/>
  <c r="J36" i="12"/>
  <c r="J47" i="12"/>
  <c r="K73" i="12"/>
  <c r="K97" i="12"/>
  <c r="M97" i="12" s="1"/>
  <c r="N97" i="12" s="1"/>
  <c r="O97" i="12" s="1"/>
  <c r="P97" i="12" s="1"/>
  <c r="J94" i="12"/>
  <c r="K70" i="12"/>
  <c r="J75" i="12"/>
  <c r="J45" i="12"/>
  <c r="K36" i="12"/>
  <c r="K47" i="12"/>
  <c r="F52" i="12"/>
  <c r="F53" i="12"/>
  <c r="K65" i="12"/>
  <c r="K89" i="12"/>
  <c r="J7" i="1"/>
  <c r="K7" i="1"/>
  <c r="J10" i="1"/>
  <c r="K10" i="1"/>
  <c r="J11" i="1"/>
  <c r="K11" i="1"/>
  <c r="J12" i="1"/>
  <c r="K12" i="1"/>
  <c r="J13" i="1"/>
  <c r="K13" i="1"/>
  <c r="M28" i="15" l="1"/>
  <c r="N28" i="15" s="1"/>
  <c r="O28" i="15" s="1"/>
  <c r="P28" i="15" s="1"/>
  <c r="M45" i="15"/>
  <c r="N45" i="15" s="1"/>
  <c r="O45" i="15" s="1"/>
  <c r="P45" i="15" s="1"/>
  <c r="M70" i="15"/>
  <c r="N70" i="15" s="1"/>
  <c r="O70" i="15" s="1"/>
  <c r="P70" i="15" s="1"/>
  <c r="M72" i="15"/>
  <c r="N72" i="15" s="1"/>
  <c r="O72" i="15" s="1"/>
  <c r="P72" i="15" s="1"/>
  <c r="M79" i="15"/>
  <c r="N79" i="15" s="1"/>
  <c r="O79" i="15" s="1"/>
  <c r="P79" i="15" s="1"/>
  <c r="M46" i="15"/>
  <c r="N46" i="15" s="1"/>
  <c r="O46" i="15" s="1"/>
  <c r="P46" i="15" s="1"/>
  <c r="M91" i="15"/>
  <c r="N91" i="15" s="1"/>
  <c r="O91" i="15" s="1"/>
  <c r="P91" i="15" s="1"/>
  <c r="M64" i="15"/>
  <c r="N64" i="15" s="1"/>
  <c r="O64" i="15" s="1"/>
  <c r="M84" i="15"/>
  <c r="N84" i="15" s="1"/>
  <c r="O84" i="15" s="1"/>
  <c r="P84" i="15" s="1"/>
  <c r="M75" i="15"/>
  <c r="N75" i="15" s="1"/>
  <c r="O75" i="15" s="1"/>
  <c r="P75" i="15" s="1"/>
  <c r="R75" i="15" s="1"/>
  <c r="M83" i="15"/>
  <c r="N83" i="15" s="1"/>
  <c r="O83" i="15" s="1"/>
  <c r="P83" i="15" s="1"/>
  <c r="M73" i="15"/>
  <c r="N73" i="15" s="1"/>
  <c r="O73" i="15" s="1"/>
  <c r="P73" i="15" s="1"/>
  <c r="R72" i="15" s="1"/>
  <c r="J81" i="14"/>
  <c r="J91" i="14"/>
  <c r="M93" i="13"/>
  <c r="N93" i="13" s="1"/>
  <c r="O93" i="13" s="1"/>
  <c r="P93" i="13" s="1"/>
  <c r="J45" i="13"/>
  <c r="J47" i="13"/>
  <c r="M47" i="13" s="1"/>
  <c r="N47" i="13" s="1"/>
  <c r="O47" i="13" s="1"/>
  <c r="P47" i="13" s="1"/>
  <c r="J61" i="13"/>
  <c r="M61" i="13" s="1"/>
  <c r="N61" i="13" s="1"/>
  <c r="O61" i="13" s="1"/>
  <c r="P61" i="13" s="1"/>
  <c r="R60" i="13" s="1"/>
  <c r="J37" i="13"/>
  <c r="M37" i="13" s="1"/>
  <c r="N37" i="13" s="1"/>
  <c r="O37" i="13" s="1"/>
  <c r="P37" i="13" s="1"/>
  <c r="J70" i="13"/>
  <c r="M70" i="13" s="1"/>
  <c r="N70" i="13" s="1"/>
  <c r="O70" i="13" s="1"/>
  <c r="P70" i="13" s="1"/>
  <c r="J85" i="13"/>
  <c r="J88" i="13"/>
  <c r="M88" i="13" s="1"/>
  <c r="N88" i="13" s="1"/>
  <c r="O88" i="13" s="1"/>
  <c r="P88" i="13" s="1"/>
  <c r="J32" i="13"/>
  <c r="M32" i="13" s="1"/>
  <c r="N32" i="13" s="1"/>
  <c r="O32" i="13" s="1"/>
  <c r="P32" i="13" s="1"/>
  <c r="J49" i="13"/>
  <c r="J30" i="13"/>
  <c r="M30" i="13" s="1"/>
  <c r="N30" i="13" s="1"/>
  <c r="O30" i="13" s="1"/>
  <c r="P30" i="13" s="1"/>
  <c r="R30" i="13" s="1"/>
  <c r="M60" i="13"/>
  <c r="N60" i="13" s="1"/>
  <c r="O60" i="13" s="1"/>
  <c r="P60" i="13" s="1"/>
  <c r="M48" i="13"/>
  <c r="N48" i="13" s="1"/>
  <c r="O48" i="13" s="1"/>
  <c r="P48" i="13" s="1"/>
  <c r="M97" i="13"/>
  <c r="N97" i="13" s="1"/>
  <c r="O97" i="13" s="1"/>
  <c r="P97" i="13" s="1"/>
  <c r="J40" i="13"/>
  <c r="J82" i="13"/>
  <c r="M82" i="13" s="1"/>
  <c r="N82" i="13" s="1"/>
  <c r="O82" i="13" s="1"/>
  <c r="P82" i="13" s="1"/>
  <c r="R81" i="13" s="1"/>
  <c r="J41" i="13"/>
  <c r="M41" i="13" s="1"/>
  <c r="N41" i="13" s="1"/>
  <c r="O41" i="13" s="1"/>
  <c r="P41" i="13" s="1"/>
  <c r="J27" i="13"/>
  <c r="M27" i="13" s="1"/>
  <c r="N27" i="13" s="1"/>
  <c r="O27" i="13" s="1"/>
  <c r="P27" i="13" s="1"/>
  <c r="J53" i="13"/>
  <c r="M53" i="13" s="1"/>
  <c r="N53" i="13" s="1"/>
  <c r="O53" i="13" s="1"/>
  <c r="P53" i="13" s="1"/>
  <c r="J63" i="13"/>
  <c r="M63" i="13" s="1"/>
  <c r="N63" i="13" s="1"/>
  <c r="O63" i="13" s="1"/>
  <c r="P63" i="13" s="1"/>
  <c r="J65" i="13"/>
  <c r="J34" i="13"/>
  <c r="J81" i="13"/>
  <c r="M6" i="13"/>
  <c r="P7" i="13" s="1"/>
  <c r="J52" i="13"/>
  <c r="M81" i="13"/>
  <c r="N81" i="13" s="1"/>
  <c r="O81" i="13" s="1"/>
  <c r="P81" i="13" s="1"/>
  <c r="M87" i="13"/>
  <c r="N87" i="13" s="1"/>
  <c r="O87" i="13" s="1"/>
  <c r="P87" i="13" s="1"/>
  <c r="M78" i="13"/>
  <c r="N78" i="13" s="1"/>
  <c r="O78" i="13" s="1"/>
  <c r="P78" i="13" s="1"/>
  <c r="Q78" i="13" s="1"/>
  <c r="U44" i="13" s="1"/>
  <c r="M76" i="13"/>
  <c r="N76" i="13" s="1"/>
  <c r="O76" i="13" s="1"/>
  <c r="P76" i="13" s="1"/>
  <c r="M67" i="13"/>
  <c r="N67" i="13" s="1"/>
  <c r="O67" i="13" s="1"/>
  <c r="P67" i="13" s="1"/>
  <c r="M49" i="13"/>
  <c r="N49" i="13" s="1"/>
  <c r="O49" i="13" s="1"/>
  <c r="P49" i="13" s="1"/>
  <c r="M64" i="13"/>
  <c r="N64" i="13" s="1"/>
  <c r="O64" i="13" s="1"/>
  <c r="P64" i="13" s="1"/>
  <c r="M31" i="13"/>
  <c r="N31" i="13" s="1"/>
  <c r="O31" i="13" s="1"/>
  <c r="P31" i="13" s="1"/>
  <c r="M39" i="13"/>
  <c r="N39" i="13" s="1"/>
  <c r="O39" i="13" s="1"/>
  <c r="P39" i="13" s="1"/>
  <c r="M40" i="13"/>
  <c r="N40" i="13" s="1"/>
  <c r="O40" i="13" s="1"/>
  <c r="P40" i="13" s="1"/>
  <c r="M36" i="13"/>
  <c r="N36" i="13" s="1"/>
  <c r="O36" i="13" s="1"/>
  <c r="P36" i="13" s="1"/>
  <c r="M84" i="13"/>
  <c r="N84" i="13" s="1"/>
  <c r="O84" i="13" s="1"/>
  <c r="P84" i="13" s="1"/>
  <c r="M86" i="13"/>
  <c r="N86" i="13" s="1"/>
  <c r="O86" i="13" s="1"/>
  <c r="P86" i="13" s="1"/>
  <c r="M62" i="13"/>
  <c r="N62" i="13" s="1"/>
  <c r="O62" i="13" s="1"/>
  <c r="P62" i="13" s="1"/>
  <c r="M96" i="13"/>
  <c r="N96" i="13" s="1"/>
  <c r="O96" i="13" s="1"/>
  <c r="P96" i="13" s="1"/>
  <c r="M45" i="13"/>
  <c r="N45" i="13" s="1"/>
  <c r="O45" i="13" s="1"/>
  <c r="P45" i="13" s="1"/>
  <c r="M44" i="13"/>
  <c r="N44" i="13" s="1"/>
  <c r="O44" i="13" s="1"/>
  <c r="P44" i="13" s="1"/>
  <c r="M85" i="13"/>
  <c r="N85" i="13" s="1"/>
  <c r="O85" i="13" s="1"/>
  <c r="P85" i="13" s="1"/>
  <c r="M34" i="13"/>
  <c r="N34" i="13" s="1"/>
  <c r="O34" i="13" s="1"/>
  <c r="P34" i="13" s="1"/>
  <c r="M52" i="13"/>
  <c r="N52" i="13" s="1"/>
  <c r="O52" i="13" s="1"/>
  <c r="P52" i="13" s="1"/>
  <c r="M65" i="13"/>
  <c r="N65" i="13" s="1"/>
  <c r="O65" i="13" s="1"/>
  <c r="P65" i="13" s="1"/>
  <c r="J33" i="13"/>
  <c r="M33" i="13" s="1"/>
  <c r="N33" i="13" s="1"/>
  <c r="O33" i="13" s="1"/>
  <c r="P33" i="13" s="1"/>
  <c r="J42" i="13"/>
  <c r="M42" i="13" s="1"/>
  <c r="N42" i="13" s="1"/>
  <c r="O42" i="13" s="1"/>
  <c r="P42" i="13" s="1"/>
  <c r="J66" i="13"/>
  <c r="M66" i="13" s="1"/>
  <c r="N66" i="13" s="1"/>
  <c r="O66" i="13" s="1"/>
  <c r="P66" i="13" s="1"/>
  <c r="J83" i="13"/>
  <c r="M83" i="13" s="1"/>
  <c r="N83" i="13" s="1"/>
  <c r="O83" i="13" s="1"/>
  <c r="P83" i="13" s="1"/>
  <c r="J75" i="13"/>
  <c r="M75" i="13" s="1"/>
  <c r="N75" i="13" s="1"/>
  <c r="O75" i="13" s="1"/>
  <c r="P75" i="13" s="1"/>
  <c r="J46" i="13"/>
  <c r="M46" i="13" s="1"/>
  <c r="N46" i="13" s="1"/>
  <c r="O46" i="13" s="1"/>
  <c r="P46" i="13" s="1"/>
  <c r="J90" i="13"/>
  <c r="M90" i="13" s="1"/>
  <c r="N90" i="13" s="1"/>
  <c r="O90" i="13" s="1"/>
  <c r="P90" i="13" s="1"/>
  <c r="J74" i="13"/>
  <c r="M74" i="13" s="1"/>
  <c r="N74" i="13" s="1"/>
  <c r="O74" i="13" s="1"/>
  <c r="P74" i="13" s="1"/>
  <c r="J51" i="13"/>
  <c r="M51" i="13" s="1"/>
  <c r="N51" i="13" s="1"/>
  <c r="O51" i="13" s="1"/>
  <c r="P51" i="13" s="1"/>
  <c r="J28" i="13"/>
  <c r="M28" i="13" s="1"/>
  <c r="N28" i="13" s="1"/>
  <c r="O28" i="13" s="1"/>
  <c r="P28" i="13" s="1"/>
  <c r="J43" i="13"/>
  <c r="M43" i="13" s="1"/>
  <c r="N43" i="13" s="1"/>
  <c r="O43" i="13" s="1"/>
  <c r="P43" i="13" s="1"/>
  <c r="J56" i="13"/>
  <c r="M56" i="13" s="1"/>
  <c r="N56" i="13" s="1"/>
  <c r="O56" i="13" s="1"/>
  <c r="P56" i="13" s="1"/>
  <c r="J77" i="13"/>
  <c r="M77" i="13" s="1"/>
  <c r="N77" i="13" s="1"/>
  <c r="O77" i="13" s="1"/>
  <c r="P77" i="13" s="1"/>
  <c r="M8" i="13"/>
  <c r="P9" i="13" s="1"/>
  <c r="J94" i="13"/>
  <c r="M94" i="13" s="1"/>
  <c r="N94" i="13" s="1"/>
  <c r="O94" i="13" s="1"/>
  <c r="P94" i="13" s="1"/>
  <c r="J92" i="13"/>
  <c r="M92" i="13" s="1"/>
  <c r="N92" i="13" s="1"/>
  <c r="O92" i="13" s="1"/>
  <c r="P92" i="13" s="1"/>
  <c r="J89" i="13"/>
  <c r="M89" i="13" s="1"/>
  <c r="N89" i="13" s="1"/>
  <c r="O89" i="13" s="1"/>
  <c r="P89" i="13" s="1"/>
  <c r="M10" i="13"/>
  <c r="P11" i="13" s="1"/>
  <c r="M93" i="12"/>
  <c r="N93" i="12" s="1"/>
  <c r="O93" i="12" s="1"/>
  <c r="P93" i="12" s="1"/>
  <c r="M37" i="12"/>
  <c r="N37" i="12" s="1"/>
  <c r="O37" i="12" s="1"/>
  <c r="P37" i="12" s="1"/>
  <c r="M86" i="12"/>
  <c r="N86" i="12" s="1"/>
  <c r="O86" i="12" s="1"/>
  <c r="P86" i="12" s="1"/>
  <c r="M45" i="12"/>
  <c r="N45" i="12" s="1"/>
  <c r="O45" i="12" s="1"/>
  <c r="P45" i="12" s="1"/>
  <c r="M82" i="12"/>
  <c r="N82" i="12" s="1"/>
  <c r="O82" i="12" s="1"/>
  <c r="P82" i="12" s="1"/>
  <c r="M72" i="12"/>
  <c r="N72" i="12" s="1"/>
  <c r="O72" i="12" s="1"/>
  <c r="P72" i="12" s="1"/>
  <c r="M89" i="12"/>
  <c r="N89" i="12" s="1"/>
  <c r="O89" i="12" s="1"/>
  <c r="P89" i="12" s="1"/>
  <c r="M98" i="12"/>
  <c r="N98" i="12" s="1"/>
  <c r="O98" i="12" s="1"/>
  <c r="P98" i="12" s="1"/>
  <c r="M30" i="12"/>
  <c r="N30" i="12" s="1"/>
  <c r="O30" i="12" s="1"/>
  <c r="P30" i="12" s="1"/>
  <c r="K14" i="1"/>
  <c r="J14" i="1"/>
  <c r="R48" i="15"/>
  <c r="Q48" i="15"/>
  <c r="U34" i="15" s="1"/>
  <c r="M98" i="15"/>
  <c r="N98" i="15" s="1"/>
  <c r="O98" i="15" s="1"/>
  <c r="P98" i="15" s="1"/>
  <c r="M34" i="15"/>
  <c r="N34" i="15" s="1"/>
  <c r="O34" i="15" s="1"/>
  <c r="P34" i="15" s="1"/>
  <c r="M59" i="15"/>
  <c r="N59" i="15" s="1"/>
  <c r="O59" i="15" s="1"/>
  <c r="P59" i="15" s="1"/>
  <c r="M36" i="15"/>
  <c r="N36" i="15" s="1"/>
  <c r="O36" i="15" s="1"/>
  <c r="P36" i="15" s="1"/>
  <c r="M69" i="15"/>
  <c r="N69" i="15" s="1"/>
  <c r="O69" i="15" s="1"/>
  <c r="P69" i="15" s="1"/>
  <c r="M61" i="15"/>
  <c r="N61" i="15" s="1"/>
  <c r="O61" i="15" s="1"/>
  <c r="P61" i="15" s="1"/>
  <c r="R60" i="15" s="1"/>
  <c r="M39" i="15"/>
  <c r="N39" i="15" s="1"/>
  <c r="O39" i="15" s="1"/>
  <c r="P39" i="15" s="1"/>
  <c r="M58" i="15"/>
  <c r="N58" i="15" s="1"/>
  <c r="O58" i="15" s="1"/>
  <c r="P58" i="15" s="1"/>
  <c r="P64" i="15"/>
  <c r="M32" i="15"/>
  <c r="N32" i="15" s="1"/>
  <c r="O32" i="15" s="1"/>
  <c r="P32" i="15" s="1"/>
  <c r="M66" i="15"/>
  <c r="N66" i="15" s="1"/>
  <c r="O66" i="15" s="1"/>
  <c r="P66" i="15" s="1"/>
  <c r="M37" i="15"/>
  <c r="N37" i="15" s="1"/>
  <c r="O37" i="15" s="1"/>
  <c r="P37" i="15" s="1"/>
  <c r="P68" i="15"/>
  <c r="M43" i="15"/>
  <c r="N43" i="15" s="1"/>
  <c r="O43" i="15" s="1"/>
  <c r="P43" i="15" s="1"/>
  <c r="M47" i="15"/>
  <c r="N47" i="15" s="1"/>
  <c r="O47" i="15" s="1"/>
  <c r="P47" i="15" s="1"/>
  <c r="M92" i="15"/>
  <c r="N92" i="15" s="1"/>
  <c r="O92" i="15" s="1"/>
  <c r="P92" i="15" s="1"/>
  <c r="M41" i="15"/>
  <c r="N41" i="15" s="1"/>
  <c r="O41" i="15" s="1"/>
  <c r="P41" i="15" s="1"/>
  <c r="M94" i="15"/>
  <c r="N94" i="15" s="1"/>
  <c r="O94" i="15" s="1"/>
  <c r="P94" i="15" s="1"/>
  <c r="M38" i="15"/>
  <c r="N38" i="15" s="1"/>
  <c r="O38" i="15" s="1"/>
  <c r="P38" i="15" s="1"/>
  <c r="M29" i="15"/>
  <c r="N29" i="15" s="1"/>
  <c r="O29" i="15" s="1"/>
  <c r="P29" i="15" s="1"/>
  <c r="Q27" i="15" s="1"/>
  <c r="U27" i="15" s="1"/>
  <c r="M31" i="15"/>
  <c r="N31" i="15" s="1"/>
  <c r="O31" i="15" s="1"/>
  <c r="P31" i="15" s="1"/>
  <c r="M54" i="15"/>
  <c r="N54" i="15" s="1"/>
  <c r="O54" i="15" s="1"/>
  <c r="P54" i="15" s="1"/>
  <c r="R45" i="15"/>
  <c r="Q45" i="15"/>
  <c r="U33" i="15" s="1"/>
  <c r="M78" i="15"/>
  <c r="N78" i="15" s="1"/>
  <c r="O78" i="15" s="1"/>
  <c r="P78" i="15" s="1"/>
  <c r="R42" i="15"/>
  <c r="Q42" i="15"/>
  <c r="U32" i="15" s="1"/>
  <c r="M93" i="15"/>
  <c r="N93" i="15" s="1"/>
  <c r="O93" i="15" s="1"/>
  <c r="P93" i="15" s="1"/>
  <c r="M65" i="15"/>
  <c r="N65" i="15" s="1"/>
  <c r="O65" i="15" s="1"/>
  <c r="P65" i="15" s="1"/>
  <c r="M56" i="15"/>
  <c r="N56" i="15" s="1"/>
  <c r="O56" i="15" s="1"/>
  <c r="P56" i="15" s="1"/>
  <c r="M90" i="15"/>
  <c r="N90" i="15" s="1"/>
  <c r="O90" i="15" s="1"/>
  <c r="P90" i="15" s="1"/>
  <c r="M77" i="15"/>
  <c r="N77" i="15" s="1"/>
  <c r="O77" i="15" s="1"/>
  <c r="P77" i="15" s="1"/>
  <c r="M87" i="15"/>
  <c r="N87" i="15" s="1"/>
  <c r="O87" i="15" s="1"/>
  <c r="P87" i="15" s="1"/>
  <c r="M57" i="15"/>
  <c r="N57" i="15" s="1"/>
  <c r="O57" i="15" s="1"/>
  <c r="P57" i="15" s="1"/>
  <c r="M33" i="15"/>
  <c r="N33" i="15" s="1"/>
  <c r="O33" i="15" s="1"/>
  <c r="P33" i="15" s="1"/>
  <c r="M80" i="15"/>
  <c r="N80" i="15" s="1"/>
  <c r="O80" i="15" s="1"/>
  <c r="P80" i="15" s="1"/>
  <c r="M96" i="15"/>
  <c r="N96" i="15" s="1"/>
  <c r="O96" i="15" s="1"/>
  <c r="P96" i="15" s="1"/>
  <c r="M88" i="15"/>
  <c r="N88" i="15" s="1"/>
  <c r="O88" i="15" s="1"/>
  <c r="P88" i="15" s="1"/>
  <c r="M53" i="15"/>
  <c r="N53" i="15" s="1"/>
  <c r="O53" i="15" s="1"/>
  <c r="P53" i="15" s="1"/>
  <c r="Q51" i="15" s="1"/>
  <c r="U35" i="15" s="1"/>
  <c r="M85" i="15"/>
  <c r="N85" i="15" s="1"/>
  <c r="O85" i="15" s="1"/>
  <c r="P85" i="15" s="1"/>
  <c r="Q84" i="15" s="1"/>
  <c r="U46" i="15" s="1"/>
  <c r="M82" i="15"/>
  <c r="N82" i="15" s="1"/>
  <c r="O82" i="15" s="1"/>
  <c r="P82" i="15" s="1"/>
  <c r="R81" i="15" s="1"/>
  <c r="P76" i="15"/>
  <c r="M97" i="15"/>
  <c r="N97" i="15" s="1"/>
  <c r="O97" i="15" s="1"/>
  <c r="P97" i="15" s="1"/>
  <c r="M89" i="15"/>
  <c r="N89" i="15" s="1"/>
  <c r="O89" i="15" s="1"/>
  <c r="P89" i="15" s="1"/>
  <c r="M32" i="14"/>
  <c r="N32" i="14" s="1"/>
  <c r="O32" i="14" s="1"/>
  <c r="P32" i="14" s="1"/>
  <c r="K33" i="14"/>
  <c r="M33" i="14" s="1"/>
  <c r="N33" i="14" s="1"/>
  <c r="O33" i="14" s="1"/>
  <c r="P33" i="14" s="1"/>
  <c r="K27" i="14"/>
  <c r="M27" i="14" s="1"/>
  <c r="N27" i="14" s="1"/>
  <c r="O27" i="14" s="1"/>
  <c r="P27" i="14" s="1"/>
  <c r="K81" i="14"/>
  <c r="M81" i="14" s="1"/>
  <c r="N81" i="14" s="1"/>
  <c r="O81" i="14" s="1"/>
  <c r="P81" i="14" s="1"/>
  <c r="K76" i="14"/>
  <c r="M76" i="14" s="1"/>
  <c r="N76" i="14" s="1"/>
  <c r="O76" i="14" s="1"/>
  <c r="P76" i="14" s="1"/>
  <c r="K69" i="14"/>
  <c r="M69" i="14" s="1"/>
  <c r="N69" i="14" s="1"/>
  <c r="O69" i="14" s="1"/>
  <c r="P69" i="14" s="1"/>
  <c r="K64" i="14"/>
  <c r="M64" i="14" s="1"/>
  <c r="N64" i="14" s="1"/>
  <c r="O64" i="14" s="1"/>
  <c r="P64" i="14" s="1"/>
  <c r="K48" i="14"/>
  <c r="M48" i="14" s="1"/>
  <c r="N48" i="14" s="1"/>
  <c r="O48" i="14" s="1"/>
  <c r="P48" i="14" s="1"/>
  <c r="K29" i="14"/>
  <c r="M29" i="14" s="1"/>
  <c r="N29" i="14" s="1"/>
  <c r="O29" i="14" s="1"/>
  <c r="P29" i="14" s="1"/>
  <c r="K86" i="14"/>
  <c r="M86" i="14" s="1"/>
  <c r="N86" i="14" s="1"/>
  <c r="O86" i="14" s="1"/>
  <c r="P86" i="14" s="1"/>
  <c r="K74" i="14"/>
  <c r="M74" i="14" s="1"/>
  <c r="N74" i="14" s="1"/>
  <c r="O74" i="14" s="1"/>
  <c r="P74" i="14" s="1"/>
  <c r="K62" i="14"/>
  <c r="M62" i="14" s="1"/>
  <c r="N62" i="14" s="1"/>
  <c r="O62" i="14" s="1"/>
  <c r="P62" i="14" s="1"/>
  <c r="K88" i="14"/>
  <c r="M88" i="14" s="1"/>
  <c r="N88" i="14" s="1"/>
  <c r="O88" i="14" s="1"/>
  <c r="P88" i="14" s="1"/>
  <c r="K57" i="14"/>
  <c r="M57" i="14" s="1"/>
  <c r="N57" i="14" s="1"/>
  <c r="O57" i="14" s="1"/>
  <c r="P57" i="14" s="1"/>
  <c r="K52" i="14"/>
  <c r="M52" i="14" s="1"/>
  <c r="N52" i="14" s="1"/>
  <c r="O52" i="14" s="1"/>
  <c r="P52" i="14" s="1"/>
  <c r="K50" i="14"/>
  <c r="K46" i="14"/>
  <c r="M46" i="14" s="1"/>
  <c r="N46" i="14" s="1"/>
  <c r="O46" i="14" s="1"/>
  <c r="P46" i="14" s="1"/>
  <c r="K98" i="14"/>
  <c r="M98" i="14" s="1"/>
  <c r="N98" i="14" s="1"/>
  <c r="O98" i="14" s="1"/>
  <c r="P98" i="14" s="1"/>
  <c r="K93" i="14"/>
  <c r="M93" i="14" s="1"/>
  <c r="N93" i="14" s="1"/>
  <c r="O93" i="14" s="1"/>
  <c r="P93" i="14" s="1"/>
  <c r="K44" i="14"/>
  <c r="M44" i="14" s="1"/>
  <c r="N44" i="14" s="1"/>
  <c r="O44" i="14" s="1"/>
  <c r="P44" i="14" s="1"/>
  <c r="K40" i="14"/>
  <c r="M40" i="14" s="1"/>
  <c r="N40" i="14" s="1"/>
  <c r="O40" i="14" s="1"/>
  <c r="P40" i="14" s="1"/>
  <c r="K95" i="14"/>
  <c r="M95" i="14" s="1"/>
  <c r="N95" i="14" s="1"/>
  <c r="O95" i="14" s="1"/>
  <c r="P95" i="14" s="1"/>
  <c r="K83" i="14"/>
  <c r="M83" i="14" s="1"/>
  <c r="N83" i="14" s="1"/>
  <c r="O83" i="14" s="1"/>
  <c r="P83" i="14" s="1"/>
  <c r="K71" i="14"/>
  <c r="M71" i="14" s="1"/>
  <c r="N71" i="14" s="1"/>
  <c r="O71" i="14" s="1"/>
  <c r="P71" i="14" s="1"/>
  <c r="K59" i="14"/>
  <c r="M59" i="14" s="1"/>
  <c r="N59" i="14" s="1"/>
  <c r="O59" i="14" s="1"/>
  <c r="P59" i="14" s="1"/>
  <c r="K94" i="14"/>
  <c r="M94" i="14" s="1"/>
  <c r="N94" i="14" s="1"/>
  <c r="O94" i="14" s="1"/>
  <c r="P94" i="14" s="1"/>
  <c r="K82" i="14"/>
  <c r="M82" i="14" s="1"/>
  <c r="N82" i="14" s="1"/>
  <c r="O82" i="14" s="1"/>
  <c r="P82" i="14" s="1"/>
  <c r="K70" i="14"/>
  <c r="M70" i="14" s="1"/>
  <c r="N70" i="14" s="1"/>
  <c r="O70" i="14" s="1"/>
  <c r="P70" i="14" s="1"/>
  <c r="K58" i="14"/>
  <c r="M58" i="14" s="1"/>
  <c r="N58" i="14" s="1"/>
  <c r="O58" i="14" s="1"/>
  <c r="P58" i="14" s="1"/>
  <c r="K51" i="14"/>
  <c r="M51" i="14" s="1"/>
  <c r="N51" i="14" s="1"/>
  <c r="O51" i="14" s="1"/>
  <c r="P51" i="14" s="1"/>
  <c r="K37" i="14"/>
  <c r="M37" i="14" s="1"/>
  <c r="N37" i="14" s="1"/>
  <c r="O37" i="14" s="1"/>
  <c r="P37" i="14" s="1"/>
  <c r="K28" i="14"/>
  <c r="M28" i="14" s="1"/>
  <c r="N28" i="14" s="1"/>
  <c r="O28" i="14" s="1"/>
  <c r="P28" i="14" s="1"/>
  <c r="K84" i="14"/>
  <c r="M84" i="14" s="1"/>
  <c r="N84" i="14" s="1"/>
  <c r="O84" i="14" s="1"/>
  <c r="P84" i="14" s="1"/>
  <c r="K63" i="14"/>
  <c r="M63" i="14" s="1"/>
  <c r="N63" i="14" s="1"/>
  <c r="O63" i="14" s="1"/>
  <c r="P63" i="14" s="1"/>
  <c r="K55" i="14"/>
  <c r="M55" i="14" s="1"/>
  <c r="N55" i="14" s="1"/>
  <c r="O55" i="14" s="1"/>
  <c r="P55" i="14" s="1"/>
  <c r="K45" i="14"/>
  <c r="M45" i="14" s="1"/>
  <c r="N45" i="14" s="1"/>
  <c r="O45" i="14" s="1"/>
  <c r="P45" i="14" s="1"/>
  <c r="K31" i="14"/>
  <c r="M31" i="14" s="1"/>
  <c r="N31" i="14" s="1"/>
  <c r="O31" i="14" s="1"/>
  <c r="P31" i="14" s="1"/>
  <c r="K65" i="14"/>
  <c r="M65" i="14" s="1"/>
  <c r="N65" i="14" s="1"/>
  <c r="O65" i="14" s="1"/>
  <c r="P65" i="14" s="1"/>
  <c r="K80" i="14"/>
  <c r="M80" i="14" s="1"/>
  <c r="N80" i="14" s="1"/>
  <c r="O80" i="14" s="1"/>
  <c r="P80" i="14" s="1"/>
  <c r="K90" i="14"/>
  <c r="M90" i="14" s="1"/>
  <c r="N90" i="14" s="1"/>
  <c r="O90" i="14" s="1"/>
  <c r="P90" i="14" s="1"/>
  <c r="K97" i="14"/>
  <c r="M97" i="14" s="1"/>
  <c r="N97" i="14" s="1"/>
  <c r="O97" i="14" s="1"/>
  <c r="P97" i="14" s="1"/>
  <c r="K85" i="14"/>
  <c r="M85" i="14" s="1"/>
  <c r="N85" i="14" s="1"/>
  <c r="O85" i="14" s="1"/>
  <c r="P85" i="14" s="1"/>
  <c r="K73" i="14"/>
  <c r="M73" i="14" s="1"/>
  <c r="N73" i="14" s="1"/>
  <c r="O73" i="14" s="1"/>
  <c r="P73" i="14" s="1"/>
  <c r="K61" i="14"/>
  <c r="M61" i="14" s="1"/>
  <c r="N61" i="14" s="1"/>
  <c r="O61" i="14" s="1"/>
  <c r="P61" i="14" s="1"/>
  <c r="K54" i="14"/>
  <c r="M54" i="14" s="1"/>
  <c r="N54" i="14" s="1"/>
  <c r="O54" i="14" s="1"/>
  <c r="P54" i="14" s="1"/>
  <c r="K39" i="14"/>
  <c r="M39" i="14" s="1"/>
  <c r="N39" i="14" s="1"/>
  <c r="O39" i="14" s="1"/>
  <c r="P39" i="14" s="1"/>
  <c r="K92" i="14"/>
  <c r="M92" i="14" s="1"/>
  <c r="N92" i="14" s="1"/>
  <c r="O92" i="14" s="1"/>
  <c r="P92" i="14" s="1"/>
  <c r="K56" i="14"/>
  <c r="M56" i="14" s="1"/>
  <c r="N56" i="14" s="1"/>
  <c r="O56" i="14" s="1"/>
  <c r="P56" i="14" s="1"/>
  <c r="K43" i="14"/>
  <c r="M43" i="14" s="1"/>
  <c r="N43" i="14" s="1"/>
  <c r="O43" i="14" s="1"/>
  <c r="P43" i="14" s="1"/>
  <c r="K91" i="14"/>
  <c r="M91" i="14" s="1"/>
  <c r="N91" i="14" s="1"/>
  <c r="O91" i="14" s="1"/>
  <c r="P91" i="14" s="1"/>
  <c r="K36" i="14"/>
  <c r="M36" i="14" s="1"/>
  <c r="N36" i="14" s="1"/>
  <c r="O36" i="14" s="1"/>
  <c r="P36" i="14" s="1"/>
  <c r="K53" i="14"/>
  <c r="M53" i="14" s="1"/>
  <c r="N53" i="14" s="1"/>
  <c r="O53" i="14" s="1"/>
  <c r="P53" i="14" s="1"/>
  <c r="K60" i="14"/>
  <c r="M60" i="14" s="1"/>
  <c r="N60" i="14" s="1"/>
  <c r="O60" i="14" s="1"/>
  <c r="P60" i="14" s="1"/>
  <c r="K38" i="14"/>
  <c r="M38" i="14" s="1"/>
  <c r="N38" i="14" s="1"/>
  <c r="O38" i="14" s="1"/>
  <c r="P38" i="14" s="1"/>
  <c r="K79" i="14"/>
  <c r="M79" i="14" s="1"/>
  <c r="N79" i="14" s="1"/>
  <c r="O79" i="14" s="1"/>
  <c r="P79" i="14" s="1"/>
  <c r="K32" i="14"/>
  <c r="K78" i="14"/>
  <c r="M78" i="14" s="1"/>
  <c r="N78" i="14" s="1"/>
  <c r="O78" i="14" s="1"/>
  <c r="P78" i="14" s="1"/>
  <c r="K34" i="14"/>
  <c r="M34" i="14" s="1"/>
  <c r="N34" i="14" s="1"/>
  <c r="O34" i="14" s="1"/>
  <c r="P34" i="14" s="1"/>
  <c r="K47" i="14"/>
  <c r="M47" i="14" s="1"/>
  <c r="N47" i="14" s="1"/>
  <c r="O47" i="14" s="1"/>
  <c r="P47" i="14" s="1"/>
  <c r="K72" i="14"/>
  <c r="M72" i="14" s="1"/>
  <c r="N72" i="14" s="1"/>
  <c r="O72" i="14" s="1"/>
  <c r="P72" i="14" s="1"/>
  <c r="K75" i="14"/>
  <c r="M75" i="14" s="1"/>
  <c r="N75" i="14" s="1"/>
  <c r="O75" i="14" s="1"/>
  <c r="P75" i="14" s="1"/>
  <c r="K67" i="14"/>
  <c r="M67" i="14" s="1"/>
  <c r="N67" i="14" s="1"/>
  <c r="O67" i="14" s="1"/>
  <c r="P67" i="14" s="1"/>
  <c r="K96" i="14"/>
  <c r="M96" i="14" s="1"/>
  <c r="N96" i="14" s="1"/>
  <c r="O96" i="14" s="1"/>
  <c r="P96" i="14" s="1"/>
  <c r="K49" i="14"/>
  <c r="M49" i="14" s="1"/>
  <c r="N49" i="14" s="1"/>
  <c r="O49" i="14" s="1"/>
  <c r="P49" i="14" s="1"/>
  <c r="K35" i="14"/>
  <c r="M35" i="14" s="1"/>
  <c r="N35" i="14" s="1"/>
  <c r="O35" i="14" s="1"/>
  <c r="P35" i="14" s="1"/>
  <c r="K42" i="14"/>
  <c r="M42" i="14" s="1"/>
  <c r="N42" i="14" s="1"/>
  <c r="O42" i="14" s="1"/>
  <c r="P42" i="14" s="1"/>
  <c r="K41" i="14"/>
  <c r="M41" i="14" s="1"/>
  <c r="N41" i="14" s="1"/>
  <c r="O41" i="14" s="1"/>
  <c r="P41" i="14" s="1"/>
  <c r="K89" i="14"/>
  <c r="M89" i="14" s="1"/>
  <c r="N89" i="14" s="1"/>
  <c r="O89" i="14" s="1"/>
  <c r="P89" i="14" s="1"/>
  <c r="K77" i="14"/>
  <c r="M77" i="14" s="1"/>
  <c r="N77" i="14" s="1"/>
  <c r="O77" i="14" s="1"/>
  <c r="P77" i="14" s="1"/>
  <c r="K68" i="14"/>
  <c r="M68" i="14" s="1"/>
  <c r="N68" i="14" s="1"/>
  <c r="O68" i="14" s="1"/>
  <c r="P68" i="14" s="1"/>
  <c r="K30" i="14"/>
  <c r="M30" i="14" s="1"/>
  <c r="N30" i="14" s="1"/>
  <c r="O30" i="14" s="1"/>
  <c r="P30" i="14" s="1"/>
  <c r="K66" i="14"/>
  <c r="M66" i="14" s="1"/>
  <c r="N66" i="14" s="1"/>
  <c r="O66" i="14" s="1"/>
  <c r="P66" i="14" s="1"/>
  <c r="K87" i="14"/>
  <c r="M87" i="14" s="1"/>
  <c r="N87" i="14" s="1"/>
  <c r="O87" i="14" s="1"/>
  <c r="P87" i="14" s="1"/>
  <c r="N9" i="14"/>
  <c r="N7" i="14"/>
  <c r="M50" i="14"/>
  <c r="N50" i="14" s="1"/>
  <c r="O50" i="14" s="1"/>
  <c r="P50" i="14" s="1"/>
  <c r="N10" i="14"/>
  <c r="P80" i="13"/>
  <c r="M73" i="13"/>
  <c r="N73" i="13" s="1"/>
  <c r="O73" i="13" s="1"/>
  <c r="P73" i="13" s="1"/>
  <c r="M50" i="13"/>
  <c r="N50" i="13" s="1"/>
  <c r="O50" i="13" s="1"/>
  <c r="P50" i="13" s="1"/>
  <c r="M35" i="13"/>
  <c r="N35" i="13" s="1"/>
  <c r="O35" i="13" s="1"/>
  <c r="P35" i="13" s="1"/>
  <c r="M29" i="13"/>
  <c r="N29" i="13" s="1"/>
  <c r="O29" i="13" s="1"/>
  <c r="P29" i="13" s="1"/>
  <c r="P71" i="13"/>
  <c r="M95" i="13"/>
  <c r="N95" i="13" s="1"/>
  <c r="O95" i="13" s="1"/>
  <c r="P95" i="13" s="1"/>
  <c r="M59" i="13"/>
  <c r="N59" i="13" s="1"/>
  <c r="O59" i="13" s="1"/>
  <c r="P59" i="13" s="1"/>
  <c r="M55" i="13"/>
  <c r="N55" i="13" s="1"/>
  <c r="O55" i="13" s="1"/>
  <c r="P55" i="13" s="1"/>
  <c r="M57" i="13"/>
  <c r="N57" i="13" s="1"/>
  <c r="O57" i="13" s="1"/>
  <c r="P57" i="13" s="1"/>
  <c r="M68" i="13"/>
  <c r="N68" i="13" s="1"/>
  <c r="O68" i="13" s="1"/>
  <c r="P68" i="13" s="1"/>
  <c r="M54" i="13"/>
  <c r="N54" i="13" s="1"/>
  <c r="O54" i="13" s="1"/>
  <c r="P54" i="13" s="1"/>
  <c r="M98" i="13"/>
  <c r="N98" i="13" s="1"/>
  <c r="O98" i="13" s="1"/>
  <c r="P98" i="13" s="1"/>
  <c r="M72" i="13"/>
  <c r="N72" i="13" s="1"/>
  <c r="O72" i="13" s="1"/>
  <c r="P72" i="13" s="1"/>
  <c r="M38" i="13"/>
  <c r="N38" i="13" s="1"/>
  <c r="O38" i="13" s="1"/>
  <c r="P38" i="13" s="1"/>
  <c r="M58" i="13"/>
  <c r="N58" i="13" s="1"/>
  <c r="O58" i="13" s="1"/>
  <c r="P58" i="13" s="1"/>
  <c r="M79" i="13"/>
  <c r="N79" i="13" s="1"/>
  <c r="O79" i="13" s="1"/>
  <c r="P79" i="13" s="1"/>
  <c r="R78" i="13" s="1"/>
  <c r="M91" i="13"/>
  <c r="N91" i="13" s="1"/>
  <c r="O91" i="13" s="1"/>
  <c r="P91" i="13" s="1"/>
  <c r="M69" i="13"/>
  <c r="N69" i="13" s="1"/>
  <c r="O69" i="13" s="1"/>
  <c r="P69" i="13" s="1"/>
  <c r="M43" i="12"/>
  <c r="N43" i="12" s="1"/>
  <c r="O43" i="12" s="1"/>
  <c r="P43" i="12" s="1"/>
  <c r="M94" i="12"/>
  <c r="N94" i="12" s="1"/>
  <c r="O94" i="12" s="1"/>
  <c r="P94" i="12" s="1"/>
  <c r="R93" i="12" s="1"/>
  <c r="M87" i="12"/>
  <c r="N87" i="12" s="1"/>
  <c r="O87" i="12" s="1"/>
  <c r="P87" i="12" s="1"/>
  <c r="M77" i="12"/>
  <c r="N77" i="12" s="1"/>
  <c r="O77" i="12" s="1"/>
  <c r="P77" i="12" s="1"/>
  <c r="M46" i="12"/>
  <c r="N46" i="12" s="1"/>
  <c r="O46" i="12" s="1"/>
  <c r="P46" i="12" s="1"/>
  <c r="M58" i="12"/>
  <c r="N58" i="12" s="1"/>
  <c r="O58" i="12" s="1"/>
  <c r="P58" i="12" s="1"/>
  <c r="M65" i="12"/>
  <c r="N65" i="12" s="1"/>
  <c r="O65" i="12" s="1"/>
  <c r="P65" i="12" s="1"/>
  <c r="M51" i="12"/>
  <c r="N51" i="12" s="1"/>
  <c r="O51" i="12" s="1"/>
  <c r="P51" i="12" s="1"/>
  <c r="M36" i="12"/>
  <c r="N36" i="12" s="1"/>
  <c r="O36" i="12" s="1"/>
  <c r="P36" i="12" s="1"/>
  <c r="M73" i="12"/>
  <c r="N73" i="12" s="1"/>
  <c r="O73" i="12" s="1"/>
  <c r="P73" i="12" s="1"/>
  <c r="Q72" i="12" s="1"/>
  <c r="U42" i="12" s="1"/>
  <c r="M27" i="12"/>
  <c r="N27" i="12" s="1"/>
  <c r="O27" i="12" s="1"/>
  <c r="P27" i="12" s="1"/>
  <c r="M34" i="12"/>
  <c r="N34" i="12" s="1"/>
  <c r="O34" i="12" s="1"/>
  <c r="P34" i="12" s="1"/>
  <c r="M61" i="12"/>
  <c r="N61" i="12" s="1"/>
  <c r="O61" i="12" s="1"/>
  <c r="P61" i="12" s="1"/>
  <c r="Q60" i="12" s="1"/>
  <c r="U38" i="12" s="1"/>
  <c r="M44" i="12"/>
  <c r="N44" i="12" s="1"/>
  <c r="O44" i="12" s="1"/>
  <c r="P44" i="12" s="1"/>
  <c r="M81" i="12"/>
  <c r="N81" i="12" s="1"/>
  <c r="O81" i="12" s="1"/>
  <c r="P81" i="12" s="1"/>
  <c r="M80" i="12"/>
  <c r="N80" i="12" s="1"/>
  <c r="O80" i="12" s="1"/>
  <c r="P80" i="12" s="1"/>
  <c r="Q78" i="12" s="1"/>
  <c r="U44" i="12" s="1"/>
  <c r="M32" i="12"/>
  <c r="N32" i="12" s="1"/>
  <c r="O32" i="12" s="1"/>
  <c r="P32" i="12" s="1"/>
  <c r="R30" i="12" s="1"/>
  <c r="M75" i="12"/>
  <c r="N75" i="12" s="1"/>
  <c r="O75" i="12" s="1"/>
  <c r="P75" i="12" s="1"/>
  <c r="M56" i="12"/>
  <c r="N56" i="12" s="1"/>
  <c r="O56" i="12" s="1"/>
  <c r="P56" i="12" s="1"/>
  <c r="Q54" i="12" s="1"/>
  <c r="U36" i="12" s="1"/>
  <c r="Q96" i="12"/>
  <c r="U50" i="12" s="1"/>
  <c r="R96" i="12"/>
  <c r="M59" i="12"/>
  <c r="N59" i="12" s="1"/>
  <c r="O59" i="12" s="1"/>
  <c r="P59" i="12" s="1"/>
  <c r="M40" i="12"/>
  <c r="N40" i="12" s="1"/>
  <c r="O40" i="12" s="1"/>
  <c r="P40" i="12" s="1"/>
  <c r="R39" i="12" s="1"/>
  <c r="M52" i="12"/>
  <c r="N52" i="12" s="1"/>
  <c r="O52" i="12" s="1"/>
  <c r="P52" i="12" s="1"/>
  <c r="M42" i="12"/>
  <c r="N42" i="12" s="1"/>
  <c r="O42" i="12" s="1"/>
  <c r="P42" i="12" s="1"/>
  <c r="M48" i="12"/>
  <c r="N48" i="12" s="1"/>
  <c r="O48" i="12" s="1"/>
  <c r="P48" i="12" s="1"/>
  <c r="M64" i="12"/>
  <c r="N64" i="12" s="1"/>
  <c r="O64" i="12" s="1"/>
  <c r="P64" i="12" s="1"/>
  <c r="M74" i="12"/>
  <c r="N74" i="12" s="1"/>
  <c r="O74" i="12" s="1"/>
  <c r="P74" i="12" s="1"/>
  <c r="M90" i="12"/>
  <c r="N90" i="12" s="1"/>
  <c r="O90" i="12" s="1"/>
  <c r="P90" i="12" s="1"/>
  <c r="M33" i="12"/>
  <c r="N33" i="12" s="1"/>
  <c r="O33" i="12" s="1"/>
  <c r="P33" i="12" s="1"/>
  <c r="M49" i="12"/>
  <c r="N49" i="12" s="1"/>
  <c r="O49" i="12" s="1"/>
  <c r="P49" i="12" s="1"/>
  <c r="P53" i="12"/>
  <c r="M95" i="12"/>
  <c r="N95" i="12" s="1"/>
  <c r="O95" i="12" s="1"/>
  <c r="P95" i="12" s="1"/>
  <c r="M47" i="12"/>
  <c r="N47" i="12" s="1"/>
  <c r="O47" i="12" s="1"/>
  <c r="P47" i="12" s="1"/>
  <c r="M57" i="12"/>
  <c r="N57" i="12" s="1"/>
  <c r="O57" i="12" s="1"/>
  <c r="P57" i="12" s="1"/>
  <c r="M38" i="12"/>
  <c r="N38" i="12" s="1"/>
  <c r="O38" i="12" s="1"/>
  <c r="P38" i="12" s="1"/>
  <c r="M71" i="12"/>
  <c r="N71" i="12" s="1"/>
  <c r="O71" i="12" s="1"/>
  <c r="P71" i="12" s="1"/>
  <c r="R69" i="12" s="1"/>
  <c r="M85" i="12"/>
  <c r="N85" i="12" s="1"/>
  <c r="O85" i="12" s="1"/>
  <c r="P85" i="12" s="1"/>
  <c r="R84" i="12" s="1"/>
  <c r="M68" i="12"/>
  <c r="N68" i="12" s="1"/>
  <c r="O68" i="12" s="1"/>
  <c r="P68" i="12" s="1"/>
  <c r="M76" i="12"/>
  <c r="N76" i="12" s="1"/>
  <c r="O76" i="12" s="1"/>
  <c r="P76" i="12" s="1"/>
  <c r="M66" i="12"/>
  <c r="N66" i="12" s="1"/>
  <c r="O66" i="12" s="1"/>
  <c r="P66" i="12" s="1"/>
  <c r="F96" i="1"/>
  <c r="F98" i="1" s="1"/>
  <c r="D96" i="1"/>
  <c r="T50" i="1" s="1"/>
  <c r="F93" i="1"/>
  <c r="F94" i="1" s="1"/>
  <c r="D93" i="1"/>
  <c r="T49" i="1" s="1"/>
  <c r="F90" i="1"/>
  <c r="F92" i="1" s="1"/>
  <c r="D90" i="1"/>
  <c r="T48" i="1" s="1"/>
  <c r="F87" i="1"/>
  <c r="F89" i="1" s="1"/>
  <c r="D87" i="1"/>
  <c r="T47" i="1" s="1"/>
  <c r="F84" i="1"/>
  <c r="D84" i="1"/>
  <c r="T46" i="1" s="1"/>
  <c r="F81" i="1"/>
  <c r="F83" i="1" s="1"/>
  <c r="D81" i="1"/>
  <c r="T45" i="1" s="1"/>
  <c r="F78" i="1"/>
  <c r="F79" i="1" s="1"/>
  <c r="D78" i="1"/>
  <c r="T44" i="1" s="1"/>
  <c r="F75" i="1"/>
  <c r="F76" i="1" s="1"/>
  <c r="D75" i="1"/>
  <c r="F72" i="1"/>
  <c r="F73" i="1" s="1"/>
  <c r="D72" i="1"/>
  <c r="T42" i="1" s="1"/>
  <c r="F69" i="1"/>
  <c r="F71" i="1" s="1"/>
  <c r="D69" i="1"/>
  <c r="F66" i="1"/>
  <c r="F68" i="1" s="1"/>
  <c r="D66" i="1"/>
  <c r="T40" i="1" s="1"/>
  <c r="F63" i="1"/>
  <c r="F64" i="1" s="1"/>
  <c r="D63" i="1"/>
  <c r="T39" i="1" s="1"/>
  <c r="F60" i="1"/>
  <c r="F62" i="1" s="1"/>
  <c r="D60" i="1"/>
  <c r="T38" i="1" s="1"/>
  <c r="F57" i="1"/>
  <c r="F58" i="1" s="1"/>
  <c r="D57" i="1"/>
  <c r="T37" i="1" s="1"/>
  <c r="F54" i="1"/>
  <c r="F56" i="1" s="1"/>
  <c r="D54" i="1"/>
  <c r="T36" i="1" s="1"/>
  <c r="F51" i="1"/>
  <c r="F52" i="1" s="1"/>
  <c r="D51" i="1"/>
  <c r="T35" i="1" s="1"/>
  <c r="F48" i="1"/>
  <c r="D48" i="1"/>
  <c r="T34" i="1" s="1"/>
  <c r="F45" i="1"/>
  <c r="D45" i="1"/>
  <c r="T33" i="1" s="1"/>
  <c r="T43" i="1"/>
  <c r="F42" i="1"/>
  <c r="F44" i="1" s="1"/>
  <c r="D42" i="1"/>
  <c r="T32" i="1" s="1"/>
  <c r="T41" i="1"/>
  <c r="F39" i="1"/>
  <c r="F41" i="1" s="1"/>
  <c r="D39" i="1"/>
  <c r="T31" i="1" s="1"/>
  <c r="F36" i="1"/>
  <c r="F38" i="1" s="1"/>
  <c r="D36" i="1"/>
  <c r="T30" i="1" s="1"/>
  <c r="F33" i="1"/>
  <c r="F35" i="1" s="1"/>
  <c r="D33" i="1"/>
  <c r="T29" i="1" s="1"/>
  <c r="F30" i="1"/>
  <c r="F32" i="1" s="1"/>
  <c r="D30" i="1"/>
  <c r="T28" i="1" s="1"/>
  <c r="F27" i="1"/>
  <c r="F29" i="1" s="1"/>
  <c r="D27" i="1"/>
  <c r="T27" i="1" s="1"/>
  <c r="Q75" i="15" l="1"/>
  <c r="U43" i="15" s="1"/>
  <c r="Q63" i="15"/>
  <c r="U39" i="15" s="1"/>
  <c r="Q72" i="15"/>
  <c r="U42" i="15" s="1"/>
  <c r="Q30" i="15"/>
  <c r="U28" i="15" s="1"/>
  <c r="Q81" i="15"/>
  <c r="U45" i="15" s="1"/>
  <c r="Q39" i="13"/>
  <c r="U31" i="13" s="1"/>
  <c r="Q60" i="13"/>
  <c r="U38" i="13" s="1"/>
  <c r="R96" i="13"/>
  <c r="R36" i="13"/>
  <c r="R39" i="13"/>
  <c r="R75" i="13"/>
  <c r="Q30" i="13"/>
  <c r="U28" i="13" s="1"/>
  <c r="R48" i="13"/>
  <c r="Q84" i="13"/>
  <c r="U46" i="13" s="1"/>
  <c r="R45" i="13"/>
  <c r="Q36" i="13"/>
  <c r="U30" i="13" s="1"/>
  <c r="R42" i="13"/>
  <c r="Q87" i="13"/>
  <c r="U47" i="13" s="1"/>
  <c r="R87" i="13"/>
  <c r="S87" i="13" s="1"/>
  <c r="R93" i="13"/>
  <c r="S93" i="13" s="1"/>
  <c r="Q93" i="13"/>
  <c r="U49" i="13" s="1"/>
  <c r="Q45" i="13"/>
  <c r="U33" i="13" s="1"/>
  <c r="R33" i="13"/>
  <c r="R63" i="13"/>
  <c r="R90" i="13"/>
  <c r="R84" i="13"/>
  <c r="Q42" i="13"/>
  <c r="U32" i="13" s="1"/>
  <c r="R27" i="13"/>
  <c r="Q81" i="13"/>
  <c r="U45" i="13" s="1"/>
  <c r="R45" i="12"/>
  <c r="R60" i="12"/>
  <c r="S96" i="12"/>
  <c r="Q93" i="12"/>
  <c r="U49" i="12" s="1"/>
  <c r="R63" i="12"/>
  <c r="S75" i="15"/>
  <c r="S45" i="15"/>
  <c r="R54" i="15"/>
  <c r="Q54" i="15"/>
  <c r="U36" i="15" s="1"/>
  <c r="S72" i="15"/>
  <c r="S42" i="15"/>
  <c r="R63" i="15"/>
  <c r="R84" i="15"/>
  <c r="S84" i="15" s="1"/>
  <c r="R78" i="15"/>
  <c r="Q78" i="15"/>
  <c r="U44" i="15" s="1"/>
  <c r="Q33" i="15"/>
  <c r="U29" i="15" s="1"/>
  <c r="R33" i="15"/>
  <c r="S33" i="15" s="1"/>
  <c r="R57" i="15"/>
  <c r="Q57" i="15"/>
  <c r="U37" i="15" s="1"/>
  <c r="R69" i="15"/>
  <c r="Q69" i="15"/>
  <c r="U41" i="15" s="1"/>
  <c r="S81" i="15"/>
  <c r="Q87" i="15"/>
  <c r="U47" i="15" s="1"/>
  <c r="R87" i="15"/>
  <c r="S87" i="15" s="1"/>
  <c r="R27" i="15"/>
  <c r="S27" i="15" s="1"/>
  <c r="Q60" i="15"/>
  <c r="U38" i="15" s="1"/>
  <c r="R51" i="15"/>
  <c r="S51" i="15" s="1"/>
  <c r="R93" i="15"/>
  <c r="Q93" i="15"/>
  <c r="U49" i="15" s="1"/>
  <c r="R96" i="15"/>
  <c r="Q96" i="15"/>
  <c r="U50" i="15" s="1"/>
  <c r="R39" i="15"/>
  <c r="Q39" i="15"/>
  <c r="U31" i="15" s="1"/>
  <c r="R36" i="15"/>
  <c r="Q36" i="15"/>
  <c r="U30" i="15" s="1"/>
  <c r="R90" i="15"/>
  <c r="Q90" i="15"/>
  <c r="U48" i="15" s="1"/>
  <c r="R30" i="15"/>
  <c r="S30" i="15" s="1"/>
  <c r="R66" i="15"/>
  <c r="Q66" i="15"/>
  <c r="U40" i="15" s="1"/>
  <c r="S48" i="15"/>
  <c r="R51" i="14"/>
  <c r="Q51" i="14"/>
  <c r="U35" i="14" s="1"/>
  <c r="R96" i="14"/>
  <c r="Q96" i="14"/>
  <c r="U50" i="14" s="1"/>
  <c r="Q63" i="14"/>
  <c r="U39" i="14" s="1"/>
  <c r="R63" i="14"/>
  <c r="S63" i="14" s="1"/>
  <c r="Q57" i="14"/>
  <c r="U37" i="14" s="1"/>
  <c r="R57" i="14"/>
  <c r="Q39" i="14"/>
  <c r="U31" i="14" s="1"/>
  <c r="R39" i="14"/>
  <c r="S39" i="14" s="1"/>
  <c r="R60" i="14"/>
  <c r="Q60" i="14"/>
  <c r="U38" i="14" s="1"/>
  <c r="R84" i="14"/>
  <c r="Q84" i="14"/>
  <c r="U46" i="14" s="1"/>
  <c r="R69" i="14"/>
  <c r="Q69" i="14"/>
  <c r="U41" i="14" s="1"/>
  <c r="R81" i="14"/>
  <c r="Q81" i="14"/>
  <c r="U45" i="14" s="1"/>
  <c r="R87" i="14"/>
  <c r="Q87" i="14"/>
  <c r="U47" i="14" s="1"/>
  <c r="Q66" i="14"/>
  <c r="U40" i="14" s="1"/>
  <c r="R66" i="14"/>
  <c r="Q30" i="14"/>
  <c r="U28" i="14" s="1"/>
  <c r="R30" i="14"/>
  <c r="S30" i="14" s="1"/>
  <c r="R36" i="14"/>
  <c r="Q36" i="14"/>
  <c r="U30" i="14" s="1"/>
  <c r="Q48" i="14"/>
  <c r="U34" i="14" s="1"/>
  <c r="R48" i="14"/>
  <c r="S48" i="14" s="1"/>
  <c r="R42" i="14"/>
  <c r="Q42" i="14"/>
  <c r="U32" i="14" s="1"/>
  <c r="R33" i="14"/>
  <c r="Q33" i="14"/>
  <c r="U29" i="14" s="1"/>
  <c r="R72" i="14"/>
  <c r="Q72" i="14"/>
  <c r="U42" i="14" s="1"/>
  <c r="Q75" i="14"/>
  <c r="U43" i="14" s="1"/>
  <c r="R75" i="14"/>
  <c r="R27" i="14"/>
  <c r="Q27" i="14"/>
  <c r="U27" i="14" s="1"/>
  <c r="R93" i="14"/>
  <c r="Q93" i="14"/>
  <c r="U49" i="14" s="1"/>
  <c r="R78" i="14"/>
  <c r="Q78" i="14"/>
  <c r="U44" i="14" s="1"/>
  <c r="R90" i="14"/>
  <c r="Q90" i="14"/>
  <c r="U48" i="14" s="1"/>
  <c r="R45" i="14"/>
  <c r="Q45" i="14"/>
  <c r="U33" i="14" s="1"/>
  <c r="R54" i="14"/>
  <c r="Q54" i="14"/>
  <c r="U36" i="14" s="1"/>
  <c r="R54" i="13"/>
  <c r="Q54" i="13"/>
  <c r="U36" i="13" s="1"/>
  <c r="R57" i="13"/>
  <c r="Q57" i="13"/>
  <c r="U37" i="13" s="1"/>
  <c r="R66" i="13"/>
  <c r="Q66" i="13"/>
  <c r="U40" i="13" s="1"/>
  <c r="S36" i="13"/>
  <c r="Q96" i="13"/>
  <c r="U50" i="13" s="1"/>
  <c r="Q63" i="13"/>
  <c r="U39" i="13" s="1"/>
  <c r="Q27" i="13"/>
  <c r="U27" i="13" s="1"/>
  <c r="Q48" i="13"/>
  <c r="U34" i="13" s="1"/>
  <c r="Q75" i="13"/>
  <c r="U43" i="13" s="1"/>
  <c r="S78" i="13"/>
  <c r="R51" i="13"/>
  <c r="Q51" i="13"/>
  <c r="U35" i="13" s="1"/>
  <c r="S60" i="13"/>
  <c r="Q90" i="13"/>
  <c r="U48" i="13" s="1"/>
  <c r="S39" i="13"/>
  <c r="R69" i="13"/>
  <c r="Q69" i="13"/>
  <c r="U41" i="13" s="1"/>
  <c r="Q33" i="13"/>
  <c r="U29" i="13" s="1"/>
  <c r="R72" i="13"/>
  <c r="Q72" i="13"/>
  <c r="U42" i="13" s="1"/>
  <c r="S93" i="12"/>
  <c r="R27" i="12"/>
  <c r="Q27" i="12"/>
  <c r="U27" i="12" s="1"/>
  <c r="R51" i="12"/>
  <c r="Q51" i="12"/>
  <c r="U35" i="12" s="1"/>
  <c r="Q63" i="12"/>
  <c r="U39" i="12" s="1"/>
  <c r="R75" i="12"/>
  <c r="Q75" i="12"/>
  <c r="U43" i="12" s="1"/>
  <c r="Q30" i="12"/>
  <c r="U28" i="12" s="1"/>
  <c r="Q45" i="12"/>
  <c r="U33" i="12" s="1"/>
  <c r="R57" i="12"/>
  <c r="Q57" i="12"/>
  <c r="U37" i="12" s="1"/>
  <c r="Q84" i="12"/>
  <c r="U46" i="12" s="1"/>
  <c r="S60" i="12"/>
  <c r="R72" i="12"/>
  <c r="S72" i="12" s="1"/>
  <c r="Q69" i="12"/>
  <c r="U41" i="12" s="1"/>
  <c r="R33" i="12"/>
  <c r="Q33" i="12"/>
  <c r="U29" i="12" s="1"/>
  <c r="R87" i="12"/>
  <c r="Q87" i="12"/>
  <c r="U47" i="12" s="1"/>
  <c r="R81" i="12"/>
  <c r="Q81" i="12"/>
  <c r="U45" i="12" s="1"/>
  <c r="R66" i="12"/>
  <c r="Q66" i="12"/>
  <c r="U40" i="12" s="1"/>
  <c r="Q39" i="12"/>
  <c r="U31" i="12" s="1"/>
  <c r="R48" i="12"/>
  <c r="Q48" i="12"/>
  <c r="U34" i="12" s="1"/>
  <c r="R54" i="12"/>
  <c r="S54" i="12" s="1"/>
  <c r="R78" i="12"/>
  <c r="S78" i="12" s="1"/>
  <c r="R36" i="12"/>
  <c r="Q36" i="12"/>
  <c r="U30" i="12" s="1"/>
  <c r="R90" i="12"/>
  <c r="Q90" i="12"/>
  <c r="U48" i="12" s="1"/>
  <c r="R42" i="12"/>
  <c r="Q42" i="12"/>
  <c r="U32" i="12" s="1"/>
  <c r="K89" i="1"/>
  <c r="J81" i="1"/>
  <c r="K29" i="1"/>
  <c r="K93" i="1"/>
  <c r="F40" i="1"/>
  <c r="F70" i="1"/>
  <c r="F31" i="1"/>
  <c r="F88" i="1"/>
  <c r="F77" i="1"/>
  <c r="F67" i="1"/>
  <c r="F95" i="1"/>
  <c r="F55" i="1"/>
  <c r="F91" i="1"/>
  <c r="F82" i="1"/>
  <c r="F34" i="1"/>
  <c r="F61" i="1"/>
  <c r="F37" i="1"/>
  <c r="F65" i="1"/>
  <c r="F80" i="1"/>
  <c r="F28" i="1"/>
  <c r="F97" i="1"/>
  <c r="N10" i="1"/>
  <c r="F46" i="1"/>
  <c r="F47" i="1"/>
  <c r="K74" i="1"/>
  <c r="F85" i="1"/>
  <c r="F86" i="1"/>
  <c r="F49" i="1"/>
  <c r="F50" i="1"/>
  <c r="F53" i="1"/>
  <c r="F59" i="1"/>
  <c r="F43" i="1"/>
  <c r="F74" i="1"/>
  <c r="S63" i="15" l="1"/>
  <c r="S57" i="15"/>
  <c r="S75" i="14"/>
  <c r="S57" i="14"/>
  <c r="S78" i="14"/>
  <c r="S51" i="14"/>
  <c r="S30" i="13"/>
  <c r="S84" i="13"/>
  <c r="S81" i="13"/>
  <c r="S42" i="13"/>
  <c r="S57" i="13"/>
  <c r="S45" i="13"/>
  <c r="S42" i="12"/>
  <c r="S69" i="15"/>
  <c r="S36" i="15"/>
  <c r="S39" i="15"/>
  <c r="S96" i="15"/>
  <c r="S93" i="15"/>
  <c r="S66" i="15"/>
  <c r="S90" i="15"/>
  <c r="S78" i="15"/>
  <c r="S54" i="15"/>
  <c r="S60" i="15"/>
  <c r="S93" i="14"/>
  <c r="S84" i="14"/>
  <c r="S33" i="14"/>
  <c r="S69" i="14"/>
  <c r="S45" i="14"/>
  <c r="S90" i="14"/>
  <c r="S96" i="14"/>
  <c r="S87" i="14"/>
  <c r="S27" i="14"/>
  <c r="S36" i="14"/>
  <c r="S66" i="14"/>
  <c r="S81" i="14"/>
  <c r="S72" i="14"/>
  <c r="S60" i="14"/>
  <c r="S42" i="14"/>
  <c r="S54" i="14"/>
  <c r="S66" i="13"/>
  <c r="S54" i="13"/>
  <c r="S90" i="13"/>
  <c r="S63" i="13"/>
  <c r="S33" i="13"/>
  <c r="S75" i="13"/>
  <c r="S48" i="13"/>
  <c r="S51" i="13"/>
  <c r="S27" i="13"/>
  <c r="S72" i="13"/>
  <c r="S69" i="13"/>
  <c r="S96" i="13"/>
  <c r="S90" i="12"/>
  <c r="S75" i="12"/>
  <c r="S57" i="12"/>
  <c r="S81" i="12"/>
  <c r="S84" i="12"/>
  <c r="S33" i="12"/>
  <c r="S63" i="12"/>
  <c r="S51" i="12"/>
  <c r="S27" i="12"/>
  <c r="S69" i="12"/>
  <c r="S36" i="12"/>
  <c r="S48" i="12"/>
  <c r="S66" i="12"/>
  <c r="S45" i="12"/>
  <c r="S87" i="12"/>
  <c r="S39" i="12"/>
  <c r="S30" i="12"/>
  <c r="K40" i="1"/>
  <c r="N9" i="1"/>
  <c r="K64" i="1"/>
  <c r="K65" i="1"/>
  <c r="K71" i="1"/>
  <c r="K96" i="1"/>
  <c r="K55" i="1"/>
  <c r="K78" i="1"/>
  <c r="K42" i="1"/>
  <c r="K59" i="1"/>
  <c r="K41" i="1"/>
  <c r="K84" i="1"/>
  <c r="K85" i="1"/>
  <c r="K43" i="1"/>
  <c r="K51" i="1"/>
  <c r="K69" i="1"/>
  <c r="K95" i="1"/>
  <c r="K47" i="1"/>
  <c r="N6" i="1"/>
  <c r="K67" i="1"/>
  <c r="K73" i="1"/>
  <c r="K38" i="1"/>
  <c r="K77" i="1"/>
  <c r="K52" i="1"/>
  <c r="K49" i="1"/>
  <c r="K28" i="1"/>
  <c r="K70" i="1"/>
  <c r="K39" i="1"/>
  <c r="K34" i="1"/>
  <c r="K54" i="1"/>
  <c r="K45" i="1"/>
  <c r="K48" i="1"/>
  <c r="K57" i="1"/>
  <c r="N8" i="1"/>
  <c r="K35" i="1"/>
  <c r="K33" i="1"/>
  <c r="K87" i="1"/>
  <c r="K90" i="1"/>
  <c r="K50" i="1"/>
  <c r="K53" i="1"/>
  <c r="K63" i="1"/>
  <c r="K60" i="1"/>
  <c r="K37" i="1"/>
  <c r="K76" i="1"/>
  <c r="K82" i="1"/>
  <c r="K79" i="1"/>
  <c r="J27" i="1"/>
  <c r="K80" i="1"/>
  <c r="K27" i="1"/>
  <c r="K83" i="1"/>
  <c r="K46" i="1"/>
  <c r="K86" i="1"/>
  <c r="K44" i="1"/>
  <c r="K32" i="1"/>
  <c r="K36" i="1"/>
  <c r="K75" i="1"/>
  <c r="K58" i="1"/>
  <c r="K61" i="1"/>
  <c r="K94" i="1"/>
  <c r="K62" i="1"/>
  <c r="K68" i="1"/>
  <c r="K98" i="1"/>
  <c r="K97" i="1"/>
  <c r="K88" i="1"/>
  <c r="K56" i="1"/>
  <c r="K72" i="1"/>
  <c r="N7" i="1"/>
  <c r="K92" i="1"/>
  <c r="K81" i="1"/>
  <c r="M81" i="1" s="1"/>
  <c r="K66" i="1"/>
  <c r="K30" i="1"/>
  <c r="K31" i="1"/>
  <c r="K91" i="1"/>
  <c r="J44" i="1"/>
  <c r="J75" i="1"/>
  <c r="J36" i="1"/>
  <c r="J64" i="1"/>
  <c r="J69" i="1"/>
  <c r="J41" i="1"/>
  <c r="J68" i="1"/>
  <c r="J32" i="1"/>
  <c r="M6" i="1"/>
  <c r="P7" i="1" s="1"/>
  <c r="J97" i="1"/>
  <c r="J78" i="1"/>
  <c r="M78" i="1" s="1"/>
  <c r="J62" i="1"/>
  <c r="J49" i="1"/>
  <c r="J58" i="1"/>
  <c r="J87" i="1"/>
  <c r="J29" i="1"/>
  <c r="M29" i="1" s="1"/>
  <c r="N29" i="1" s="1"/>
  <c r="J66" i="1"/>
  <c r="J95" i="1"/>
  <c r="J42" i="1"/>
  <c r="J55" i="1"/>
  <c r="J96" i="1"/>
  <c r="J59" i="1"/>
  <c r="J54" i="1"/>
  <c r="M54" i="1" s="1"/>
  <c r="J85" i="1"/>
  <c r="J51" i="1"/>
  <c r="J84" i="1"/>
  <c r="J73" i="1"/>
  <c r="J89" i="1"/>
  <c r="M89" i="1" s="1"/>
  <c r="J70" i="1"/>
  <c r="J28" i="1"/>
  <c r="J77" i="1"/>
  <c r="J76" i="1"/>
  <c r="J40" i="1"/>
  <c r="J82" i="1"/>
  <c r="J39" i="1"/>
  <c r="J57" i="1"/>
  <c r="M7" i="1"/>
  <c r="P8" i="1" s="1"/>
  <c r="J61" i="1"/>
  <c r="J65" i="1"/>
  <c r="J43" i="1"/>
  <c r="J33" i="1"/>
  <c r="J90" i="1"/>
  <c r="J34" i="1"/>
  <c r="M34" i="1" s="1"/>
  <c r="J48" i="1"/>
  <c r="J50" i="1"/>
  <c r="J52" i="1"/>
  <c r="M8" i="1"/>
  <c r="P9" i="1" s="1"/>
  <c r="J88" i="1"/>
  <c r="J56" i="1"/>
  <c r="J92" i="1"/>
  <c r="J35" i="1"/>
  <c r="J93" i="1"/>
  <c r="M93" i="1" s="1"/>
  <c r="J72" i="1"/>
  <c r="J30" i="1"/>
  <c r="J60" i="1"/>
  <c r="J47" i="1"/>
  <c r="J79" i="1"/>
  <c r="J67" i="1"/>
  <c r="J83" i="1"/>
  <c r="J71" i="1"/>
  <c r="J86" i="1"/>
  <c r="J63" i="1"/>
  <c r="J53" i="1"/>
  <c r="J31" i="1"/>
  <c r="J94" i="1"/>
  <c r="M10" i="1"/>
  <c r="P11" i="1" s="1"/>
  <c r="J98" i="1"/>
  <c r="J38" i="1"/>
  <c r="M9" i="1"/>
  <c r="P10" i="1" s="1"/>
  <c r="J91" i="1"/>
  <c r="J74" i="1"/>
  <c r="M74" i="1" s="1"/>
  <c r="J46" i="1"/>
  <c r="J45" i="1"/>
  <c r="J80" i="1"/>
  <c r="J37" i="1"/>
  <c r="M87" i="1" l="1"/>
  <c r="M64" i="1"/>
  <c r="M47" i="1"/>
  <c r="M40" i="1"/>
  <c r="M65" i="1"/>
  <c r="M42" i="1"/>
  <c r="M95" i="1"/>
  <c r="M69" i="1"/>
  <c r="M60" i="1"/>
  <c r="N60" i="1" s="1"/>
  <c r="M85" i="1"/>
  <c r="N85" i="1" s="1"/>
  <c r="M38" i="1"/>
  <c r="N38" i="1" s="1"/>
  <c r="M73" i="1"/>
  <c r="N73" i="1" s="1"/>
  <c r="M52" i="1"/>
  <c r="N52" i="1" s="1"/>
  <c r="M84" i="1"/>
  <c r="N84" i="1" s="1"/>
  <c r="M41" i="1"/>
  <c r="N41" i="1" s="1"/>
  <c r="M51" i="1"/>
  <c r="N51" i="1" s="1"/>
  <c r="M59" i="1"/>
  <c r="N59" i="1" s="1"/>
  <c r="M96" i="1"/>
  <c r="N96" i="1" s="1"/>
  <c r="M71" i="1"/>
  <c r="N71" i="1" s="1"/>
  <c r="M43" i="1"/>
  <c r="N43" i="1" s="1"/>
  <c r="M55" i="1"/>
  <c r="N55" i="1" s="1"/>
  <c r="M49" i="1"/>
  <c r="N49" i="1" s="1"/>
  <c r="M67" i="1"/>
  <c r="M57" i="1"/>
  <c r="N57" i="1" s="1"/>
  <c r="M77" i="1"/>
  <c r="N77" i="1" s="1"/>
  <c r="M39" i="1"/>
  <c r="N39" i="1" s="1"/>
  <c r="M45" i="1"/>
  <c r="N45" i="1" s="1"/>
  <c r="M35" i="1"/>
  <c r="N35" i="1" s="1"/>
  <c r="M28" i="1"/>
  <c r="N28" i="1" s="1"/>
  <c r="M70" i="1"/>
  <c r="N70" i="1" s="1"/>
  <c r="M27" i="1"/>
  <c r="N27" i="1" s="1"/>
  <c r="M50" i="1"/>
  <c r="N50" i="1" s="1"/>
  <c r="M48" i="1"/>
  <c r="N48" i="1" s="1"/>
  <c r="M53" i="1"/>
  <c r="N53" i="1" s="1"/>
  <c r="M33" i="1"/>
  <c r="N33" i="1" s="1"/>
  <c r="M98" i="1"/>
  <c r="N98" i="1" s="1"/>
  <c r="M68" i="1"/>
  <c r="N68" i="1" s="1"/>
  <c r="O68" i="1" s="1"/>
  <c r="P68" i="1" s="1"/>
  <c r="M90" i="1"/>
  <c r="N90" i="1" s="1"/>
  <c r="M72" i="1"/>
  <c r="N72" i="1" s="1"/>
  <c r="M88" i="1"/>
  <c r="N88" i="1" s="1"/>
  <c r="M83" i="1"/>
  <c r="N83" i="1" s="1"/>
  <c r="M31" i="1"/>
  <c r="N31" i="1" s="1"/>
  <c r="M86" i="1"/>
  <c r="N86" i="1" s="1"/>
  <c r="M44" i="1"/>
  <c r="N44" i="1" s="1"/>
  <c r="M66" i="1"/>
  <c r="N66" i="1" s="1"/>
  <c r="M37" i="1"/>
  <c r="N37" i="1" s="1"/>
  <c r="M30" i="1"/>
  <c r="N30" i="1" s="1"/>
  <c r="O30" i="1" s="1"/>
  <c r="P30" i="1" s="1"/>
  <c r="M46" i="1"/>
  <c r="N46" i="1" s="1"/>
  <c r="M76" i="1"/>
  <c r="N76" i="1" s="1"/>
  <c r="M62" i="1"/>
  <c r="N62" i="1" s="1"/>
  <c r="M91" i="1"/>
  <c r="N91" i="1" s="1"/>
  <c r="M97" i="1"/>
  <c r="N97" i="1" s="1"/>
  <c r="M56" i="1"/>
  <c r="N56" i="1" s="1"/>
  <c r="M32" i="1"/>
  <c r="N32" i="1" s="1"/>
  <c r="M92" i="1"/>
  <c r="N92" i="1" s="1"/>
  <c r="M94" i="1"/>
  <c r="N94" i="1" s="1"/>
  <c r="O94" i="1" s="1"/>
  <c r="P94" i="1" s="1"/>
  <c r="M36" i="1"/>
  <c r="N36" i="1" s="1"/>
  <c r="M63" i="1"/>
  <c r="N63" i="1" s="1"/>
  <c r="M75" i="1"/>
  <c r="N75" i="1" s="1"/>
  <c r="M61" i="1"/>
  <c r="N61" i="1" s="1"/>
  <c r="M79" i="1"/>
  <c r="N79" i="1" s="1"/>
  <c r="M80" i="1"/>
  <c r="N80" i="1" s="1"/>
  <c r="M82" i="1"/>
  <c r="N82" i="1" s="1"/>
  <c r="M58" i="1"/>
  <c r="N58" i="1" s="1"/>
  <c r="O58" i="1" s="1"/>
  <c r="P58" i="1" s="1"/>
  <c r="O77" i="1"/>
  <c r="P77" i="1" s="1"/>
  <c r="O29" i="1"/>
  <c r="P29" i="1" s="1"/>
  <c r="N89" i="1"/>
  <c r="N64" i="1"/>
  <c r="N93" i="1"/>
  <c r="N47" i="1"/>
  <c r="N87" i="1"/>
  <c r="N65" i="1"/>
  <c r="N34" i="1"/>
  <c r="N40" i="1"/>
  <c r="N78" i="1"/>
  <c r="N67" i="1"/>
  <c r="N42" i="1"/>
  <c r="N54" i="1"/>
  <c r="N69" i="1"/>
  <c r="O69" i="1" s="1"/>
  <c r="P69" i="1" s="1"/>
  <c r="N95" i="1"/>
  <c r="N81" i="1"/>
  <c r="N74" i="1"/>
  <c r="O74" i="1" s="1"/>
  <c r="P74" i="1" s="1"/>
  <c r="O36" i="1" l="1"/>
  <c r="P36" i="1" s="1"/>
  <c r="O45" i="1"/>
  <c r="P45" i="1" s="1"/>
  <c r="O35" i="1"/>
  <c r="P35" i="1" s="1"/>
  <c r="O53" i="1"/>
  <c r="P53" i="1" s="1"/>
  <c r="O33" i="1"/>
  <c r="P33" i="1" s="1"/>
  <c r="O97" i="1"/>
  <c r="P97" i="1" s="1"/>
  <c r="O64" i="1"/>
  <c r="P64" i="1" s="1"/>
  <c r="O80" i="1"/>
  <c r="P80" i="1" s="1"/>
  <c r="O67" i="1"/>
  <c r="P67" i="1" s="1"/>
  <c r="O51" i="1"/>
  <c r="P51" i="1" s="1"/>
  <c r="O98" i="1"/>
  <c r="P98" i="1" s="1"/>
  <c r="O95" i="1"/>
  <c r="P95" i="1" s="1"/>
  <c r="O55" i="1"/>
  <c r="P55" i="1" s="1"/>
  <c r="O46" i="1"/>
  <c r="P46" i="1" s="1"/>
  <c r="O38" i="1"/>
  <c r="P38" i="1" s="1"/>
  <c r="O48" i="1"/>
  <c r="P48" i="1" s="1"/>
  <c r="O89" i="1"/>
  <c r="P89" i="1" s="1"/>
  <c r="O78" i="1"/>
  <c r="P78" i="1" s="1"/>
  <c r="O59" i="1"/>
  <c r="P59" i="1" s="1"/>
  <c r="O37" i="1"/>
  <c r="P37" i="1" s="1"/>
  <c r="O40" i="1"/>
  <c r="P40" i="1" s="1"/>
  <c r="O41" i="1"/>
  <c r="P41" i="1" s="1"/>
  <c r="O92" i="1"/>
  <c r="P92" i="1" s="1"/>
  <c r="O71" i="1"/>
  <c r="P71" i="1" s="1"/>
  <c r="O28" i="1"/>
  <c r="P28" i="1" s="1"/>
  <c r="O90" i="1"/>
  <c r="P90" i="1" s="1"/>
  <c r="O70" i="1"/>
  <c r="P70" i="1" s="1"/>
  <c r="R69" i="1" s="1"/>
  <c r="O85" i="1"/>
  <c r="P85" i="1" s="1"/>
  <c r="O54" i="1"/>
  <c r="P54" i="1" s="1"/>
  <c r="O34" i="1"/>
  <c r="P34" i="1" s="1"/>
  <c r="O50" i="1"/>
  <c r="P50" i="1" s="1"/>
  <c r="O63" i="1"/>
  <c r="P63" i="1" s="1"/>
  <c r="O32" i="1"/>
  <c r="P32" i="1" s="1"/>
  <c r="O88" i="1"/>
  <c r="P88" i="1" s="1"/>
  <c r="O76" i="1"/>
  <c r="P76" i="1" s="1"/>
  <c r="O72" i="1"/>
  <c r="P72" i="1" s="1"/>
  <c r="O86" i="1"/>
  <c r="P86" i="1" s="1"/>
  <c r="O43" i="1"/>
  <c r="P43" i="1" s="1"/>
  <c r="O52" i="1"/>
  <c r="P52" i="1" s="1"/>
  <c r="O91" i="1"/>
  <c r="P91" i="1" s="1"/>
  <c r="O79" i="1"/>
  <c r="P79" i="1" s="1"/>
  <c r="O75" i="1"/>
  <c r="P75" i="1" s="1"/>
  <c r="O39" i="1"/>
  <c r="P39" i="1" s="1"/>
  <c r="O73" i="1"/>
  <c r="P73" i="1" s="1"/>
  <c r="O42" i="1"/>
  <c r="P42" i="1" s="1"/>
  <c r="O65" i="1"/>
  <c r="P65" i="1" s="1"/>
  <c r="O61" i="1"/>
  <c r="P61" i="1" s="1"/>
  <c r="O62" i="1"/>
  <c r="P62" i="1" s="1"/>
  <c r="O44" i="1"/>
  <c r="P44" i="1" s="1"/>
  <c r="O60" i="1"/>
  <c r="P60" i="1" s="1"/>
  <c r="O56" i="1"/>
  <c r="P56" i="1" s="1"/>
  <c r="O87" i="1"/>
  <c r="P87" i="1" s="1"/>
  <c r="O84" i="1"/>
  <c r="P84" i="1" s="1"/>
  <c r="O82" i="1"/>
  <c r="P82" i="1" s="1"/>
  <c r="O27" i="1"/>
  <c r="P27" i="1" s="1"/>
  <c r="O96" i="1"/>
  <c r="P96" i="1" s="1"/>
  <c r="O31" i="1"/>
  <c r="P31" i="1" s="1"/>
  <c r="Q30" i="1" s="1"/>
  <c r="U28" i="1" s="1"/>
  <c r="O81" i="1"/>
  <c r="P81" i="1" s="1"/>
  <c r="O47" i="1"/>
  <c r="P47" i="1" s="1"/>
  <c r="O57" i="1"/>
  <c r="P57" i="1" s="1"/>
  <c r="O66" i="1"/>
  <c r="P66" i="1" s="1"/>
  <c r="O83" i="1"/>
  <c r="P83" i="1" s="1"/>
  <c r="O93" i="1"/>
  <c r="P93" i="1" s="1"/>
  <c r="O49" i="1"/>
  <c r="P49" i="1" s="1"/>
  <c r="Q78" i="1" l="1"/>
  <c r="U44" i="1" s="1"/>
  <c r="R48" i="1"/>
  <c r="Q69" i="1"/>
  <c r="U41" i="1" s="1"/>
  <c r="Q96" i="1"/>
  <c r="U50" i="1" s="1"/>
  <c r="R30" i="1"/>
  <c r="S30" i="1" s="1"/>
  <c r="Q33" i="1"/>
  <c r="U29" i="1" s="1"/>
  <c r="R75" i="1"/>
  <c r="R66" i="1"/>
  <c r="R96" i="1"/>
  <c r="Q57" i="1"/>
  <c r="U37" i="1" s="1"/>
  <c r="R57" i="1"/>
  <c r="R60" i="1"/>
  <c r="Q60" i="1"/>
  <c r="U38" i="1" s="1"/>
  <c r="Q51" i="1"/>
  <c r="U35" i="1" s="1"/>
  <c r="R51" i="1"/>
  <c r="Q54" i="1"/>
  <c r="U36" i="1" s="1"/>
  <c r="R54" i="1"/>
  <c r="Q63" i="1"/>
  <c r="U39" i="1" s="1"/>
  <c r="R63" i="1"/>
  <c r="S63" i="1" s="1"/>
  <c r="R42" i="1"/>
  <c r="Q42" i="1"/>
  <c r="U32" i="1" s="1"/>
  <c r="R78" i="1"/>
  <c r="Q48" i="1"/>
  <c r="U34" i="1" s="1"/>
  <c r="R87" i="1"/>
  <c r="Q87" i="1"/>
  <c r="U47" i="1" s="1"/>
  <c r="Q45" i="1"/>
  <c r="U33" i="1" s="1"/>
  <c r="R45" i="1"/>
  <c r="R93" i="1"/>
  <c r="Q93" i="1"/>
  <c r="U49" i="1" s="1"/>
  <c r="Q39" i="1"/>
  <c r="U31" i="1" s="1"/>
  <c r="R39" i="1"/>
  <c r="S39" i="1" s="1"/>
  <c r="Q90" i="1"/>
  <c r="U48" i="1" s="1"/>
  <c r="R90" i="1"/>
  <c r="Q81" i="1"/>
  <c r="U45" i="1" s="1"/>
  <c r="R81" i="1"/>
  <c r="Q66" i="1"/>
  <c r="U40" i="1" s="1"/>
  <c r="Q27" i="1"/>
  <c r="U27" i="1" s="1"/>
  <c r="R27" i="1"/>
  <c r="S27" i="1" s="1"/>
  <c r="Q84" i="1"/>
  <c r="U46" i="1" s="1"/>
  <c r="R84" i="1"/>
  <c r="Q72" i="1"/>
  <c r="U42" i="1" s="1"/>
  <c r="R72" i="1"/>
  <c r="R33" i="1"/>
  <c r="Q75" i="1"/>
  <c r="U43" i="1" s="1"/>
  <c r="R36" i="1"/>
  <c r="Q36" i="1"/>
  <c r="U30" i="1" s="1"/>
  <c r="S78" i="1" l="1"/>
  <c r="S90" i="1"/>
  <c r="S81" i="1"/>
  <c r="S57" i="1"/>
  <c r="S45" i="1"/>
  <c r="S72" i="1"/>
  <c r="S51" i="1"/>
  <c r="S96" i="1"/>
  <c r="S69" i="1"/>
  <c r="S54" i="1"/>
  <c r="S33" i="1"/>
  <c r="S84" i="1"/>
  <c r="S93" i="1"/>
  <c r="S36" i="1"/>
  <c r="S87" i="1"/>
  <c r="S60" i="1"/>
  <c r="S75" i="1"/>
  <c r="S42" i="1"/>
  <c r="S66" i="1"/>
  <c r="S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O25" authorId="0" shapeId="0" xr:uid="{F6C34CE0-B6EF-408B-951D-920E17100849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O25" authorId="0" shapeId="0" xr:uid="{FB8A0C11-16A0-498E-81CE-530C1AD98A53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O25" authorId="0" shapeId="0" xr:uid="{76708D79-07E8-4BFE-A0FC-EB58E14FC32F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O25" authorId="0" shapeId="0" xr:uid="{F1702DC4-BC3C-475C-A580-9B14BF44028F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O25" authorId="0" shapeId="0" xr:uid="{498C9D4A-3015-405A-A1CC-603BBA178FA9}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hier *(Faktor) bei Verdünnung hinzufügen</t>
        </r>
      </text>
    </comment>
  </commentList>
</comments>
</file>

<file path=xl/sharedStrings.xml><?xml version="1.0" encoding="utf-8"?>
<sst xmlns="http://schemas.openxmlformats.org/spreadsheetml/2006/main" count="886" uniqueCount="256">
  <si>
    <t>Berechnung Anthocyane</t>
  </si>
  <si>
    <t>Absorption</t>
  </si>
  <si>
    <t>minus Blank</t>
  </si>
  <si>
    <t>Anthocyan Standard</t>
  </si>
  <si>
    <t>Wellpos.</t>
  </si>
  <si>
    <t>530 nm</t>
  </si>
  <si>
    <t>657 nm</t>
  </si>
  <si>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scheme val="minor"/>
      </rPr>
      <t>g/ml</t>
    </r>
  </si>
  <si>
    <t>A1</t>
  </si>
  <si>
    <t>A2</t>
  </si>
  <si>
    <t>A3</t>
  </si>
  <si>
    <t>A4</t>
  </si>
  <si>
    <t>A5</t>
  </si>
  <si>
    <t>A6</t>
  </si>
  <si>
    <t>Blank</t>
  </si>
  <si>
    <t>A7</t>
  </si>
  <si>
    <t>A8</t>
  </si>
  <si>
    <t>A9</t>
  </si>
  <si>
    <t>Blank aver</t>
  </si>
  <si>
    <t>A10</t>
  </si>
  <si>
    <t>2ml Extraktionsmittel</t>
  </si>
  <si>
    <t>A11</t>
  </si>
  <si>
    <t>keine Verdünnung</t>
  </si>
  <si>
    <t>A12</t>
  </si>
  <si>
    <t>110 µl gemessen</t>
  </si>
  <si>
    <t>B1</t>
  </si>
  <si>
    <t>Berechnung</t>
  </si>
  <si>
    <t>B2</t>
  </si>
  <si>
    <r>
      <rPr>
        <sz val="11"/>
        <color rgb="FF000000"/>
        <rFont val="Calibri"/>
        <family val="2"/>
        <scheme val="minor"/>
      </rPr>
      <t>Anth = A</t>
    </r>
    <r>
      <rPr>
        <vertAlign val="subscript"/>
        <sz val="11"/>
        <color rgb="FF000000"/>
        <rFont val="Calibri"/>
        <family val="2"/>
        <scheme val="minor"/>
      </rPr>
      <t>530</t>
    </r>
    <r>
      <rPr>
        <sz val="11"/>
        <color rgb="FF000000"/>
        <rFont val="Calibri"/>
        <family val="2"/>
        <scheme val="minor"/>
      </rPr>
      <t xml:space="preserve"> – 0,25 A</t>
    </r>
    <r>
      <rPr>
        <vertAlign val="subscript"/>
        <sz val="11"/>
        <color rgb="FF000000"/>
        <rFont val="Calibri"/>
        <family val="2"/>
        <scheme val="minor"/>
      </rPr>
      <t>657</t>
    </r>
  </si>
  <si>
    <t>B3</t>
  </si>
  <si>
    <t>B4</t>
  </si>
  <si>
    <t>B5</t>
  </si>
  <si>
    <t>B6</t>
  </si>
  <si>
    <t>aus Einwaage-Tabelle</t>
  </si>
  <si>
    <t>*Anstieg Eichgerade</t>
  </si>
  <si>
    <t>/DW</t>
  </si>
  <si>
    <t>Mittel-wert</t>
  </si>
  <si>
    <t>STABW</t>
  </si>
  <si>
    <t>Proben-nummer</t>
  </si>
  <si>
    <t>Proben-Nr.</t>
  </si>
  <si>
    <t>Einwaage</t>
  </si>
  <si>
    <t>Wellposi-tion</t>
  </si>
  <si>
    <t>DW [mg]</t>
  </si>
  <si>
    <t>530 nm - Blank</t>
  </si>
  <si>
    <t>657 nm - Blank</t>
  </si>
  <si>
    <t>A(Antho)</t>
  </si>
  <si>
    <t>μg/ 2 ml</t>
  </si>
  <si>
    <t>μg/ml</t>
  </si>
  <si>
    <t>μg/mg DW</t>
  </si>
  <si>
    <t>µg/mg DW</t>
  </si>
  <si>
    <t>%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</si>
  <si>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</si>
  <si>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</si>
  <si>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</si>
  <si>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</si>
  <si>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</si>
  <si>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</si>
  <si>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</si>
  <si>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</si>
  <si>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</si>
  <si>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</si>
  <si>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</si>
  <si>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</si>
  <si>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</si>
  <si>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</si>
  <si>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</si>
  <si>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</si>
  <si>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</si>
  <si>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</si>
  <si>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</si>
  <si>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</si>
  <si>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</si>
  <si>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</si>
  <si>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</si>
  <si>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</si>
  <si>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</si>
  <si>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</si>
  <si>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</si>
  <si>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</si>
  <si>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</si>
  <si>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</si>
  <si>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</si>
  <si>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</si>
  <si>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</si>
  <si>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</si>
  <si>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</si>
  <si>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</si>
  <si>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</si>
  <si>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</si>
  <si>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</si>
  <si>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</si>
  <si>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</si>
  <si>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</si>
  <si>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</si>
  <si>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</si>
  <si>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</si>
  <si>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</si>
  <si>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</si>
  <si>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</si>
  <si>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</si>
  <si>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</si>
  <si>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</si>
  <si>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</si>
  <si>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</si>
  <si>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</si>
  <si>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</si>
  <si>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</si>
  <si>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</si>
  <si>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</si>
  <si>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</si>
  <si>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</si>
  <si>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</si>
  <si>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</si>
  <si>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</si>
  <si>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</si>
  <si>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</si>
  <si>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</si>
  <si>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</si>
  <si>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</si>
  <si>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</si>
  <si>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</si>
  <si>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</si>
  <si>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</si>
  <si>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Overflow</t>
  </si>
  <si>
    <t>*2</t>
  </si>
  <si>
    <t>H1</t>
  </si>
  <si>
    <t>H2</t>
  </si>
  <si>
    <t>H3</t>
  </si>
  <si>
    <t>E10</t>
  </si>
  <si>
    <t>E11</t>
  </si>
  <si>
    <t>E12</t>
  </si>
  <si>
    <t>NA</t>
  </si>
  <si>
    <t>Plate</t>
  </si>
  <si>
    <t>Sample</t>
  </si>
  <si>
    <t>anthocyanin ug/mg</t>
  </si>
  <si>
    <t>Genotype</t>
  </si>
  <si>
    <t>LAR2N56</t>
  </si>
  <si>
    <t>LAR4N25</t>
  </si>
  <si>
    <t>LAR3N108</t>
  </si>
  <si>
    <t>LAR3N71</t>
  </si>
  <si>
    <t>LAR2N22</t>
  </si>
  <si>
    <t>LAR3N28</t>
  </si>
  <si>
    <t>LAR1N123</t>
  </si>
  <si>
    <t>LAR3N79</t>
  </si>
  <si>
    <t>LAR1N83</t>
  </si>
  <si>
    <t>LAR2N35</t>
  </si>
  <si>
    <t>LAR2N86</t>
  </si>
  <si>
    <t>LAR4N30</t>
  </si>
  <si>
    <t>LAR1N119</t>
  </si>
  <si>
    <t>LAR1N111</t>
  </si>
  <si>
    <t>LAR2N65</t>
  </si>
  <si>
    <t>LAR2N60</t>
  </si>
  <si>
    <t>LAR4N7</t>
  </si>
  <si>
    <t>LAR4N31</t>
  </si>
  <si>
    <t>LAR2N110</t>
  </si>
  <si>
    <t>LAR3N113</t>
  </si>
  <si>
    <t>LAR3N98</t>
  </si>
  <si>
    <t>LAR2N88</t>
  </si>
  <si>
    <t>LAR3N81</t>
  </si>
  <si>
    <t>LAR2N121</t>
  </si>
  <si>
    <t>LAR3N30</t>
  </si>
  <si>
    <t>LAR4N12</t>
  </si>
  <si>
    <t>LAR3N3</t>
  </si>
  <si>
    <t>LAR2N112</t>
  </si>
  <si>
    <t>LAR2N34</t>
  </si>
  <si>
    <t>LAR1N103</t>
  </si>
  <si>
    <t>LAR1N91</t>
  </si>
  <si>
    <t>LAR3N5</t>
  </si>
  <si>
    <t>LAR3N44</t>
  </si>
  <si>
    <t>LAR3N120</t>
  </si>
  <si>
    <t>LAR3N43</t>
  </si>
  <si>
    <t>LAR1N85</t>
  </si>
  <si>
    <t>LAR3N74</t>
  </si>
  <si>
    <t>LAR2N73</t>
  </si>
  <si>
    <t>LAR4N16</t>
  </si>
  <si>
    <t>LAR2N90</t>
  </si>
  <si>
    <t>LAR3N109</t>
  </si>
  <si>
    <t>LAR2N28</t>
  </si>
  <si>
    <t>LAR2N42</t>
  </si>
  <si>
    <t>LAR4N39</t>
  </si>
  <si>
    <t>LAR3N23</t>
  </si>
  <si>
    <t>LAR3N76</t>
  </si>
  <si>
    <t>LAR3N77</t>
  </si>
  <si>
    <t>LAR3N45</t>
  </si>
  <si>
    <t>LAR3N112</t>
  </si>
  <si>
    <t>LAR3N78</t>
  </si>
  <si>
    <t>LAR3N15</t>
  </si>
  <si>
    <t>LAR1N108</t>
  </si>
  <si>
    <t>LAR1N75</t>
  </si>
  <si>
    <t>LAR2N55</t>
  </si>
  <si>
    <t>LAR2N94</t>
  </si>
  <si>
    <t>LAR2N54</t>
  </si>
  <si>
    <t>LAR3N101</t>
  </si>
  <si>
    <t>LAR2N119</t>
  </si>
  <si>
    <t>LAR2N77</t>
  </si>
  <si>
    <t>LAR2N33</t>
  </si>
  <si>
    <t>LAR1N114</t>
  </si>
  <si>
    <t>LAR2N57</t>
  </si>
  <si>
    <t>LAR3N36</t>
  </si>
  <si>
    <t>LAR3N90</t>
  </si>
  <si>
    <t>LAR2N37</t>
  </si>
  <si>
    <t>LAR3N16</t>
  </si>
  <si>
    <t>LAR1N117</t>
  </si>
  <si>
    <t>LAR2N29</t>
  </si>
  <si>
    <t>LAR2N40</t>
  </si>
  <si>
    <t>LAR4N17</t>
  </si>
  <si>
    <t>LAR3N14</t>
  </si>
  <si>
    <t>LAR4N24</t>
  </si>
  <si>
    <t>LAR2N38</t>
  </si>
  <si>
    <t>LAR3N41</t>
  </si>
  <si>
    <t>LAR4N32</t>
  </si>
  <si>
    <t>LAR4N43</t>
  </si>
  <si>
    <t>LAR2N103</t>
  </si>
  <si>
    <t>LAR2N1</t>
  </si>
  <si>
    <t>LAR2N10</t>
  </si>
  <si>
    <t>LAR2N72</t>
  </si>
  <si>
    <t>LAR2N62</t>
  </si>
  <si>
    <t>LAR3N49</t>
  </si>
  <si>
    <t>LAR2N17</t>
  </si>
  <si>
    <t>LAR3N55</t>
  </si>
  <si>
    <t>LAR4N1</t>
  </si>
  <si>
    <t>LAR3N53</t>
  </si>
  <si>
    <t>LAR2N11</t>
  </si>
  <si>
    <t>LAR3N67</t>
  </si>
  <si>
    <t>LAR2N59</t>
  </si>
  <si>
    <t>LAR2N31</t>
  </si>
  <si>
    <t>LAR3N60</t>
  </si>
  <si>
    <t>LAR2N67</t>
  </si>
  <si>
    <t>LAR4N37</t>
  </si>
  <si>
    <t>LAR2N12</t>
  </si>
  <si>
    <t>LAR3N86</t>
  </si>
  <si>
    <t>LAR2N3</t>
  </si>
  <si>
    <t>LAR2N120</t>
  </si>
  <si>
    <t>LAR3N9</t>
  </si>
  <si>
    <t>LAR4N14</t>
  </si>
  <si>
    <t>LAR4N28</t>
  </si>
  <si>
    <t>LAR2N92</t>
  </si>
  <si>
    <t>LAR2N</t>
  </si>
  <si>
    <t>BIR1N217</t>
  </si>
  <si>
    <t>BIR1N185</t>
  </si>
  <si>
    <t>BIR1N11</t>
  </si>
  <si>
    <t>BIR1N62</t>
  </si>
  <si>
    <t>BIR2N112</t>
  </si>
  <si>
    <t>BIR1N77</t>
  </si>
  <si>
    <t>BIR1N63</t>
  </si>
  <si>
    <t>BIR1N91</t>
  </si>
  <si>
    <t>BIR1N25</t>
  </si>
  <si>
    <t>BIR2N76</t>
  </si>
  <si>
    <t>BIR2N60</t>
  </si>
  <si>
    <t>BIR1N112</t>
  </si>
  <si>
    <t>BIR2N15</t>
  </si>
  <si>
    <t>BIR1N136</t>
  </si>
  <si>
    <t>BIR1N239</t>
  </si>
  <si>
    <t>BIR1N171</t>
  </si>
  <si>
    <t>BIR2N74</t>
  </si>
  <si>
    <t>BIR1N176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</si>
</sst>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bscript"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49" fontId="0" fillId="0" borderId="6" xfId="0" applyNumberFormat="1" applyBorder="1"/>
    <xf numFmtId="0" fontId="0" fillId="0" borderId="6" xfId="0" applyBorder="1"/>
    <xf numFmtId="0" fontId="0" fillId="0" borderId="4" xfId="0" applyBorder="1"/>
    <xf numFmtId="164" fontId="0" fillId="0" borderId="4" xfId="0" applyNumberFormat="1" applyBorder="1"/>
    <xf numFmtId="164" fontId="0" fillId="0" borderId="5" xfId="0" applyNumberFormat="1" applyBorder="1"/>
    <xf numFmtId="49" fontId="0" fillId="0" borderId="7" xfId="0" applyNumberFormat="1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164" fontId="0" fillId="0" borderId="9" xfId="0" applyNumberFormat="1" applyBorder="1"/>
    <xf numFmtId="49" fontId="0" fillId="0" borderId="10" xfId="0" applyNumberFormat="1" applyBorder="1"/>
    <xf numFmtId="0" fontId="0" fillId="0" borderId="10" xfId="0" applyBorder="1"/>
    <xf numFmtId="0" fontId="0" fillId="0" borderId="11" xfId="0" applyBorder="1"/>
    <xf numFmtId="164" fontId="0" fillId="0" borderId="11" xfId="0" applyNumberFormat="1" applyBorder="1"/>
    <xf numFmtId="164" fontId="0" fillId="0" borderId="12" xfId="0" applyNumberFormat="1" applyBorder="1"/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12" xfId="0" applyBorder="1"/>
    <xf numFmtId="0" fontId="0" fillId="0" borderId="8" xfId="0" applyBorder="1" applyAlignment="1">
      <alignment horizontal="center" vertical="center"/>
    </xf>
    <xf numFmtId="0" fontId="0" fillId="0" borderId="9" xfId="0" applyBorder="1"/>
    <xf numFmtId="0" fontId="0" fillId="0" borderId="11" xfId="0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4" fontId="0" fillId="0" borderId="11" xfId="0" applyNumberFormat="1" applyBorder="1" applyAlignment="1">
      <alignment horizontal="right" vertical="center"/>
    </xf>
    <xf numFmtId="164" fontId="0" fillId="0" borderId="12" xfId="0" applyNumberFormat="1" applyBorder="1" applyAlignment="1">
      <alignment horizontal="right" vertical="center"/>
    </xf>
    <xf numFmtId="0" fontId="0" fillId="0" borderId="13" xfId="0" applyBorder="1"/>
    <xf numFmtId="0" fontId="0" fillId="0" borderId="14" xfId="0" applyBorder="1"/>
    <xf numFmtId="2" fontId="0" fillId="0" borderId="0" xfId="0" applyNumberFormat="1"/>
    <xf numFmtId="0" fontId="6" fillId="0" borderId="11" xfId="0" applyFont="1" applyBorder="1" applyAlignment="1">
      <alignment horizontal="left" vertical="center" indent="5"/>
    </xf>
    <xf numFmtId="49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49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/>
    <xf numFmtId="0" fontId="2" fillId="0" borderId="1" xfId="0" quotePrefix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1" xfId="0" applyNumberFormat="1" applyBorder="1" applyAlignment="1">
      <alignment horizontal="center" vertical="center" wrapText="1"/>
    </xf>
    <xf numFmtId="49" fontId="0" fillId="0" borderId="12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165" fontId="0" fillId="0" borderId="4" xfId="0" applyNumberFormat="1" applyBorder="1"/>
    <xf numFmtId="165" fontId="0" fillId="0" borderId="5" xfId="0" applyNumberFormat="1" applyBorder="1"/>
    <xf numFmtId="165" fontId="0" fillId="0" borderId="0" xfId="0" applyNumberFormat="1"/>
    <xf numFmtId="165" fontId="0" fillId="0" borderId="8" xfId="0" applyNumberFormat="1" applyBorder="1"/>
    <xf numFmtId="165" fontId="0" fillId="0" borderId="9" xfId="0" applyNumberFormat="1" applyBorder="1"/>
    <xf numFmtId="165" fontId="0" fillId="0" borderId="6" xfId="0" applyNumberFormat="1" applyBorder="1"/>
    <xf numFmtId="1" fontId="0" fillId="0" borderId="6" xfId="0" applyNumberFormat="1" applyBorder="1"/>
    <xf numFmtId="2" fontId="0" fillId="0" borderId="6" xfId="0" applyNumberFormat="1" applyBorder="1"/>
    <xf numFmtId="165" fontId="0" fillId="0" borderId="7" xfId="0" applyNumberFormat="1" applyBorder="1"/>
    <xf numFmtId="1" fontId="0" fillId="0" borderId="7" xfId="0" applyNumberFormat="1" applyBorder="1"/>
    <xf numFmtId="2" fontId="0" fillId="0" borderId="7" xfId="0" applyNumberFormat="1" applyBorder="1"/>
    <xf numFmtId="165" fontId="0" fillId="0" borderId="11" xfId="0" applyNumberFormat="1" applyBorder="1"/>
    <xf numFmtId="165" fontId="0" fillId="0" borderId="12" xfId="0" applyNumberFormat="1" applyBorder="1"/>
    <xf numFmtId="1" fontId="0" fillId="0" borderId="10" xfId="0" applyNumberFormat="1" applyBorder="1"/>
    <xf numFmtId="2" fontId="0" fillId="0" borderId="10" xfId="0" applyNumberFormat="1" applyBorder="1"/>
    <xf numFmtId="165" fontId="0" fillId="0" borderId="10" xfId="0" applyNumberFormat="1" applyBorder="1"/>
    <xf numFmtId="165" fontId="0" fillId="0" borderId="14" xfId="0" applyNumberFormat="1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plate1!$Q$4:$Q$6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plate1!$P$7:$P$11</c:f>
              <c:numCache>
                <c:formatCode>General</c:formatCode>
                <c:ptCount val="5"/>
                <c:pt idx="0">
                  <c:v>0.21976666666666664</c:v>
                </c:pt>
                <c:pt idx="1">
                  <c:v>0.46503333333333341</c:v>
                </c:pt>
                <c:pt idx="2">
                  <c:v>0.93244166666666672</c:v>
                </c:pt>
                <c:pt idx="3">
                  <c:v>1.7625666666666668</c:v>
                </c:pt>
                <c:pt idx="4">
                  <c:v>3.5302666666666664</c:v>
                </c:pt>
              </c:numCache>
            </c:numRef>
          </c:xVal>
          <c:yVal>
            <c:numRef>
              <c:f>plate1!$Q$7:$Q$11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7-4B19-B6E4-DD76F703D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plate2!$Q$4:$Q$6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plate2!$P$7:$P$11</c:f>
              <c:numCache>
                <c:formatCode>General</c:formatCode>
                <c:ptCount val="5"/>
                <c:pt idx="0">
                  <c:v>0.24487500000000001</c:v>
                </c:pt>
                <c:pt idx="1">
                  <c:v>0.44451666666666667</c:v>
                </c:pt>
                <c:pt idx="2">
                  <c:v>0.95092500000000013</c:v>
                </c:pt>
                <c:pt idx="3">
                  <c:v>1.835075</c:v>
                </c:pt>
                <c:pt idx="4">
                  <c:v>3.8470499999999999</c:v>
                </c:pt>
              </c:numCache>
            </c:numRef>
          </c:xVal>
          <c:yVal>
            <c:numRef>
              <c:f>plate2!$Q$7:$Q$11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8A-43D2-B406-3EAA44025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plate3!$Q$4:$Q$6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plate3!$P$7:$P$11</c:f>
              <c:numCache>
                <c:formatCode>General</c:formatCode>
                <c:ptCount val="5"/>
                <c:pt idx="0">
                  <c:v>0.23490833333333333</c:v>
                </c:pt>
                <c:pt idx="1">
                  <c:v>0.45988333333333337</c:v>
                </c:pt>
                <c:pt idx="2">
                  <c:v>0.90483333333333349</c:v>
                </c:pt>
                <c:pt idx="3">
                  <c:v>1.7882083333333334</c:v>
                </c:pt>
                <c:pt idx="4">
                  <c:v>3.7423833333333336</c:v>
                </c:pt>
              </c:numCache>
            </c:numRef>
          </c:xVal>
          <c:yVal>
            <c:numRef>
              <c:f>plate3!$Q$7:$Q$11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F3-4FF3-9367-08C21F8107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plate4!$Q$4:$Q$6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plate4!$P$7:$P$11</c:f>
              <c:numCache>
                <c:formatCode>General</c:formatCode>
                <c:ptCount val="5"/>
                <c:pt idx="0">
                  <c:v>0.24628333333333333</c:v>
                </c:pt>
                <c:pt idx="1">
                  <c:v>0.4347833333333333</c:v>
                </c:pt>
                <c:pt idx="2">
                  <c:v>0.90990833333333332</c:v>
                </c:pt>
                <c:pt idx="3">
                  <c:v>1.8486333333333334</c:v>
                </c:pt>
                <c:pt idx="4">
                  <c:v>3.8926833333333333</c:v>
                </c:pt>
              </c:numCache>
            </c:numRef>
          </c:xVal>
          <c:yVal>
            <c:numRef>
              <c:f>plate4!$Q$7:$Q$11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6A-4AE3-A402-D01F03AE1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Anthocyan Standard </a:t>
            </a:r>
            <a:r>
              <a:rPr lang="el-GR"/>
              <a:t>μ</a:t>
            </a:r>
            <a:r>
              <a:rPr lang="en-US"/>
              <a:t>g/ml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plate5!$Q$4:$Q$6</c:f>
              <c:strCache>
                <c:ptCount val="3"/>
                <c:pt idx="0">
                  <c:v>Anthocyan Standard</c:v>
                </c:pt>
                <c:pt idx="1">
                  <c:v>Absorption</c:v>
                </c:pt>
                <c:pt idx="2">
                  <c:v>μg/ml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3041776027996498E-2"/>
                  <c:y val="2.27471566054243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plate5!$P$7:$P$11</c:f>
              <c:numCache>
                <c:formatCode>General</c:formatCode>
                <c:ptCount val="5"/>
                <c:pt idx="0">
                  <c:v>0.25560833333333333</c:v>
                </c:pt>
                <c:pt idx="1">
                  <c:v>0.47863333333333336</c:v>
                </c:pt>
                <c:pt idx="2">
                  <c:v>0.88883333333333325</c:v>
                </c:pt>
                <c:pt idx="3">
                  <c:v>1.8081333333333334</c:v>
                </c:pt>
                <c:pt idx="4">
                  <c:v>3.7929333333333335</c:v>
                </c:pt>
              </c:numCache>
            </c:numRef>
          </c:xVal>
          <c:yVal>
            <c:numRef>
              <c:f>plate5!$Q$7:$Q$11</c:f>
              <c:numCache>
                <c:formatCode>General</c:formatCode>
                <c:ptCount val="5"/>
                <c:pt idx="0">
                  <c:v>12.5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0B-47D5-BD38-C1FA5062A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929192"/>
        <c:axId val="310930504"/>
      </c:scatterChart>
      <c:valAx>
        <c:axId val="310929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30504"/>
        <c:crosses val="autoZero"/>
        <c:crossBetween val="midCat"/>
      </c:valAx>
      <c:valAx>
        <c:axId val="310930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929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E725B40-1602-4F32-B6CC-D75991BD4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592000D-0864-4A13-B7F7-6BEDE4FA2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C3C0231-E1D2-4930-A2B2-93FA1E10E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BB234C2-3E63-4F8B-8ECF-3DBDD562F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65860</xdr:colOff>
      <xdr:row>2</xdr:row>
      <xdr:rowOff>171450</xdr:rowOff>
    </xdr:from>
    <xdr:to>
      <xdr:col>22</xdr:col>
      <xdr:colOff>207168</xdr:colOff>
      <xdr:row>15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2BEB233-0113-4FA2-B95B-2E959050B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55F1-0658-46C4-8794-5E91CEEE6B9B}">
  <dimension ref="A1:X99"/>
  <sheetViews>
    <sheetView zoomScale="90" zoomScaleNormal="90" workbookViewId="0">
      <selection activeCell="T27" sqref="T27:U50"/>
    </sheetView>
  </sheetViews>
  <sheetFormatPr defaultColWidth="8.85546875" defaultRowHeight="15" x14ac:dyDescent="0.25"/>
  <cols>
    <col min="1" max="1" width="10.5703125" bestFit="1" customWidth="1"/>
    <col min="2" max="2" width="9.140625" bestFit="1" customWidth="1"/>
    <col min="4" max="4" width="9.42578125" customWidth="1"/>
    <col min="5" max="5" width="10" customWidth="1"/>
    <col min="6" max="6" width="11.7109375" customWidth="1"/>
    <col min="7" max="7" width="12.5703125" customWidth="1"/>
    <col min="8" max="8" width="12.7109375" customWidth="1"/>
    <col min="10" max="11" width="9" customWidth="1"/>
    <col min="12" max="12" width="11.7109375" customWidth="1"/>
    <col min="13" max="13" width="9" customWidth="1"/>
    <col min="14" max="14" width="11.7109375" bestFit="1" customWidth="1"/>
    <col min="15" max="15" width="9" customWidth="1"/>
    <col min="16" max="16" width="9" bestFit="1" customWidth="1"/>
    <col min="17" max="17" width="10.85546875" customWidth="1"/>
    <col min="18" max="18" width="10.7109375" customWidth="1"/>
    <col min="19" max="19" width="9" bestFit="1" customWidth="1"/>
    <col min="20" max="20" width="9.5703125" bestFit="1" customWidth="1"/>
    <col min="21" max="21" width="9.5703125" customWidth="1"/>
  </cols>
  <sheetData>
    <row r="1" spans="1:17" x14ac:dyDescent="0.25">
      <c r="E1" s="79" t="s">
        <v>0</v>
      </c>
      <c r="F1" s="79"/>
      <c r="G1" s="79"/>
    </row>
    <row r="2" spans="1:17" x14ac:dyDescent="0.25">
      <c r="E2" s="79"/>
      <c r="F2" s="79"/>
      <c r="G2" s="79"/>
    </row>
    <row r="4" spans="1:17" ht="28.5" customHeight="1" x14ac:dyDescent="0.25">
      <c r="B4" t="s">
        <v>1</v>
      </c>
      <c r="E4" s="1"/>
      <c r="F4" s="80" t="s">
        <v>1</v>
      </c>
      <c r="G4" s="81"/>
      <c r="I4" s="1"/>
      <c r="J4" s="80" t="s">
        <v>1</v>
      </c>
      <c r="K4" s="81"/>
      <c r="L4" s="2"/>
      <c r="M4" s="3" t="s">
        <v>2</v>
      </c>
      <c r="N4" s="4"/>
      <c r="O4" s="2"/>
      <c r="P4" s="82" t="s">
        <v>3</v>
      </c>
      <c r="Q4" s="83"/>
    </row>
    <row r="5" spans="1:17" ht="17.25" customHeight="1" x14ac:dyDescent="0.25">
      <c r="A5" t="s">
        <v>4</v>
      </c>
      <c r="B5" t="s">
        <v>5</v>
      </c>
      <c r="C5" t="s">
        <v>6</v>
      </c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2" t="s">
        <v>1</v>
      </c>
      <c r="Q5" s="83"/>
    </row>
    <row r="6" spans="1:17" x14ac:dyDescent="0.25">
      <c r="A6" t="s">
        <v>125</v>
      </c>
      <c r="B6">
        <v>3.8699999999999998E-2</v>
      </c>
      <c r="C6">
        <v>3.7400000000000003E-2</v>
      </c>
      <c r="E6" s="11" t="s">
        <v>8</v>
      </c>
      <c r="F6">
        <v>3.4599999999999999E-2</v>
      </c>
      <c r="G6">
        <v>3.4299999999999997E-2</v>
      </c>
      <c r="I6" s="13">
        <v>12.5</v>
      </c>
      <c r="J6" s="14">
        <f>AVERAGE(F9:F11, B9)</f>
        <v>0.27649999999999997</v>
      </c>
      <c r="K6" s="15">
        <f>AVERAGE(G9:G11, C9)</f>
        <v>3.7425E-2</v>
      </c>
      <c r="M6" s="14">
        <f>J6-$J$14</f>
        <v>0.21976666666666664</v>
      </c>
      <c r="N6" s="15">
        <f>K6-$K$14</f>
        <v>-1.3058333333333332E-2</v>
      </c>
      <c r="P6" s="1" t="s">
        <v>5</v>
      </c>
      <c r="Q6" s="7" t="s">
        <v>7</v>
      </c>
    </row>
    <row r="7" spans="1:17" x14ac:dyDescent="0.25">
      <c r="A7" t="s">
        <v>126</v>
      </c>
      <c r="B7">
        <v>3.7100000000000001E-2</v>
      </c>
      <c r="C7">
        <v>3.6700000000000003E-2</v>
      </c>
      <c r="E7" s="16" t="s">
        <v>9</v>
      </c>
      <c r="F7">
        <v>3.85E-2</v>
      </c>
      <c r="G7">
        <v>3.7199999999999997E-2</v>
      </c>
      <c r="I7" s="18">
        <v>25</v>
      </c>
      <c r="J7" s="19">
        <f>AVERAGE(F12:F14)</f>
        <v>0.52176666666666671</v>
      </c>
      <c r="K7" s="20">
        <f>AVERAGE(G12:G14)</f>
        <v>4.9066666666666668E-2</v>
      </c>
      <c r="M7" s="19">
        <f>J7-$J$14</f>
        <v>0.46503333333333341</v>
      </c>
      <c r="N7" s="20">
        <f>K7-$K$14</f>
        <v>-1.4166666666666633E-3</v>
      </c>
      <c r="P7" s="17">
        <f>M6</f>
        <v>0.21976666666666664</v>
      </c>
      <c r="Q7" s="12">
        <v>12.5</v>
      </c>
    </row>
    <row r="8" spans="1:17" x14ac:dyDescent="0.25">
      <c r="A8" t="s">
        <v>127</v>
      </c>
      <c r="B8">
        <v>3.6900000000000002E-2</v>
      </c>
      <c r="C8">
        <v>3.6400000000000002E-2</v>
      </c>
      <c r="E8" s="21" t="s">
        <v>10</v>
      </c>
      <c r="F8">
        <v>0.15459999999999999</v>
      </c>
      <c r="G8">
        <v>0.12089999999999999</v>
      </c>
      <c r="I8" s="18">
        <v>50</v>
      </c>
      <c r="J8" s="19">
        <f>AVERAGE(F15:F17, B10)</f>
        <v>0.98917500000000003</v>
      </c>
      <c r="K8" s="20">
        <f>AVERAGE(G15:G17, C10)</f>
        <v>3.6799999999999999E-2</v>
      </c>
      <c r="M8" s="19">
        <f>J8-$J$14</f>
        <v>0.93244166666666672</v>
      </c>
      <c r="N8" s="20">
        <f>K8-$K$14</f>
        <v>-1.3683333333333332E-2</v>
      </c>
      <c r="P8" s="17">
        <f>M7</f>
        <v>0.46503333333333341</v>
      </c>
      <c r="Q8" s="17">
        <v>25</v>
      </c>
    </row>
    <row r="9" spans="1:17" x14ac:dyDescent="0.25">
      <c r="A9" t="s">
        <v>128</v>
      </c>
      <c r="B9">
        <v>0.30109999999999998</v>
      </c>
      <c r="C9">
        <v>3.6999999999999998E-2</v>
      </c>
      <c r="E9" s="11" t="s">
        <v>11</v>
      </c>
      <c r="F9">
        <v>0.2243</v>
      </c>
      <c r="G9">
        <v>3.7199999999999997E-2</v>
      </c>
      <c r="I9" s="18">
        <v>100</v>
      </c>
      <c r="J9" s="19">
        <f>AVERAGE(F18:F20, B11)</f>
        <v>1.8193000000000001</v>
      </c>
      <c r="K9" s="20">
        <f>AVERAGE(G18:G20, C11)</f>
        <v>3.5824999999999996E-2</v>
      </c>
      <c r="M9" s="19">
        <f>J9-$J$14</f>
        <v>1.7625666666666668</v>
      </c>
      <c r="N9" s="20">
        <f>K9-$K$14</f>
        <v>-1.4658333333333336E-2</v>
      </c>
      <c r="P9" s="17">
        <f>M8</f>
        <v>0.93244166666666672</v>
      </c>
      <c r="Q9" s="17">
        <v>50</v>
      </c>
    </row>
    <row r="10" spans="1:17" x14ac:dyDescent="0.25">
      <c r="A10" t="s">
        <v>129</v>
      </c>
      <c r="B10">
        <v>1.0524</v>
      </c>
      <c r="C10">
        <v>3.5799999999999998E-2</v>
      </c>
      <c r="E10" s="16" t="s">
        <v>12</v>
      </c>
      <c r="F10">
        <v>0.2863</v>
      </c>
      <c r="G10">
        <v>3.7600000000000001E-2</v>
      </c>
      <c r="I10" s="23">
        <v>250</v>
      </c>
      <c r="J10" s="24">
        <f>AVERAGE(F21:F23)</f>
        <v>3.5869999999999997</v>
      </c>
      <c r="K10" s="25">
        <f>AVERAGE(G21:G23)</f>
        <v>3.5533333333333333E-2</v>
      </c>
      <c r="M10" s="19">
        <f>J10-$J$14</f>
        <v>3.5302666666666664</v>
      </c>
      <c r="N10" s="20">
        <f>K10-$K$14</f>
        <v>-1.4949999999999998E-2</v>
      </c>
      <c r="P10" s="17">
        <f>M9</f>
        <v>1.7625666666666668</v>
      </c>
      <c r="Q10" s="17">
        <v>100</v>
      </c>
    </row>
    <row r="11" spans="1:17" x14ac:dyDescent="0.25">
      <c r="A11" t="s">
        <v>130</v>
      </c>
      <c r="B11">
        <v>1.6953</v>
      </c>
      <c r="C11">
        <v>3.5400000000000001E-2</v>
      </c>
      <c r="E11" s="21" t="s">
        <v>13</v>
      </c>
      <c r="F11">
        <v>0.29430000000000001</v>
      </c>
      <c r="G11">
        <v>3.7900000000000003E-2</v>
      </c>
      <c r="I11" s="26" t="s">
        <v>14</v>
      </c>
      <c r="J11" s="13">
        <f t="shared" ref="J11:K13" si="0">F6</f>
        <v>3.4599999999999999E-2</v>
      </c>
      <c r="K11" s="27">
        <f t="shared" si="0"/>
        <v>3.4299999999999997E-2</v>
      </c>
      <c r="M11" s="23"/>
      <c r="N11" s="28"/>
      <c r="P11" s="22">
        <f>M10</f>
        <v>3.5302666666666664</v>
      </c>
      <c r="Q11" s="22">
        <v>250</v>
      </c>
    </row>
    <row r="12" spans="1:17" x14ac:dyDescent="0.25">
      <c r="E12" s="11" t="s">
        <v>15</v>
      </c>
      <c r="F12">
        <v>0.4617</v>
      </c>
      <c r="G12">
        <v>4.02E-2</v>
      </c>
      <c r="I12" s="29" t="s">
        <v>14</v>
      </c>
      <c r="J12" s="18">
        <f t="shared" si="0"/>
        <v>3.85E-2</v>
      </c>
      <c r="K12" s="30">
        <f t="shared" si="0"/>
        <v>3.7199999999999997E-2</v>
      </c>
    </row>
    <row r="13" spans="1:17" x14ac:dyDescent="0.25">
      <c r="E13" s="16" t="s">
        <v>16</v>
      </c>
      <c r="F13">
        <v>0.52700000000000002</v>
      </c>
      <c r="G13">
        <v>4.1200000000000001E-2</v>
      </c>
      <c r="I13" s="31" t="s">
        <v>14</v>
      </c>
      <c r="J13" s="23">
        <f t="shared" si="0"/>
        <v>0.15459999999999999</v>
      </c>
      <c r="K13" s="28">
        <f t="shared" si="0"/>
        <v>0.12089999999999999</v>
      </c>
    </row>
    <row r="14" spans="1:17" x14ac:dyDescent="0.25">
      <c r="E14" s="21" t="s">
        <v>17</v>
      </c>
      <c r="F14">
        <v>0.5766</v>
      </c>
      <c r="G14">
        <v>6.5799999999999997E-2</v>
      </c>
      <c r="I14" s="32" t="s">
        <v>18</v>
      </c>
      <c r="J14" s="33">
        <f>AVERAGE(J11:J13, B6:B8)</f>
        <v>5.673333333333333E-2</v>
      </c>
      <c r="K14" s="34">
        <f>AVERAGE(K11:K13, C6:C8)</f>
        <v>5.0483333333333331E-2</v>
      </c>
    </row>
    <row r="15" spans="1:17" x14ac:dyDescent="0.25">
      <c r="E15" s="11" t="s">
        <v>19</v>
      </c>
      <c r="F15">
        <v>0.89429999999999998</v>
      </c>
      <c r="G15">
        <v>3.6700000000000003E-2</v>
      </c>
      <c r="M15" s="13" t="s">
        <v>20</v>
      </c>
      <c r="N15" s="35"/>
      <c r="O15" s="27"/>
    </row>
    <row r="16" spans="1:17" x14ac:dyDescent="0.25">
      <c r="E16" s="16" t="s">
        <v>21</v>
      </c>
      <c r="F16">
        <v>1.0035000000000001</v>
      </c>
      <c r="G16">
        <v>3.7699999999999997E-2</v>
      </c>
      <c r="M16" s="18" t="s">
        <v>22</v>
      </c>
      <c r="O16" s="30"/>
    </row>
    <row r="17" spans="1:24" x14ac:dyDescent="0.25">
      <c r="E17" s="21" t="s">
        <v>23</v>
      </c>
      <c r="F17">
        <v>1.0065</v>
      </c>
      <c r="G17">
        <v>3.6999999999999998E-2</v>
      </c>
      <c r="M17" s="23" t="s">
        <v>24</v>
      </c>
      <c r="N17" s="36"/>
      <c r="O17" s="28"/>
    </row>
    <row r="18" spans="1:24" x14ac:dyDescent="0.25">
      <c r="E18" s="11" t="s">
        <v>25</v>
      </c>
      <c r="F18">
        <v>1.7681</v>
      </c>
      <c r="G18">
        <v>3.6200000000000003E-2</v>
      </c>
      <c r="I18" s="82" t="s">
        <v>26</v>
      </c>
      <c r="J18" s="84"/>
      <c r="K18" s="83"/>
      <c r="W18" s="37"/>
      <c r="X18" s="37"/>
    </row>
    <row r="19" spans="1:24" ht="18" x14ac:dyDescent="0.25">
      <c r="E19" s="16" t="s">
        <v>27</v>
      </c>
      <c r="F19">
        <v>1.8907</v>
      </c>
      <c r="G19">
        <v>3.5999999999999997E-2</v>
      </c>
      <c r="I19" s="38" t="s">
        <v>28</v>
      </c>
      <c r="J19" s="36"/>
      <c r="K19" s="28"/>
    </row>
    <row r="20" spans="1:24" x14ac:dyDescent="0.25">
      <c r="E20" s="21" t="s">
        <v>29</v>
      </c>
      <c r="F20">
        <v>1.9231</v>
      </c>
      <c r="G20">
        <v>3.5700000000000003E-2</v>
      </c>
      <c r="U20" s="37"/>
      <c r="V20" s="37"/>
    </row>
    <row r="21" spans="1:24" x14ac:dyDescent="0.25">
      <c r="E21" s="11" t="s">
        <v>30</v>
      </c>
      <c r="F21">
        <v>3.5314999999999999</v>
      </c>
      <c r="G21">
        <v>3.6299999999999999E-2</v>
      </c>
      <c r="U21" s="37"/>
      <c r="V21" s="37"/>
    </row>
    <row r="22" spans="1:24" x14ac:dyDescent="0.25">
      <c r="E22" s="16" t="s">
        <v>31</v>
      </c>
      <c r="F22" s="39">
        <v>3.5484</v>
      </c>
      <c r="G22">
        <v>3.5000000000000003E-2</v>
      </c>
      <c r="U22" s="37"/>
      <c r="V22" s="37"/>
    </row>
    <row r="23" spans="1:24" x14ac:dyDescent="0.25">
      <c r="E23" s="21" t="s">
        <v>32</v>
      </c>
      <c r="F23">
        <v>3.6810999999999998</v>
      </c>
      <c r="G23">
        <v>3.5299999999999998E-2</v>
      </c>
      <c r="U23" s="37"/>
      <c r="V23" s="37"/>
    </row>
    <row r="24" spans="1:24" x14ac:dyDescent="0.25">
      <c r="E24" s="39"/>
      <c r="V24" s="37"/>
      <c r="W24" s="37"/>
    </row>
    <row r="25" spans="1:24" ht="31.5" customHeight="1" x14ac:dyDescent="0.25">
      <c r="A25" s="85" t="s">
        <v>33</v>
      </c>
      <c r="B25" s="86"/>
      <c r="J25" s="36"/>
      <c r="K25" s="36"/>
      <c r="M25" s="40"/>
      <c r="N25" s="41" t="s">
        <v>34</v>
      </c>
      <c r="O25" s="42" t="s">
        <v>124</v>
      </c>
      <c r="P25" s="43" t="s">
        <v>35</v>
      </c>
      <c r="Q25" s="3" t="s">
        <v>36</v>
      </c>
      <c r="R25" s="43" t="s">
        <v>37</v>
      </c>
      <c r="S25" s="44" t="s">
        <v>37</v>
      </c>
      <c r="T25" s="4" t="s">
        <v>38</v>
      </c>
      <c r="U25" s="6" t="s">
        <v>36</v>
      </c>
      <c r="V25" s="37"/>
    </row>
    <row r="26" spans="1:24" ht="30.75" customHeight="1" x14ac:dyDescent="0.25">
      <c r="A26" s="45" t="s">
        <v>39</v>
      </c>
      <c r="B26" s="1" t="s">
        <v>40</v>
      </c>
      <c r="D26" s="46" t="s">
        <v>38</v>
      </c>
      <c r="E26" s="46" t="s">
        <v>41</v>
      </c>
      <c r="F26" s="47" t="s">
        <v>42</v>
      </c>
      <c r="G26" s="47" t="s">
        <v>5</v>
      </c>
      <c r="H26" s="47" t="s">
        <v>6</v>
      </c>
      <c r="I26" s="48"/>
      <c r="J26" s="49" t="s">
        <v>43</v>
      </c>
      <c r="K26" s="50" t="s">
        <v>44</v>
      </c>
      <c r="M26" s="47" t="s">
        <v>45</v>
      </c>
      <c r="N26" s="51" t="s">
        <v>46</v>
      </c>
      <c r="O26" s="52" t="s">
        <v>47</v>
      </c>
      <c r="P26" s="53" t="s">
        <v>48</v>
      </c>
      <c r="Q26" s="3" t="s">
        <v>49</v>
      </c>
      <c r="R26" s="41" t="s">
        <v>49</v>
      </c>
      <c r="S26" s="44" t="s">
        <v>50</v>
      </c>
      <c r="T26" s="44"/>
      <c r="U26" s="6" t="s">
        <v>49</v>
      </c>
      <c r="V26" s="37"/>
    </row>
    <row r="27" spans="1:24" ht="15" customHeight="1" x14ac:dyDescent="0.25">
      <c r="A27" s="18">
        <v>1</v>
      </c>
      <c r="B27" s="30">
        <v>10</v>
      </c>
      <c r="D27" s="76">
        <f>A27</f>
        <v>1</v>
      </c>
      <c r="E27" s="12" t="s">
        <v>51</v>
      </c>
      <c r="F27" s="12">
        <f>B27</f>
        <v>10</v>
      </c>
      <c r="G27" s="54">
        <v>4.4499999999999998E-2</v>
      </c>
      <c r="H27" s="55">
        <v>0.04</v>
      </c>
      <c r="I27" s="56"/>
      <c r="J27" s="57">
        <f t="shared" ref="J27:J58" si="1">G27-$J$14</f>
        <v>-1.2233333333333332E-2</v>
      </c>
      <c r="K27" s="58">
        <f t="shared" ref="K27:K58" si="2">H27-$K$14</f>
        <v>-1.0483333333333331E-2</v>
      </c>
      <c r="L27" s="56"/>
      <c r="M27" s="59">
        <f>J27-(0.25*K27)</f>
        <v>-9.6124999999999995E-3</v>
      </c>
      <c r="N27" s="56">
        <f>M27*70.966</f>
        <v>-0.68216067499999988</v>
      </c>
      <c r="O27" s="58">
        <f>N27*2</f>
        <v>-1.3643213499999998</v>
      </c>
      <c r="P27" s="56">
        <f>O27/F27</f>
        <v>-0.13643213499999998</v>
      </c>
      <c r="Q27" s="57">
        <f>AVERAGE(P27:P29)</f>
        <v>-0.14080837166666663</v>
      </c>
      <c r="R27" s="56">
        <f>STDEV(P27:P29)</f>
        <v>6.1081625276373881E-3</v>
      </c>
      <c r="S27" s="58">
        <f>R27/Q27*100</f>
        <v>-4.3379256896011427</v>
      </c>
      <c r="T27" s="60">
        <f>D27</f>
        <v>1</v>
      </c>
      <c r="U27" s="61">
        <f>Q27</f>
        <v>-0.14080837166666663</v>
      </c>
      <c r="V27" s="37"/>
    </row>
    <row r="28" spans="1:24" ht="14.45" customHeight="1" x14ac:dyDescent="0.25">
      <c r="A28" s="18">
        <v>2</v>
      </c>
      <c r="B28" s="30">
        <v>10</v>
      </c>
      <c r="D28" s="77"/>
      <c r="E28" s="17" t="s">
        <v>52</v>
      </c>
      <c r="F28" s="17">
        <f>F27</f>
        <v>10</v>
      </c>
      <c r="G28" s="57">
        <v>4.4400000000000002E-2</v>
      </c>
      <c r="H28" s="58">
        <v>4.0099999999999997E-2</v>
      </c>
      <c r="I28" s="56"/>
      <c r="J28" s="57">
        <f t="shared" si="1"/>
        <v>-1.2333333333333328E-2</v>
      </c>
      <c r="K28" s="58">
        <f t="shared" si="2"/>
        <v>-1.0383333333333335E-2</v>
      </c>
      <c r="L28" s="56"/>
      <c r="M28" s="62">
        <f t="shared" ref="M28:M91" si="3">J28-(0.25*K28)</f>
        <v>-9.7374999999999944E-3</v>
      </c>
      <c r="N28" s="56">
        <f t="shared" ref="N28:N91" si="4">M28*70.966</f>
        <v>-0.69103142499999959</v>
      </c>
      <c r="O28" s="58">
        <f t="shared" ref="O28:O91" si="5">N28*2</f>
        <v>-1.3820628499999992</v>
      </c>
      <c r="P28" s="56">
        <f t="shared" ref="P28:P91" si="6">O28/F28</f>
        <v>-0.13820628499999993</v>
      </c>
      <c r="Q28" s="57"/>
      <c r="R28" s="56"/>
      <c r="S28" s="58"/>
      <c r="T28" s="63">
        <f>D30</f>
        <v>2</v>
      </c>
      <c r="U28" s="64">
        <f>Q30</f>
        <v>-0.18705454833333324</v>
      </c>
    </row>
    <row r="29" spans="1:24" ht="14.45" customHeight="1" x14ac:dyDescent="0.25">
      <c r="A29" s="18">
        <v>3</v>
      </c>
      <c r="B29" s="30">
        <v>10</v>
      </c>
      <c r="D29" s="78"/>
      <c r="E29" s="22" t="s">
        <v>53</v>
      </c>
      <c r="F29" s="22">
        <f>F27</f>
        <v>10</v>
      </c>
      <c r="G29" s="65">
        <v>4.3499999999999997E-2</v>
      </c>
      <c r="H29" s="66">
        <v>3.9199999999999999E-2</v>
      </c>
      <c r="I29" s="56"/>
      <c r="J29" s="57">
        <f t="shared" si="1"/>
        <v>-1.3233333333333333E-2</v>
      </c>
      <c r="K29" s="58">
        <f t="shared" si="2"/>
        <v>-1.1283333333333333E-2</v>
      </c>
      <c r="L29" s="56"/>
      <c r="M29" s="62">
        <f t="shared" si="3"/>
        <v>-1.04125E-2</v>
      </c>
      <c r="N29" s="56">
        <f t="shared" si="4"/>
        <v>-0.73893347499999995</v>
      </c>
      <c r="O29" s="58">
        <f t="shared" si="5"/>
        <v>-1.4778669499999999</v>
      </c>
      <c r="P29" s="56">
        <f t="shared" si="6"/>
        <v>-0.147786695</v>
      </c>
      <c r="Q29" s="57"/>
      <c r="R29" s="56"/>
      <c r="S29" s="58"/>
      <c r="T29" s="63">
        <f>D33</f>
        <v>3</v>
      </c>
      <c r="U29" s="64">
        <f>Q33</f>
        <v>-2.8977783333333043E-3</v>
      </c>
    </row>
    <row r="30" spans="1:24" ht="14.45" customHeight="1" x14ac:dyDescent="0.25">
      <c r="A30" s="18">
        <v>4</v>
      </c>
      <c r="B30" s="30">
        <v>10</v>
      </c>
      <c r="D30" s="76">
        <f>A28</f>
        <v>2</v>
      </c>
      <c r="E30" s="12" t="s">
        <v>54</v>
      </c>
      <c r="F30" s="12">
        <f>B28</f>
        <v>10</v>
      </c>
      <c r="G30" s="54">
        <v>4.0800000000000003E-2</v>
      </c>
      <c r="H30" s="55">
        <v>3.8300000000000001E-2</v>
      </c>
      <c r="I30" s="56"/>
      <c r="J30" s="57">
        <f t="shared" si="1"/>
        <v>-1.5933333333333327E-2</v>
      </c>
      <c r="K30" s="58">
        <f t="shared" si="2"/>
        <v>-1.2183333333333331E-2</v>
      </c>
      <c r="L30" s="56"/>
      <c r="M30" s="62">
        <f t="shared" si="3"/>
        <v>-1.2887499999999994E-2</v>
      </c>
      <c r="N30" s="56">
        <f t="shared" si="4"/>
        <v>-0.91457432499999958</v>
      </c>
      <c r="O30" s="58">
        <f t="shared" si="5"/>
        <v>-1.8291486499999992</v>
      </c>
      <c r="P30" s="56">
        <f t="shared" si="6"/>
        <v>-0.18291486499999993</v>
      </c>
      <c r="Q30" s="57">
        <f>AVERAGE(P30:P32)</f>
        <v>-0.18705454833333324</v>
      </c>
      <c r="R30" s="56">
        <f>STDEV(P30:P32)</f>
        <v>3.9245759306494963E-3</v>
      </c>
      <c r="S30" s="58">
        <f>R30/Q30*100</f>
        <v>-2.0980916880223943</v>
      </c>
      <c r="T30" s="63">
        <f>D36</f>
        <v>4</v>
      </c>
      <c r="U30" s="64">
        <f>Q36</f>
        <v>-7.4218608333333269E-2</v>
      </c>
    </row>
    <row r="31" spans="1:24" ht="14.45" customHeight="1" x14ac:dyDescent="0.25">
      <c r="A31" s="18">
        <v>5</v>
      </c>
      <c r="B31" s="30">
        <v>10</v>
      </c>
      <c r="D31" s="77"/>
      <c r="E31" s="17" t="s">
        <v>55</v>
      </c>
      <c r="F31" s="17">
        <f t="shared" ref="F31" si="7">F30</f>
        <v>10</v>
      </c>
      <c r="G31" s="57">
        <v>0.04</v>
      </c>
      <c r="H31" s="58">
        <v>3.73E-2</v>
      </c>
      <c r="I31" s="56"/>
      <c r="J31" s="57">
        <f t="shared" si="1"/>
        <v>-1.6733333333333329E-2</v>
      </c>
      <c r="K31" s="58">
        <f t="shared" si="2"/>
        <v>-1.3183333333333332E-2</v>
      </c>
      <c r="L31" s="56"/>
      <c r="M31" s="62">
        <f t="shared" si="3"/>
        <v>-1.3437499999999996E-2</v>
      </c>
      <c r="N31" s="56">
        <f t="shared" si="4"/>
        <v>-0.95360562499999968</v>
      </c>
      <c r="O31" s="58">
        <f t="shared" si="5"/>
        <v>-1.9072112499999994</v>
      </c>
      <c r="P31" s="56">
        <f t="shared" si="6"/>
        <v>-0.19072112499999994</v>
      </c>
      <c r="Q31" s="57"/>
      <c r="R31" s="56"/>
      <c r="S31" s="58"/>
      <c r="T31" s="63">
        <f>D39</f>
        <v>5</v>
      </c>
      <c r="U31" s="64">
        <f>Q39</f>
        <v>-0.1911942316666666</v>
      </c>
    </row>
    <row r="32" spans="1:24" ht="14.45" customHeight="1" x14ac:dyDescent="0.25">
      <c r="A32" s="18">
        <v>6</v>
      </c>
      <c r="B32" s="30">
        <v>10</v>
      </c>
      <c r="D32" s="78"/>
      <c r="E32" s="22" t="s">
        <v>56</v>
      </c>
      <c r="F32" s="22">
        <f t="shared" ref="F32" si="8">F30</f>
        <v>10</v>
      </c>
      <c r="G32" s="65">
        <v>4.0300000000000002E-2</v>
      </c>
      <c r="H32" s="66">
        <v>3.7600000000000001E-2</v>
      </c>
      <c r="I32" s="56"/>
      <c r="J32" s="57">
        <f t="shared" si="1"/>
        <v>-1.6433333333333328E-2</v>
      </c>
      <c r="K32" s="58">
        <f t="shared" si="2"/>
        <v>-1.288333333333333E-2</v>
      </c>
      <c r="L32" s="56"/>
      <c r="M32" s="62">
        <f t="shared" si="3"/>
        <v>-1.3212499999999995E-2</v>
      </c>
      <c r="N32" s="56">
        <f t="shared" si="4"/>
        <v>-0.93763827499999952</v>
      </c>
      <c r="O32" s="58">
        <f t="shared" si="5"/>
        <v>-1.875276549999999</v>
      </c>
      <c r="P32" s="56">
        <f t="shared" si="6"/>
        <v>-0.1875276549999999</v>
      </c>
      <c r="Q32" s="57"/>
      <c r="R32" s="56"/>
      <c r="S32" s="58"/>
      <c r="T32" s="63">
        <f>D42</f>
        <v>6</v>
      </c>
      <c r="U32" s="64">
        <f>Q42</f>
        <v>-0.20337672833333328</v>
      </c>
    </row>
    <row r="33" spans="1:21" ht="14.45" customHeight="1" x14ac:dyDescent="0.25">
      <c r="A33" s="18">
        <v>7</v>
      </c>
      <c r="B33" s="30">
        <v>10</v>
      </c>
      <c r="D33" s="76">
        <f>A29</f>
        <v>3</v>
      </c>
      <c r="E33" s="12" t="s">
        <v>57</v>
      </c>
      <c r="F33" s="12">
        <f>B29</f>
        <v>10</v>
      </c>
      <c r="G33" s="54">
        <v>3.9699999999999999E-2</v>
      </c>
      <c r="H33" s="55">
        <v>3.7999999999999999E-2</v>
      </c>
      <c r="I33" s="56"/>
      <c r="J33" s="57">
        <f t="shared" si="1"/>
        <v>-1.7033333333333331E-2</v>
      </c>
      <c r="K33" s="58">
        <f t="shared" si="2"/>
        <v>-1.2483333333333332E-2</v>
      </c>
      <c r="L33" s="56"/>
      <c r="M33" s="62">
        <f t="shared" si="3"/>
        <v>-1.3912499999999998E-2</v>
      </c>
      <c r="N33" s="56">
        <f t="shared" si="4"/>
        <v>-0.9873144749999998</v>
      </c>
      <c r="O33" s="58">
        <f t="shared" si="5"/>
        <v>-1.9746289499999996</v>
      </c>
      <c r="P33" s="56">
        <f t="shared" si="6"/>
        <v>-0.19746289499999997</v>
      </c>
      <c r="Q33" s="57">
        <f>AVERAGE(P33:P35)</f>
        <v>-2.8977783333333043E-3</v>
      </c>
      <c r="R33" s="56">
        <f>STDEV(P33:P35)</f>
        <v>0.3290394156477674</v>
      </c>
      <c r="S33" s="58">
        <f>R33/Q33*100</f>
        <v>-11354.885632997142</v>
      </c>
      <c r="T33" s="63">
        <f>D45</f>
        <v>7</v>
      </c>
      <c r="U33" s="64">
        <f>Q45</f>
        <v>-0.16765717499999999</v>
      </c>
    </row>
    <row r="34" spans="1:21" ht="14.45" customHeight="1" x14ac:dyDescent="0.25">
      <c r="A34" s="18">
        <v>8</v>
      </c>
      <c r="B34" s="30">
        <v>10</v>
      </c>
      <c r="D34" s="77"/>
      <c r="E34" s="17" t="s">
        <v>58</v>
      </c>
      <c r="F34" s="17">
        <f t="shared" ref="F34" si="9">F33</f>
        <v>10</v>
      </c>
      <c r="G34" s="57">
        <v>4.0399999999999998E-2</v>
      </c>
      <c r="H34" s="58">
        <v>3.8199999999999998E-2</v>
      </c>
      <c r="I34" s="56"/>
      <c r="J34" s="57">
        <f t="shared" si="1"/>
        <v>-1.6333333333333332E-2</v>
      </c>
      <c r="K34" s="58">
        <f t="shared" si="2"/>
        <v>-1.2283333333333334E-2</v>
      </c>
      <c r="L34" s="56"/>
      <c r="M34" s="62">
        <f t="shared" si="3"/>
        <v>-1.3262499999999998E-2</v>
      </c>
      <c r="N34" s="56">
        <f t="shared" si="4"/>
        <v>-0.9411865749999998</v>
      </c>
      <c r="O34" s="58">
        <f t="shared" si="5"/>
        <v>-1.8823731499999996</v>
      </c>
      <c r="P34" s="56">
        <f t="shared" si="6"/>
        <v>-0.18823731499999996</v>
      </c>
      <c r="Q34" s="57"/>
      <c r="R34" s="56"/>
      <c r="S34" s="58"/>
      <c r="T34" s="63">
        <f>D48</f>
        <v>8</v>
      </c>
      <c r="U34" s="64">
        <f>Q48</f>
        <v>-0.13465798499999995</v>
      </c>
    </row>
    <row r="35" spans="1:21" ht="14.45" customHeight="1" x14ac:dyDescent="0.25">
      <c r="A35" s="18">
        <v>9</v>
      </c>
      <c r="B35" s="30">
        <v>10</v>
      </c>
      <c r="D35" s="78"/>
      <c r="E35" s="22" t="s">
        <v>59</v>
      </c>
      <c r="F35" s="22">
        <f t="shared" ref="F35" si="10">F33</f>
        <v>10</v>
      </c>
      <c r="G35" s="65">
        <v>9.3600000000000003E-2</v>
      </c>
      <c r="H35" s="66">
        <v>9.1700000000000004E-2</v>
      </c>
      <c r="I35" s="56"/>
      <c r="J35" s="57">
        <f t="shared" si="1"/>
        <v>3.6866666666666673E-2</v>
      </c>
      <c r="K35" s="58">
        <f t="shared" si="2"/>
        <v>4.1216666666666672E-2</v>
      </c>
      <c r="L35" s="56"/>
      <c r="M35" s="62">
        <f t="shared" si="3"/>
        <v>2.6562500000000003E-2</v>
      </c>
      <c r="N35" s="56">
        <f t="shared" si="4"/>
        <v>1.885034375</v>
      </c>
      <c r="O35" s="58">
        <f t="shared" si="5"/>
        <v>3.7700687500000001</v>
      </c>
      <c r="P35" s="56">
        <f t="shared" si="6"/>
        <v>0.37700687500000002</v>
      </c>
      <c r="Q35" s="57"/>
      <c r="R35" s="56"/>
      <c r="S35" s="58"/>
      <c r="T35" s="63">
        <f>D51</f>
        <v>9</v>
      </c>
      <c r="U35" s="64">
        <f>Q51</f>
        <v>-7.6111034999999952E-2</v>
      </c>
    </row>
    <row r="36" spans="1:21" ht="14.45" customHeight="1" x14ac:dyDescent="0.25">
      <c r="A36" s="18">
        <v>10</v>
      </c>
      <c r="B36" s="30">
        <v>10</v>
      </c>
      <c r="D36" s="76">
        <f>A30</f>
        <v>4</v>
      </c>
      <c r="E36" s="12" t="s">
        <v>60</v>
      </c>
      <c r="F36" s="12">
        <f>B30</f>
        <v>10</v>
      </c>
      <c r="G36" s="54">
        <v>4.3400000000000001E-2</v>
      </c>
      <c r="H36" s="55">
        <v>3.7600000000000001E-2</v>
      </c>
      <c r="I36" s="56"/>
      <c r="J36" s="57">
        <f t="shared" si="1"/>
        <v>-1.3333333333333329E-2</v>
      </c>
      <c r="K36" s="58">
        <f t="shared" si="2"/>
        <v>-1.288333333333333E-2</v>
      </c>
      <c r="L36" s="56"/>
      <c r="M36" s="62">
        <f t="shared" si="3"/>
        <v>-1.0112499999999996E-2</v>
      </c>
      <c r="N36" s="56">
        <f t="shared" si="4"/>
        <v>-0.7176436749999997</v>
      </c>
      <c r="O36" s="58">
        <f t="shared" si="5"/>
        <v>-1.4352873499999994</v>
      </c>
      <c r="P36" s="56">
        <f t="shared" si="6"/>
        <v>-0.14352873499999994</v>
      </c>
      <c r="Q36" s="57">
        <f>AVERAGE(P36:P38)</f>
        <v>-7.4218608333333269E-2</v>
      </c>
      <c r="R36" s="56">
        <f>STDEV(P36:P38)</f>
        <v>0.12843489994262475</v>
      </c>
      <c r="S36" s="58">
        <f>R36/Q36*100</f>
        <v>-173.04945865569633</v>
      </c>
      <c r="T36" s="63">
        <f>D54</f>
        <v>10</v>
      </c>
      <c r="U36" s="64">
        <f>Q54</f>
        <v>-0.19095767833333324</v>
      </c>
    </row>
    <row r="37" spans="1:21" ht="14.45" customHeight="1" x14ac:dyDescent="0.25">
      <c r="A37" s="18">
        <v>11</v>
      </c>
      <c r="B37" s="30">
        <v>10</v>
      </c>
      <c r="D37" s="77"/>
      <c r="E37" s="17" t="s">
        <v>61</v>
      </c>
      <c r="F37" s="17">
        <f t="shared" ref="F37" si="11">F36</f>
        <v>10</v>
      </c>
      <c r="G37" s="57">
        <v>6.4000000000000001E-2</v>
      </c>
      <c r="H37" s="58">
        <v>5.8700000000000002E-2</v>
      </c>
      <c r="I37" s="56"/>
      <c r="J37" s="57">
        <f t="shared" si="1"/>
        <v>7.2666666666666713E-3</v>
      </c>
      <c r="K37" s="58">
        <f t="shared" si="2"/>
        <v>8.2166666666666707E-3</v>
      </c>
      <c r="L37" s="56"/>
      <c r="M37" s="62">
        <f t="shared" si="3"/>
        <v>5.2125000000000036E-3</v>
      </c>
      <c r="N37" s="56">
        <f t="shared" si="4"/>
        <v>0.36991027500000023</v>
      </c>
      <c r="O37" s="58">
        <f t="shared" si="5"/>
        <v>0.73982055000000047</v>
      </c>
      <c r="P37" s="56">
        <f t="shared" si="6"/>
        <v>7.3982055000000047E-2</v>
      </c>
      <c r="Q37" s="57"/>
      <c r="R37" s="56"/>
      <c r="S37" s="58"/>
      <c r="T37" s="63">
        <f>D57</f>
        <v>11</v>
      </c>
      <c r="U37" s="64">
        <f>Q57</f>
        <v>-9.0540788333333247E-2</v>
      </c>
    </row>
    <row r="38" spans="1:21" ht="14.45" customHeight="1" x14ac:dyDescent="0.25">
      <c r="A38" s="18">
        <v>12</v>
      </c>
      <c r="B38" s="30">
        <v>10</v>
      </c>
      <c r="D38" s="78"/>
      <c r="E38" s="22" t="s">
        <v>62</v>
      </c>
      <c r="F38" s="22">
        <f t="shared" ref="F38" si="12">F36</f>
        <v>10</v>
      </c>
      <c r="G38" s="65">
        <v>4.2500000000000003E-2</v>
      </c>
      <c r="H38" s="66">
        <v>3.6700000000000003E-2</v>
      </c>
      <c r="I38" s="56"/>
      <c r="J38" s="57">
        <f t="shared" si="1"/>
        <v>-1.4233333333333327E-2</v>
      </c>
      <c r="K38" s="58">
        <f t="shared" si="2"/>
        <v>-1.3783333333333328E-2</v>
      </c>
      <c r="L38" s="56"/>
      <c r="M38" s="62">
        <f t="shared" si="3"/>
        <v>-1.0787499999999995E-2</v>
      </c>
      <c r="N38" s="56">
        <f t="shared" si="4"/>
        <v>-0.76554572499999962</v>
      </c>
      <c r="O38" s="58">
        <f t="shared" si="5"/>
        <v>-1.5310914499999992</v>
      </c>
      <c r="P38" s="56">
        <f t="shared" si="6"/>
        <v>-0.15310914499999992</v>
      </c>
      <c r="Q38" s="57"/>
      <c r="R38" s="56"/>
      <c r="S38" s="58"/>
      <c r="T38" s="63">
        <f>D60</f>
        <v>12</v>
      </c>
      <c r="U38" s="64">
        <f>Q60</f>
        <v>-0.17936656499999995</v>
      </c>
    </row>
    <row r="39" spans="1:21" ht="14.45" customHeight="1" x14ac:dyDescent="0.25">
      <c r="A39" s="18">
        <v>13</v>
      </c>
      <c r="B39" s="30">
        <v>10</v>
      </c>
      <c r="D39" s="76">
        <f>A31</f>
        <v>5</v>
      </c>
      <c r="E39" s="12" t="s">
        <v>63</v>
      </c>
      <c r="F39" s="12">
        <f>B31</f>
        <v>10</v>
      </c>
      <c r="G39" s="54">
        <v>4.2000000000000003E-2</v>
      </c>
      <c r="H39" s="55">
        <v>4.1300000000000003E-2</v>
      </c>
      <c r="I39" s="56"/>
      <c r="J39" s="57">
        <f t="shared" si="1"/>
        <v>-1.4733333333333327E-2</v>
      </c>
      <c r="K39" s="58">
        <f t="shared" si="2"/>
        <v>-9.1833333333333281E-3</v>
      </c>
      <c r="L39" s="56"/>
      <c r="M39" s="62">
        <f t="shared" si="3"/>
        <v>-1.2437499999999995E-2</v>
      </c>
      <c r="N39" s="56">
        <f t="shared" si="4"/>
        <v>-0.88263962499999959</v>
      </c>
      <c r="O39" s="58">
        <f t="shared" si="5"/>
        <v>-1.7652792499999992</v>
      </c>
      <c r="P39" s="56">
        <f t="shared" si="6"/>
        <v>-0.17652792499999992</v>
      </c>
      <c r="Q39" s="57">
        <f>AVERAGE(P39:P41)</f>
        <v>-0.1911942316666666</v>
      </c>
      <c r="R39" s="56">
        <f>STDEV(P39:P41)</f>
        <v>1.5698303722597975E-2</v>
      </c>
      <c r="S39" s="58">
        <f>R39/Q39*100</f>
        <v>-8.2106576049673095</v>
      </c>
      <c r="T39" s="63">
        <f>D63</f>
        <v>13</v>
      </c>
      <c r="U39" s="64">
        <f>Q63</f>
        <v>-0.17865690499999995</v>
      </c>
    </row>
    <row r="40" spans="1:21" ht="14.45" customHeight="1" x14ac:dyDescent="0.25">
      <c r="A40" s="18">
        <v>14</v>
      </c>
      <c r="B40" s="30">
        <v>10</v>
      </c>
      <c r="D40" s="77"/>
      <c r="E40" s="17" t="s">
        <v>64</v>
      </c>
      <c r="F40" s="17">
        <f t="shared" ref="F40" si="13">F39</f>
        <v>10</v>
      </c>
      <c r="G40" s="57">
        <v>3.9199999999999999E-2</v>
      </c>
      <c r="H40" s="58">
        <v>3.8899999999999997E-2</v>
      </c>
      <c r="I40" s="56"/>
      <c r="J40" s="57">
        <f t="shared" si="1"/>
        <v>-1.7533333333333331E-2</v>
      </c>
      <c r="K40" s="58">
        <f t="shared" si="2"/>
        <v>-1.1583333333333334E-2</v>
      </c>
      <c r="L40" s="56"/>
      <c r="M40" s="62">
        <f t="shared" si="3"/>
        <v>-1.4637499999999998E-2</v>
      </c>
      <c r="N40" s="56">
        <f t="shared" si="4"/>
        <v>-1.0387648249999997</v>
      </c>
      <c r="O40" s="58">
        <f t="shared" si="5"/>
        <v>-2.0775296499999993</v>
      </c>
      <c r="P40" s="56">
        <f t="shared" si="6"/>
        <v>-0.20775296499999993</v>
      </c>
      <c r="Q40" s="57"/>
      <c r="R40" s="56"/>
      <c r="S40" s="58"/>
      <c r="T40" s="63">
        <f>D66</f>
        <v>14</v>
      </c>
      <c r="U40" s="64">
        <f>Q66</f>
        <v>-7.7412078333333259E-2</v>
      </c>
    </row>
    <row r="41" spans="1:21" ht="14.45" customHeight="1" x14ac:dyDescent="0.25">
      <c r="A41" s="18">
        <v>15</v>
      </c>
      <c r="B41" s="30">
        <v>10</v>
      </c>
      <c r="D41" s="78"/>
      <c r="E41" s="22" t="s">
        <v>65</v>
      </c>
      <c r="F41" s="22">
        <f t="shared" ref="F41" si="14">F39</f>
        <v>10</v>
      </c>
      <c r="G41" s="65">
        <v>4.0899999999999999E-2</v>
      </c>
      <c r="H41" s="66">
        <v>4.0500000000000001E-2</v>
      </c>
      <c r="I41" s="56"/>
      <c r="J41" s="57">
        <f t="shared" si="1"/>
        <v>-1.5833333333333331E-2</v>
      </c>
      <c r="K41" s="58">
        <f t="shared" si="2"/>
        <v>-9.9833333333333302E-3</v>
      </c>
      <c r="L41" s="56"/>
      <c r="M41" s="62">
        <f t="shared" si="3"/>
        <v>-1.3337499999999999E-2</v>
      </c>
      <c r="N41" s="56">
        <f t="shared" si="4"/>
        <v>-0.94650902499999978</v>
      </c>
      <c r="O41" s="58">
        <f t="shared" si="5"/>
        <v>-1.8930180499999996</v>
      </c>
      <c r="P41" s="56">
        <f t="shared" si="6"/>
        <v>-0.18930180499999996</v>
      </c>
      <c r="Q41" s="57"/>
      <c r="R41" s="56"/>
      <c r="S41" s="58"/>
      <c r="T41" s="63">
        <f>D69</f>
        <v>15</v>
      </c>
      <c r="U41" s="64">
        <f>Q69</f>
        <v>-0.20929056166666662</v>
      </c>
    </row>
    <row r="42" spans="1:21" ht="14.45" customHeight="1" x14ac:dyDescent="0.25">
      <c r="A42" s="18">
        <v>16</v>
      </c>
      <c r="B42" s="30">
        <v>10</v>
      </c>
      <c r="D42" s="76">
        <f>A32</f>
        <v>6</v>
      </c>
      <c r="E42" s="12" t="s">
        <v>66</v>
      </c>
      <c r="F42" s="12">
        <f>B32</f>
        <v>10</v>
      </c>
      <c r="G42" s="54">
        <v>3.85E-2</v>
      </c>
      <c r="H42" s="55">
        <v>3.7400000000000003E-2</v>
      </c>
      <c r="I42" s="56"/>
      <c r="J42" s="57">
        <f t="shared" si="1"/>
        <v>-1.8233333333333331E-2</v>
      </c>
      <c r="K42" s="58">
        <f t="shared" si="2"/>
        <v>-1.3083333333333329E-2</v>
      </c>
      <c r="L42" s="56"/>
      <c r="M42" s="62">
        <f t="shared" si="3"/>
        <v>-1.4962499999999998E-2</v>
      </c>
      <c r="N42" s="56">
        <f t="shared" si="4"/>
        <v>-1.0618287749999997</v>
      </c>
      <c r="O42" s="58">
        <f t="shared" si="5"/>
        <v>-2.1236575499999994</v>
      </c>
      <c r="P42" s="56">
        <f t="shared" si="6"/>
        <v>-0.21236575499999993</v>
      </c>
      <c r="Q42" s="57">
        <f>AVERAGE(P42:P44)</f>
        <v>-0.20337672833333328</v>
      </c>
      <c r="R42" s="56">
        <f>STDEV(P42:P44)</f>
        <v>9.0487447690070829E-3</v>
      </c>
      <c r="S42" s="58">
        <f>R42/Q42*100</f>
        <v>-4.4492527946345177</v>
      </c>
      <c r="T42" s="63">
        <f>D72</f>
        <v>16</v>
      </c>
      <c r="U42" s="64">
        <f>Q72</f>
        <v>-0.18599005833333329</v>
      </c>
    </row>
    <row r="43" spans="1:21" ht="14.45" customHeight="1" x14ac:dyDescent="0.25">
      <c r="A43" s="18">
        <v>17</v>
      </c>
      <c r="B43" s="30">
        <v>10</v>
      </c>
      <c r="D43" s="77"/>
      <c r="E43" s="17" t="s">
        <v>67</v>
      </c>
      <c r="F43" s="17">
        <f t="shared" ref="F43" si="15">F42</f>
        <v>10</v>
      </c>
      <c r="G43" s="57">
        <v>3.9199999999999999E-2</v>
      </c>
      <c r="H43" s="58">
        <v>3.7699999999999997E-2</v>
      </c>
      <c r="I43" s="56"/>
      <c r="J43" s="57">
        <f t="shared" si="1"/>
        <v>-1.7533333333333331E-2</v>
      </c>
      <c r="K43" s="58">
        <f t="shared" si="2"/>
        <v>-1.2783333333333334E-2</v>
      </c>
      <c r="L43" s="56"/>
      <c r="M43" s="62">
        <f t="shared" si="3"/>
        <v>-1.4337499999999998E-2</v>
      </c>
      <c r="N43" s="56">
        <f t="shared" si="4"/>
        <v>-1.0174750249999998</v>
      </c>
      <c r="O43" s="58">
        <f t="shared" si="5"/>
        <v>-2.0349500499999995</v>
      </c>
      <c r="P43" s="56">
        <f t="shared" si="6"/>
        <v>-0.20349500499999995</v>
      </c>
      <c r="Q43" s="57"/>
      <c r="R43" s="56"/>
      <c r="S43" s="58"/>
      <c r="T43" s="63">
        <f>D75</f>
        <v>17</v>
      </c>
      <c r="U43" s="64">
        <f>Q75</f>
        <v>-9.2551491666666652E-2</v>
      </c>
    </row>
    <row r="44" spans="1:21" ht="14.45" customHeight="1" x14ac:dyDescent="0.25">
      <c r="A44" s="18">
        <v>18</v>
      </c>
      <c r="B44" s="30">
        <v>10</v>
      </c>
      <c r="D44" s="78"/>
      <c r="E44" s="22" t="s">
        <v>68</v>
      </c>
      <c r="F44" s="22">
        <f t="shared" ref="F44" si="16">F42</f>
        <v>10</v>
      </c>
      <c r="G44" s="65">
        <v>4.0599999999999997E-2</v>
      </c>
      <c r="H44" s="66">
        <v>4.07E-2</v>
      </c>
      <c r="I44" s="56"/>
      <c r="J44" s="57">
        <f t="shared" si="1"/>
        <v>-1.6133333333333333E-2</v>
      </c>
      <c r="K44" s="58">
        <f t="shared" si="2"/>
        <v>-9.7833333333333314E-3</v>
      </c>
      <c r="L44" s="56"/>
      <c r="M44" s="62">
        <f t="shared" si="3"/>
        <v>-1.36875E-2</v>
      </c>
      <c r="N44" s="56">
        <f t="shared" si="4"/>
        <v>-0.97134712499999987</v>
      </c>
      <c r="O44" s="58">
        <f t="shared" si="5"/>
        <v>-1.9426942499999997</v>
      </c>
      <c r="P44" s="56">
        <f t="shared" si="6"/>
        <v>-0.19426942499999997</v>
      </c>
      <c r="Q44" s="57"/>
      <c r="R44" s="56"/>
      <c r="S44" s="58"/>
      <c r="T44" s="63">
        <f>D78</f>
        <v>18</v>
      </c>
      <c r="U44" s="64">
        <f>Q78</f>
        <v>-7.8653983333333097E-3</v>
      </c>
    </row>
    <row r="45" spans="1:21" ht="14.45" customHeight="1" x14ac:dyDescent="0.25">
      <c r="A45" s="18">
        <v>19</v>
      </c>
      <c r="B45" s="30">
        <v>10</v>
      </c>
      <c r="D45" s="76">
        <f>A33</f>
        <v>7</v>
      </c>
      <c r="E45" s="12" t="s">
        <v>69</v>
      </c>
      <c r="F45" s="12">
        <f>B33</f>
        <v>10</v>
      </c>
      <c r="G45" s="54">
        <v>4.2599999999999999E-2</v>
      </c>
      <c r="H45" s="55">
        <v>3.9100000000000003E-2</v>
      </c>
      <c r="I45" s="56"/>
      <c r="J45" s="57">
        <f t="shared" si="1"/>
        <v>-1.4133333333333331E-2</v>
      </c>
      <c r="K45" s="58">
        <f t="shared" si="2"/>
        <v>-1.1383333333333329E-2</v>
      </c>
      <c r="L45" s="56"/>
      <c r="M45" s="62">
        <f t="shared" si="3"/>
        <v>-1.1287499999999999E-2</v>
      </c>
      <c r="N45" s="56">
        <f t="shared" si="4"/>
        <v>-0.80102872499999989</v>
      </c>
      <c r="O45" s="58">
        <f t="shared" si="5"/>
        <v>-1.6020574499999998</v>
      </c>
      <c r="P45" s="56">
        <f t="shared" si="6"/>
        <v>-0.16020574499999998</v>
      </c>
      <c r="Q45" s="57">
        <f>AVERAGE(P45:P47)</f>
        <v>-0.16765717499999999</v>
      </c>
      <c r="R45" s="56">
        <f>STDEV(P45:P47)</f>
        <v>6.5715435639353377E-3</v>
      </c>
      <c r="S45" s="58">
        <f>R45/Q45*100</f>
        <v>-3.9196315719475399</v>
      </c>
      <c r="T45" s="63">
        <f>D81</f>
        <v>19</v>
      </c>
      <c r="U45" s="64">
        <f>Q81</f>
        <v>-0.1923769983333333</v>
      </c>
    </row>
    <row r="46" spans="1:21" ht="14.45" customHeight="1" x14ac:dyDescent="0.25">
      <c r="A46" s="18">
        <v>20</v>
      </c>
      <c r="B46" s="30">
        <v>10</v>
      </c>
      <c r="D46" s="77"/>
      <c r="E46" s="17" t="s">
        <v>70</v>
      </c>
      <c r="F46" s="17">
        <f t="shared" ref="F46" si="17">F45</f>
        <v>10</v>
      </c>
      <c r="G46" s="57">
        <v>4.1599999999999998E-2</v>
      </c>
      <c r="H46" s="58">
        <v>3.7900000000000003E-2</v>
      </c>
      <c r="I46" s="56"/>
      <c r="J46" s="57">
        <f t="shared" si="1"/>
        <v>-1.5133333333333332E-2</v>
      </c>
      <c r="K46" s="58">
        <f t="shared" si="2"/>
        <v>-1.2583333333333328E-2</v>
      </c>
      <c r="L46" s="56"/>
      <c r="M46" s="62">
        <f t="shared" si="3"/>
        <v>-1.19875E-2</v>
      </c>
      <c r="N46" s="56">
        <f t="shared" si="4"/>
        <v>-0.85070492499999995</v>
      </c>
      <c r="O46" s="58">
        <f t="shared" si="5"/>
        <v>-1.7014098499999999</v>
      </c>
      <c r="P46" s="56">
        <f t="shared" si="6"/>
        <v>-0.17014098499999999</v>
      </c>
      <c r="Q46" s="57"/>
      <c r="R46" s="56"/>
      <c r="S46" s="58"/>
      <c r="T46" s="63">
        <f>D84</f>
        <v>20</v>
      </c>
      <c r="U46" s="64">
        <f>Q84</f>
        <v>-0.12353997833333329</v>
      </c>
    </row>
    <row r="47" spans="1:21" ht="14.45" customHeight="1" x14ac:dyDescent="0.25">
      <c r="A47" s="18">
        <v>21</v>
      </c>
      <c r="B47" s="30">
        <v>10</v>
      </c>
      <c r="D47" s="78"/>
      <c r="E47" s="22" t="s">
        <v>71</v>
      </c>
      <c r="F47" s="22">
        <f t="shared" ref="F47" si="18">F45</f>
        <v>10</v>
      </c>
      <c r="G47" s="65">
        <v>4.1399999999999999E-2</v>
      </c>
      <c r="H47" s="66">
        <v>3.78E-2</v>
      </c>
      <c r="I47" s="56"/>
      <c r="J47" s="57">
        <f t="shared" si="1"/>
        <v>-1.5333333333333331E-2</v>
      </c>
      <c r="K47" s="58">
        <f t="shared" si="2"/>
        <v>-1.2683333333333331E-2</v>
      </c>
      <c r="L47" s="56"/>
      <c r="M47" s="62">
        <f t="shared" si="3"/>
        <v>-1.2162499999999998E-2</v>
      </c>
      <c r="N47" s="56">
        <f t="shared" si="4"/>
        <v>-0.86312397499999982</v>
      </c>
      <c r="O47" s="58">
        <f t="shared" si="5"/>
        <v>-1.7262479499999996</v>
      </c>
      <c r="P47" s="56">
        <f t="shared" si="6"/>
        <v>-0.17262479499999997</v>
      </c>
      <c r="Q47" s="57"/>
      <c r="R47" s="56"/>
      <c r="S47" s="58"/>
      <c r="T47" s="63">
        <f>D87</f>
        <v>21</v>
      </c>
      <c r="U47" s="64">
        <f>Q87</f>
        <v>-0.17806552166666667</v>
      </c>
    </row>
    <row r="48" spans="1:21" ht="14.45" customHeight="1" x14ac:dyDescent="0.25">
      <c r="A48" s="18">
        <v>22</v>
      </c>
      <c r="B48" s="30">
        <v>10</v>
      </c>
      <c r="D48" s="76">
        <f>A34</f>
        <v>8</v>
      </c>
      <c r="E48" s="12" t="s">
        <v>72</v>
      </c>
      <c r="F48" s="12">
        <f>B34</f>
        <v>10</v>
      </c>
      <c r="G48" s="54">
        <v>3.85E-2</v>
      </c>
      <c r="H48" s="55">
        <v>3.6999999999999998E-2</v>
      </c>
      <c r="I48" s="56"/>
      <c r="J48" s="57">
        <f t="shared" si="1"/>
        <v>-1.8233333333333331E-2</v>
      </c>
      <c r="K48" s="58">
        <f t="shared" si="2"/>
        <v>-1.3483333333333333E-2</v>
      </c>
      <c r="L48" s="56"/>
      <c r="M48" s="62">
        <f t="shared" si="3"/>
        <v>-1.4862499999999997E-2</v>
      </c>
      <c r="N48" s="56">
        <f t="shared" si="4"/>
        <v>-1.0547321749999996</v>
      </c>
      <c r="O48" s="58">
        <f t="shared" si="5"/>
        <v>-2.1094643499999992</v>
      </c>
      <c r="P48" s="56">
        <f t="shared" si="6"/>
        <v>-0.21094643499999993</v>
      </c>
      <c r="Q48" s="57">
        <f>AVERAGE(P48:P50)</f>
        <v>-0.13465798499999995</v>
      </c>
      <c r="R48" s="56">
        <f>STDEV(P48:P50)</f>
        <v>0.12333137426761247</v>
      </c>
      <c r="S48" s="58">
        <f>R48/Q48*100</f>
        <v>-91.588608182138259</v>
      </c>
      <c r="T48" s="63">
        <f>D90</f>
        <v>22</v>
      </c>
      <c r="U48" s="64">
        <f>Q90</f>
        <v>0.79724387166666666</v>
      </c>
    </row>
    <row r="49" spans="1:22" ht="14.45" customHeight="1" x14ac:dyDescent="0.25">
      <c r="A49" s="18">
        <v>23</v>
      </c>
      <c r="B49" s="30">
        <v>10</v>
      </c>
      <c r="D49" s="77"/>
      <c r="E49" s="17" t="s">
        <v>73</v>
      </c>
      <c r="F49" s="17">
        <f t="shared" ref="F49" si="19">F48</f>
        <v>10</v>
      </c>
      <c r="G49" s="57">
        <v>5.8900000000000001E-2</v>
      </c>
      <c r="H49" s="58">
        <v>5.7000000000000002E-2</v>
      </c>
      <c r="I49" s="56"/>
      <c r="J49" s="57">
        <f t="shared" si="1"/>
        <v>2.1666666666666709E-3</v>
      </c>
      <c r="K49" s="58">
        <f t="shared" si="2"/>
        <v>6.5166666666666706E-3</v>
      </c>
      <c r="L49" s="56"/>
      <c r="M49" s="62">
        <f t="shared" si="3"/>
        <v>5.3750000000000325E-4</v>
      </c>
      <c r="N49" s="56">
        <f t="shared" si="4"/>
        <v>3.8144225000000226E-2</v>
      </c>
      <c r="O49" s="58">
        <f t="shared" si="5"/>
        <v>7.6288450000000452E-2</v>
      </c>
      <c r="P49" s="56">
        <f t="shared" si="6"/>
        <v>7.6288450000000455E-3</v>
      </c>
      <c r="Q49" s="57"/>
      <c r="R49" s="56"/>
      <c r="S49" s="58"/>
      <c r="T49" s="63">
        <f>D93</f>
        <v>23</v>
      </c>
      <c r="U49" s="64">
        <f>Q93</f>
        <v>-0.18705454833333332</v>
      </c>
    </row>
    <row r="50" spans="1:22" ht="14.45" customHeight="1" x14ac:dyDescent="0.25">
      <c r="A50" s="23">
        <v>24</v>
      </c>
      <c r="B50" s="30">
        <v>10</v>
      </c>
      <c r="D50" s="78"/>
      <c r="E50" s="22" t="s">
        <v>74</v>
      </c>
      <c r="F50" s="22">
        <f t="shared" ref="F50" si="20">F48</f>
        <v>10</v>
      </c>
      <c r="G50" s="65">
        <v>3.9399999999999998E-2</v>
      </c>
      <c r="H50" s="66">
        <v>3.7699999999999997E-2</v>
      </c>
      <c r="I50" s="56"/>
      <c r="J50" s="57">
        <f t="shared" si="1"/>
        <v>-1.7333333333333333E-2</v>
      </c>
      <c r="K50" s="58">
        <f t="shared" si="2"/>
        <v>-1.2783333333333334E-2</v>
      </c>
      <c r="L50" s="56"/>
      <c r="M50" s="62">
        <f t="shared" si="3"/>
        <v>-1.4137499999999999E-2</v>
      </c>
      <c r="N50" s="56">
        <f t="shared" si="4"/>
        <v>-1.0032818249999997</v>
      </c>
      <c r="O50" s="58">
        <f t="shared" si="5"/>
        <v>-2.0065636499999995</v>
      </c>
      <c r="P50" s="56">
        <f t="shared" si="6"/>
        <v>-0.20065636499999995</v>
      </c>
      <c r="Q50" s="57"/>
      <c r="R50" s="56"/>
      <c r="S50" s="58"/>
      <c r="T50" s="67">
        <f>D96</f>
        <v>24</v>
      </c>
      <c r="U50" s="68">
        <f>Q96</f>
        <v>-0.13749662499999993</v>
      </c>
    </row>
    <row r="51" spans="1:22" ht="14.45" customHeight="1" x14ac:dyDescent="0.25">
      <c r="D51" s="76">
        <f>A35</f>
        <v>9</v>
      </c>
      <c r="E51" s="12" t="s">
        <v>75</v>
      </c>
      <c r="F51" s="12">
        <f>B35</f>
        <v>10</v>
      </c>
      <c r="G51" s="54">
        <v>4.8399999999999999E-2</v>
      </c>
      <c r="H51" s="55">
        <v>3.9399999999999998E-2</v>
      </c>
      <c r="I51" s="56"/>
      <c r="J51" s="57">
        <f t="shared" si="1"/>
        <v>-8.3333333333333315E-3</v>
      </c>
      <c r="K51" s="58">
        <f t="shared" si="2"/>
        <v>-1.1083333333333334E-2</v>
      </c>
      <c r="L51" s="56"/>
      <c r="M51" s="62">
        <f t="shared" si="3"/>
        <v>-5.562499999999998E-3</v>
      </c>
      <c r="N51" s="56">
        <f t="shared" si="4"/>
        <v>-0.39474837499999982</v>
      </c>
      <c r="O51" s="58">
        <f t="shared" si="5"/>
        <v>-0.78949674999999964</v>
      </c>
      <c r="P51" s="56">
        <f t="shared" si="6"/>
        <v>-7.8949674999999969E-2</v>
      </c>
      <c r="Q51" s="57">
        <f>AVERAGE(P51:P53)</f>
        <v>-7.6111034999999952E-2</v>
      </c>
      <c r="R51" s="56">
        <f>STDEV(P51:P53)</f>
        <v>3.7551677508201914E-3</v>
      </c>
      <c r="S51" s="58">
        <f>R51/Q51*100</f>
        <v>-4.9338019786752261</v>
      </c>
      <c r="T51" s="56"/>
      <c r="U51" s="56"/>
      <c r="V51" s="56"/>
    </row>
    <row r="52" spans="1:22" ht="14.45" customHeight="1" x14ac:dyDescent="0.25">
      <c r="D52" s="77"/>
      <c r="E52" s="17" t="s">
        <v>76</v>
      </c>
      <c r="F52" s="17">
        <f t="shared" ref="F52" si="21">F51</f>
        <v>10</v>
      </c>
      <c r="G52" s="57">
        <v>4.8300000000000003E-2</v>
      </c>
      <c r="H52" s="58">
        <v>3.8600000000000002E-2</v>
      </c>
      <c r="I52" s="56"/>
      <c r="J52" s="57">
        <f t="shared" si="1"/>
        <v>-8.4333333333333274E-3</v>
      </c>
      <c r="K52" s="58">
        <f t="shared" si="2"/>
        <v>-1.1883333333333329E-2</v>
      </c>
      <c r="L52" s="56"/>
      <c r="M52" s="62">
        <f t="shared" si="3"/>
        <v>-5.4624999999999951E-3</v>
      </c>
      <c r="N52" s="56">
        <f t="shared" si="4"/>
        <v>-0.38765177499999964</v>
      </c>
      <c r="O52" s="58">
        <f t="shared" si="5"/>
        <v>-0.77530354999999929</v>
      </c>
      <c r="P52" s="56">
        <f t="shared" si="6"/>
        <v>-7.7530354999999926E-2</v>
      </c>
      <c r="Q52" s="57"/>
      <c r="R52" s="56"/>
      <c r="S52" s="58"/>
      <c r="T52" s="56"/>
    </row>
    <row r="53" spans="1:22" ht="14.45" customHeight="1" x14ac:dyDescent="0.25">
      <c r="D53" s="78"/>
      <c r="E53" s="22" t="s">
        <v>77</v>
      </c>
      <c r="F53" s="22">
        <f t="shared" ref="F53" si="22">F51</f>
        <v>10</v>
      </c>
      <c r="G53" s="65">
        <v>4.8899999999999999E-2</v>
      </c>
      <c r="H53" s="66">
        <v>3.9399999999999998E-2</v>
      </c>
      <c r="I53" s="56"/>
      <c r="J53" s="57">
        <f t="shared" si="1"/>
        <v>-7.833333333333331E-3</v>
      </c>
      <c r="K53" s="58">
        <f t="shared" si="2"/>
        <v>-1.1083333333333334E-2</v>
      </c>
      <c r="L53" s="56"/>
      <c r="M53" s="62">
        <f t="shared" si="3"/>
        <v>-5.0624999999999976E-3</v>
      </c>
      <c r="N53" s="56">
        <f t="shared" si="4"/>
        <v>-0.35926537499999978</v>
      </c>
      <c r="O53" s="58">
        <f t="shared" si="5"/>
        <v>-0.71853074999999955</v>
      </c>
      <c r="P53" s="56">
        <f t="shared" si="6"/>
        <v>-7.1853074999999961E-2</v>
      </c>
      <c r="Q53" s="57"/>
      <c r="R53" s="56"/>
      <c r="S53" s="58"/>
      <c r="T53" s="56"/>
    </row>
    <row r="54" spans="1:22" ht="14.45" customHeight="1" x14ac:dyDescent="0.25">
      <c r="D54" s="76">
        <f>A36</f>
        <v>10</v>
      </c>
      <c r="E54" s="12" t="s">
        <v>78</v>
      </c>
      <c r="F54" s="12">
        <f>B36</f>
        <v>10</v>
      </c>
      <c r="G54" s="54">
        <v>3.8600000000000002E-2</v>
      </c>
      <c r="H54" s="55">
        <v>3.7499999999999999E-2</v>
      </c>
      <c r="I54" s="56"/>
      <c r="J54" s="57">
        <f t="shared" si="1"/>
        <v>-1.8133333333333328E-2</v>
      </c>
      <c r="K54" s="58">
        <f t="shared" si="2"/>
        <v>-1.2983333333333333E-2</v>
      </c>
      <c r="L54" s="56"/>
      <c r="M54" s="62">
        <f t="shared" si="3"/>
        <v>-1.4887499999999994E-2</v>
      </c>
      <c r="N54" s="56">
        <f t="shared" si="4"/>
        <v>-1.0565063249999995</v>
      </c>
      <c r="O54" s="58">
        <f t="shared" si="5"/>
        <v>-2.113012649999999</v>
      </c>
      <c r="P54" s="56">
        <f t="shared" si="6"/>
        <v>-0.2113012649999999</v>
      </c>
      <c r="Q54" s="57">
        <f>AVERAGE(P54:P56)</f>
        <v>-0.19095767833333324</v>
      </c>
      <c r="R54" s="56">
        <f>STDEV(P54:P56)</f>
        <v>1.7905149803590922E-2</v>
      </c>
      <c r="S54" s="58">
        <f>R54/Q54*100</f>
        <v>-9.3765016206030349</v>
      </c>
      <c r="T54" s="56"/>
    </row>
    <row r="55" spans="1:22" ht="14.45" customHeight="1" x14ac:dyDescent="0.25">
      <c r="D55" s="77"/>
      <c r="E55" s="17" t="s">
        <v>79</v>
      </c>
      <c r="F55" s="17">
        <f t="shared" ref="F55" si="23">F54</f>
        <v>10</v>
      </c>
      <c r="G55" s="57">
        <v>4.1799999999999997E-2</v>
      </c>
      <c r="H55" s="58">
        <v>4.0800000000000003E-2</v>
      </c>
      <c r="I55" s="56"/>
      <c r="J55" s="57">
        <f t="shared" si="1"/>
        <v>-1.4933333333333333E-2</v>
      </c>
      <c r="K55" s="58">
        <f t="shared" si="2"/>
        <v>-9.6833333333333285E-3</v>
      </c>
      <c r="L55" s="56"/>
      <c r="M55" s="62">
        <f t="shared" si="3"/>
        <v>-1.2512500000000001E-2</v>
      </c>
      <c r="N55" s="56">
        <f t="shared" si="4"/>
        <v>-0.88796207500000002</v>
      </c>
      <c r="O55" s="58">
        <f t="shared" si="5"/>
        <v>-1.77592415</v>
      </c>
      <c r="P55" s="56">
        <f t="shared" si="6"/>
        <v>-0.177592415</v>
      </c>
      <c r="Q55" s="57"/>
      <c r="R55" s="56"/>
      <c r="S55" s="58"/>
      <c r="T55" s="56"/>
    </row>
    <row r="56" spans="1:22" ht="14.45" customHeight="1" x14ac:dyDescent="0.25">
      <c r="D56" s="78"/>
      <c r="E56" s="22" t="s">
        <v>80</v>
      </c>
      <c r="F56" s="22">
        <f t="shared" ref="F56" si="24">F54</f>
        <v>10</v>
      </c>
      <c r="G56" s="65">
        <v>4.1000000000000002E-2</v>
      </c>
      <c r="H56" s="66">
        <v>3.9399999999999998E-2</v>
      </c>
      <c r="I56" s="56"/>
      <c r="J56" s="57">
        <f t="shared" si="1"/>
        <v>-1.5733333333333328E-2</v>
      </c>
      <c r="K56" s="58">
        <f t="shared" si="2"/>
        <v>-1.1083333333333334E-2</v>
      </c>
      <c r="L56" s="56"/>
      <c r="M56" s="62">
        <f t="shared" si="3"/>
        <v>-1.2962499999999995E-2</v>
      </c>
      <c r="N56" s="56">
        <f t="shared" si="4"/>
        <v>-0.91989677499999956</v>
      </c>
      <c r="O56" s="58">
        <f t="shared" si="5"/>
        <v>-1.8397935499999991</v>
      </c>
      <c r="P56" s="56">
        <f t="shared" si="6"/>
        <v>-0.1839793549999999</v>
      </c>
      <c r="Q56" s="57"/>
      <c r="R56" s="56"/>
      <c r="S56" s="58"/>
      <c r="T56" s="56"/>
    </row>
    <row r="57" spans="1:22" ht="14.45" customHeight="1" x14ac:dyDescent="0.25">
      <c r="D57" s="76">
        <f>A37</f>
        <v>11</v>
      </c>
      <c r="E57" s="12" t="s">
        <v>81</v>
      </c>
      <c r="F57" s="12">
        <f>B37</f>
        <v>10</v>
      </c>
      <c r="G57" s="54">
        <v>5.8500000000000003E-2</v>
      </c>
      <c r="H57" s="55">
        <v>5.3400000000000003E-2</v>
      </c>
      <c r="I57" s="56"/>
      <c r="J57" s="57">
        <f t="shared" si="1"/>
        <v>1.7666666666666733E-3</v>
      </c>
      <c r="K57" s="58">
        <f t="shared" si="2"/>
        <v>2.9166666666666716E-3</v>
      </c>
      <c r="L57" s="56"/>
      <c r="M57" s="62">
        <f t="shared" si="3"/>
        <v>1.0375000000000054E-3</v>
      </c>
      <c r="N57" s="56">
        <f t="shared" si="4"/>
        <v>7.3627225000000379E-2</v>
      </c>
      <c r="O57" s="58">
        <f t="shared" si="5"/>
        <v>0.14725445000000076</v>
      </c>
      <c r="P57" s="56">
        <f t="shared" si="6"/>
        <v>1.4725445000000077E-2</v>
      </c>
      <c r="Q57" s="57">
        <f>AVERAGE(P57:P59)</f>
        <v>-9.0540788333333247E-2</v>
      </c>
      <c r="R57" s="56">
        <f>STDEV(P57:P59)</f>
        <v>9.136258129668258E-2</v>
      </c>
      <c r="S57" s="58">
        <f>R57/Q57*100</f>
        <v>-100.90764944559996</v>
      </c>
      <c r="T57" s="56"/>
    </row>
    <row r="58" spans="1:22" ht="14.45" customHeight="1" x14ac:dyDescent="0.25">
      <c r="D58" s="77"/>
      <c r="E58" s="17" t="s">
        <v>82</v>
      </c>
      <c r="F58" s="17">
        <f t="shared" ref="F58" si="25">F57</f>
        <v>10</v>
      </c>
      <c r="G58" s="57">
        <v>4.4200000000000003E-2</v>
      </c>
      <c r="H58" s="58">
        <v>3.9E-2</v>
      </c>
      <c r="I58" s="56"/>
      <c r="J58" s="57">
        <f t="shared" si="1"/>
        <v>-1.2533333333333327E-2</v>
      </c>
      <c r="K58" s="58">
        <f t="shared" si="2"/>
        <v>-1.1483333333333332E-2</v>
      </c>
      <c r="L58" s="56"/>
      <c r="M58" s="62">
        <f t="shared" si="3"/>
        <v>-9.662499999999994E-3</v>
      </c>
      <c r="N58" s="56">
        <f t="shared" si="4"/>
        <v>-0.6857089749999995</v>
      </c>
      <c r="O58" s="58">
        <f t="shared" si="5"/>
        <v>-1.371417949999999</v>
      </c>
      <c r="P58" s="56">
        <f t="shared" si="6"/>
        <v>-0.1371417949999999</v>
      </c>
      <c r="Q58" s="57"/>
      <c r="R58" s="56"/>
      <c r="S58" s="58"/>
      <c r="T58" s="56"/>
    </row>
    <row r="59" spans="1:22" ht="14.45" customHeight="1" x14ac:dyDescent="0.25">
      <c r="D59" s="78"/>
      <c r="E59" s="22" t="s">
        <v>83</v>
      </c>
      <c r="F59" s="22">
        <f t="shared" ref="F59" si="26">F57</f>
        <v>10</v>
      </c>
      <c r="G59" s="65">
        <v>4.3099999999999999E-2</v>
      </c>
      <c r="H59" s="66">
        <v>3.7999999999999999E-2</v>
      </c>
      <c r="I59" s="56"/>
      <c r="J59" s="57">
        <f t="shared" ref="J59:J90" si="27">G59-$J$14</f>
        <v>-1.3633333333333331E-2</v>
      </c>
      <c r="K59" s="58">
        <f t="shared" ref="K59:K90" si="28">H59-$K$14</f>
        <v>-1.2483333333333332E-2</v>
      </c>
      <c r="L59" s="56"/>
      <c r="M59" s="62">
        <f t="shared" si="3"/>
        <v>-1.0512499999999998E-2</v>
      </c>
      <c r="N59" s="56">
        <f t="shared" si="4"/>
        <v>-0.74603007499999974</v>
      </c>
      <c r="O59" s="58">
        <f t="shared" si="5"/>
        <v>-1.4920601499999995</v>
      </c>
      <c r="P59" s="56">
        <f t="shared" si="6"/>
        <v>-0.14920601499999994</v>
      </c>
      <c r="Q59" s="57"/>
      <c r="R59" s="56"/>
      <c r="S59" s="58"/>
      <c r="T59" s="56"/>
    </row>
    <row r="60" spans="1:22" ht="14.45" customHeight="1" x14ac:dyDescent="0.25">
      <c r="D60" s="76">
        <f>A38</f>
        <v>12</v>
      </c>
      <c r="E60" s="12" t="s">
        <v>84</v>
      </c>
      <c r="F60" s="12">
        <f>B38</f>
        <v>10</v>
      </c>
      <c r="G60" s="54">
        <v>4.1000000000000002E-2</v>
      </c>
      <c r="H60" s="55">
        <v>3.8300000000000001E-2</v>
      </c>
      <c r="I60" s="56"/>
      <c r="J60" s="57">
        <f t="shared" si="27"/>
        <v>-1.5733333333333328E-2</v>
      </c>
      <c r="K60" s="58">
        <f t="shared" si="28"/>
        <v>-1.2183333333333331E-2</v>
      </c>
      <c r="L60" s="56"/>
      <c r="M60" s="62">
        <f t="shared" si="3"/>
        <v>-1.2687499999999996E-2</v>
      </c>
      <c r="N60" s="56">
        <f t="shared" si="4"/>
        <v>-0.90038112499999956</v>
      </c>
      <c r="O60" s="58">
        <f t="shared" si="5"/>
        <v>-1.8007622499999991</v>
      </c>
      <c r="P60" s="56">
        <f t="shared" si="6"/>
        <v>-0.18007622499999992</v>
      </c>
      <c r="Q60" s="57">
        <f>AVERAGE(P60:P62)</f>
        <v>-0.17936656499999995</v>
      </c>
      <c r="R60" s="56">
        <f>STDEV(P60:P62)</f>
        <v>6.1458358804964937E-4</v>
      </c>
      <c r="S60" s="58">
        <f>R60/Q60*100</f>
        <v>-0.34264110931134212</v>
      </c>
      <c r="T60" s="56"/>
    </row>
    <row r="61" spans="1:22" ht="14.45" customHeight="1" x14ac:dyDescent="0.25">
      <c r="D61" s="77"/>
      <c r="E61" s="17" t="s">
        <v>85</v>
      </c>
      <c r="F61" s="17">
        <f t="shared" ref="F61" si="29">F60</f>
        <v>10</v>
      </c>
      <c r="G61" s="57">
        <v>4.1099999999999998E-2</v>
      </c>
      <c r="H61" s="58">
        <v>3.8399999999999997E-2</v>
      </c>
      <c r="I61" s="56"/>
      <c r="J61" s="57">
        <f t="shared" si="27"/>
        <v>-1.5633333333333332E-2</v>
      </c>
      <c r="K61" s="58">
        <f t="shared" si="28"/>
        <v>-1.2083333333333335E-2</v>
      </c>
      <c r="L61" s="56"/>
      <c r="M61" s="62">
        <f t="shared" si="3"/>
        <v>-1.2612499999999999E-2</v>
      </c>
      <c r="N61" s="56">
        <f t="shared" si="4"/>
        <v>-0.8950586749999998</v>
      </c>
      <c r="O61" s="58">
        <f t="shared" si="5"/>
        <v>-1.7901173499999996</v>
      </c>
      <c r="P61" s="56">
        <f t="shared" si="6"/>
        <v>-0.17901173499999995</v>
      </c>
      <c r="Q61" s="57"/>
      <c r="R61" s="56"/>
      <c r="S61" s="58"/>
      <c r="T61" s="56"/>
    </row>
    <row r="62" spans="1:22" ht="14.45" customHeight="1" x14ac:dyDescent="0.25">
      <c r="D62" s="78"/>
      <c r="E62" s="22" t="s">
        <v>86</v>
      </c>
      <c r="F62" s="22">
        <f t="shared" ref="F62" si="30">F60</f>
        <v>10</v>
      </c>
      <c r="G62" s="65">
        <v>4.1099999999999998E-2</v>
      </c>
      <c r="H62" s="66">
        <v>3.8399999999999997E-2</v>
      </c>
      <c r="I62" s="56"/>
      <c r="J62" s="57">
        <f t="shared" si="27"/>
        <v>-1.5633333333333332E-2</v>
      </c>
      <c r="K62" s="58">
        <f t="shared" si="28"/>
        <v>-1.2083333333333335E-2</v>
      </c>
      <c r="L62" s="56"/>
      <c r="M62" s="62">
        <f t="shared" si="3"/>
        <v>-1.2612499999999999E-2</v>
      </c>
      <c r="N62" s="56">
        <f t="shared" si="4"/>
        <v>-0.8950586749999998</v>
      </c>
      <c r="O62" s="58">
        <f t="shared" si="5"/>
        <v>-1.7901173499999996</v>
      </c>
      <c r="P62" s="56">
        <f t="shared" si="6"/>
        <v>-0.17901173499999995</v>
      </c>
      <c r="Q62" s="57"/>
      <c r="R62" s="56"/>
      <c r="S62" s="58"/>
      <c r="T62" s="56"/>
    </row>
    <row r="63" spans="1:22" ht="14.45" customHeight="1" x14ac:dyDescent="0.25">
      <c r="D63" s="76">
        <f>A39</f>
        <v>13</v>
      </c>
      <c r="E63" s="12" t="s">
        <v>87</v>
      </c>
      <c r="F63" s="12">
        <f>B39</f>
        <v>10</v>
      </c>
      <c r="G63" s="54">
        <v>4.3099999999999999E-2</v>
      </c>
      <c r="H63" s="55">
        <v>4.2900000000000001E-2</v>
      </c>
      <c r="I63" s="56"/>
      <c r="J63" s="57">
        <f t="shared" si="27"/>
        <v>-1.3633333333333331E-2</v>
      </c>
      <c r="K63" s="58">
        <f t="shared" si="28"/>
        <v>-7.5833333333333308E-3</v>
      </c>
      <c r="L63" s="56"/>
      <c r="M63" s="62">
        <f t="shared" si="3"/>
        <v>-1.1737499999999998E-2</v>
      </c>
      <c r="N63" s="56">
        <f t="shared" si="4"/>
        <v>-0.83296342499999976</v>
      </c>
      <c r="O63" s="58">
        <f t="shared" si="5"/>
        <v>-1.6659268499999995</v>
      </c>
      <c r="P63" s="56">
        <f t="shared" si="6"/>
        <v>-0.16659268499999996</v>
      </c>
      <c r="Q63" s="57">
        <f>AVERAGE(P63:P65)</f>
        <v>-0.17865690499999995</v>
      </c>
      <c r="R63" s="56">
        <f>STDEV(P63:P65)</f>
        <v>1.393809095581957E-2</v>
      </c>
      <c r="S63" s="58">
        <f>R63/Q63*100</f>
        <v>-7.8015965606364741</v>
      </c>
      <c r="T63" s="56"/>
    </row>
    <row r="64" spans="1:22" ht="14.45" customHeight="1" x14ac:dyDescent="0.25">
      <c r="D64" s="77"/>
      <c r="E64" s="17" t="s">
        <v>88</v>
      </c>
      <c r="F64" s="17">
        <f t="shared" ref="F64" si="31">F63</f>
        <v>10</v>
      </c>
      <c r="G64" s="57">
        <v>4.24E-2</v>
      </c>
      <c r="H64" s="58">
        <v>4.2599999999999999E-2</v>
      </c>
      <c r="I64" s="56"/>
      <c r="J64" s="57">
        <f t="shared" si="27"/>
        <v>-1.433333333333333E-2</v>
      </c>
      <c r="K64" s="58">
        <f t="shared" si="28"/>
        <v>-7.8833333333333325E-3</v>
      </c>
      <c r="L64" s="56"/>
      <c r="M64" s="62">
        <f t="shared" si="3"/>
        <v>-1.2362499999999997E-2</v>
      </c>
      <c r="N64" s="56">
        <f t="shared" si="4"/>
        <v>-0.87731717499999973</v>
      </c>
      <c r="O64" s="58">
        <f t="shared" si="5"/>
        <v>-1.7546343499999995</v>
      </c>
      <c r="P64" s="56">
        <f t="shared" si="6"/>
        <v>-0.17546343499999995</v>
      </c>
      <c r="Q64" s="57"/>
      <c r="R64" s="56"/>
      <c r="S64" s="58"/>
      <c r="T64" s="56"/>
    </row>
    <row r="65" spans="4:20" ht="14.45" customHeight="1" x14ac:dyDescent="0.25">
      <c r="D65" s="78"/>
      <c r="E65" s="22" t="s">
        <v>89</v>
      </c>
      <c r="F65" s="22">
        <f t="shared" ref="F65" si="32">F63</f>
        <v>10</v>
      </c>
      <c r="G65" s="65">
        <v>4.0500000000000001E-2</v>
      </c>
      <c r="H65" s="66">
        <v>4.02E-2</v>
      </c>
      <c r="I65" s="56"/>
      <c r="J65" s="57">
        <f t="shared" si="27"/>
        <v>-1.6233333333333329E-2</v>
      </c>
      <c r="K65" s="58">
        <f t="shared" si="28"/>
        <v>-1.0283333333333332E-2</v>
      </c>
      <c r="L65" s="56"/>
      <c r="M65" s="62">
        <f t="shared" si="3"/>
        <v>-1.3662499999999996E-2</v>
      </c>
      <c r="N65" s="56">
        <f t="shared" si="4"/>
        <v>-0.96957297499999961</v>
      </c>
      <c r="O65" s="58">
        <f t="shared" si="5"/>
        <v>-1.9391459499999992</v>
      </c>
      <c r="P65" s="56">
        <f t="shared" si="6"/>
        <v>-0.19391459499999991</v>
      </c>
      <c r="Q65" s="57"/>
      <c r="R65" s="56"/>
      <c r="S65" s="58"/>
      <c r="T65" s="56"/>
    </row>
    <row r="66" spans="4:20" ht="14.45" customHeight="1" x14ac:dyDescent="0.25">
      <c r="D66" s="76">
        <f>A40</f>
        <v>14</v>
      </c>
      <c r="E66" s="12" t="s">
        <v>90</v>
      </c>
      <c r="F66" s="12">
        <f>B40</f>
        <v>10</v>
      </c>
      <c r="G66" s="54">
        <v>7.5300000000000006E-2</v>
      </c>
      <c r="H66" s="55">
        <v>7.1900000000000006E-2</v>
      </c>
      <c r="I66" s="56"/>
      <c r="J66" s="57">
        <f t="shared" si="27"/>
        <v>1.8566666666666676E-2</v>
      </c>
      <c r="K66" s="58">
        <f t="shared" si="28"/>
        <v>2.1416666666666674E-2</v>
      </c>
      <c r="L66" s="56"/>
      <c r="M66" s="62">
        <f t="shared" si="3"/>
        <v>1.3212500000000007E-2</v>
      </c>
      <c r="N66" s="56">
        <f t="shared" si="4"/>
        <v>0.93763827500000041</v>
      </c>
      <c r="O66" s="58">
        <f t="shared" si="5"/>
        <v>1.8752765500000008</v>
      </c>
      <c r="P66" s="56">
        <f t="shared" si="6"/>
        <v>0.18752765500000007</v>
      </c>
      <c r="Q66" s="57">
        <f>AVERAGE(P66:P68)</f>
        <v>-7.7412078333333259E-2</v>
      </c>
      <c r="R66" s="56">
        <f>STDEV(P66:P68)</f>
        <v>0.22949830930208992</v>
      </c>
      <c r="S66" s="58">
        <f>R66/Q66*100</f>
        <v>-296.46318022089469</v>
      </c>
      <c r="T66" s="56"/>
    </row>
    <row r="67" spans="4:20" ht="14.45" customHeight="1" x14ac:dyDescent="0.25">
      <c r="D67" s="77"/>
      <c r="E67" s="17" t="s">
        <v>91</v>
      </c>
      <c r="F67" s="17">
        <f t="shared" ref="F67" si="33">F66</f>
        <v>10</v>
      </c>
      <c r="G67" s="57">
        <v>3.8199999999999998E-2</v>
      </c>
      <c r="H67" s="58">
        <v>3.6900000000000002E-2</v>
      </c>
      <c r="I67" s="56"/>
      <c r="J67" s="57">
        <f t="shared" si="27"/>
        <v>-1.8533333333333332E-2</v>
      </c>
      <c r="K67" s="58">
        <f t="shared" si="28"/>
        <v>-1.3583333333333329E-2</v>
      </c>
      <c r="L67" s="56"/>
      <c r="M67" s="62">
        <f t="shared" si="3"/>
        <v>-1.51375E-2</v>
      </c>
      <c r="N67" s="56">
        <f t="shared" si="4"/>
        <v>-1.0742478249999998</v>
      </c>
      <c r="O67" s="58">
        <f t="shared" si="5"/>
        <v>-2.1484956499999996</v>
      </c>
      <c r="P67" s="56">
        <f t="shared" si="6"/>
        <v>-0.21484956499999996</v>
      </c>
      <c r="Q67" s="57"/>
      <c r="R67" s="56"/>
      <c r="S67" s="58"/>
      <c r="T67" s="56"/>
    </row>
    <row r="68" spans="4:20" ht="14.45" customHeight="1" x14ac:dyDescent="0.25">
      <c r="D68" s="78"/>
      <c r="E68" s="22" t="s">
        <v>92</v>
      </c>
      <c r="F68" s="22">
        <f t="shared" ref="F68" si="34">F66</f>
        <v>10</v>
      </c>
      <c r="G68" s="65">
        <v>3.9100000000000003E-2</v>
      </c>
      <c r="H68" s="66">
        <v>3.7699999999999997E-2</v>
      </c>
      <c r="I68" s="56"/>
      <c r="J68" s="57">
        <f t="shared" si="27"/>
        <v>-1.7633333333333327E-2</v>
      </c>
      <c r="K68" s="58">
        <f t="shared" si="28"/>
        <v>-1.2783333333333334E-2</v>
      </c>
      <c r="L68" s="56"/>
      <c r="M68" s="62">
        <f t="shared" si="3"/>
        <v>-1.4437499999999994E-2</v>
      </c>
      <c r="N68" s="56">
        <f t="shared" si="4"/>
        <v>-1.0245716249999994</v>
      </c>
      <c r="O68" s="58">
        <f t="shared" si="5"/>
        <v>-2.0491432499999989</v>
      </c>
      <c r="P68" s="56">
        <f t="shared" si="6"/>
        <v>-0.2049143249999999</v>
      </c>
      <c r="Q68" s="57"/>
      <c r="R68" s="56"/>
      <c r="S68" s="58"/>
      <c r="T68" s="56"/>
    </row>
    <row r="69" spans="4:20" ht="14.45" customHeight="1" x14ac:dyDescent="0.25">
      <c r="D69" s="76">
        <f>A41</f>
        <v>15</v>
      </c>
      <c r="E69" s="12" t="s">
        <v>93</v>
      </c>
      <c r="F69" s="12">
        <f>B41</f>
        <v>10</v>
      </c>
      <c r="G69" s="54">
        <v>3.9199999999999999E-2</v>
      </c>
      <c r="H69" s="55">
        <v>3.9399999999999998E-2</v>
      </c>
      <c r="I69" s="56"/>
      <c r="J69" s="57">
        <f t="shared" si="27"/>
        <v>-1.7533333333333331E-2</v>
      </c>
      <c r="K69" s="58">
        <f t="shared" si="28"/>
        <v>-1.1083333333333334E-2</v>
      </c>
      <c r="L69" s="56"/>
      <c r="M69" s="62">
        <f t="shared" si="3"/>
        <v>-1.4762499999999998E-2</v>
      </c>
      <c r="N69" s="56">
        <f t="shared" si="4"/>
        <v>-1.0476355749999997</v>
      </c>
      <c r="O69" s="58">
        <f t="shared" si="5"/>
        <v>-2.0952711499999994</v>
      </c>
      <c r="P69" s="56">
        <f t="shared" si="6"/>
        <v>-0.20952711499999993</v>
      </c>
      <c r="Q69" s="57">
        <f>AVERAGE(P69:P71)</f>
        <v>-0.20929056166666662</v>
      </c>
      <c r="R69" s="56">
        <f>STDEV(P69:P71)</f>
        <v>3.5542089133354642E-3</v>
      </c>
      <c r="S69" s="58">
        <f>R69/Q69*100</f>
        <v>-1.6982174853141203</v>
      </c>
      <c r="T69" s="56"/>
    </row>
    <row r="70" spans="4:20" ht="14.45" customHeight="1" x14ac:dyDescent="0.25">
      <c r="D70" s="77"/>
      <c r="E70" s="17" t="s">
        <v>94</v>
      </c>
      <c r="F70" s="17">
        <f t="shared" ref="F70" si="35">F69</f>
        <v>10</v>
      </c>
      <c r="G70" s="57">
        <v>3.8600000000000002E-2</v>
      </c>
      <c r="H70" s="58">
        <v>3.7900000000000003E-2</v>
      </c>
      <c r="I70" s="56"/>
      <c r="J70" s="57">
        <f t="shared" si="27"/>
        <v>-1.8133333333333328E-2</v>
      </c>
      <c r="K70" s="58">
        <f t="shared" si="28"/>
        <v>-1.2583333333333328E-2</v>
      </c>
      <c r="L70" s="56"/>
      <c r="M70" s="62">
        <f t="shared" si="3"/>
        <v>-1.4987499999999996E-2</v>
      </c>
      <c r="N70" s="56">
        <f t="shared" si="4"/>
        <v>-1.0636029249999996</v>
      </c>
      <c r="O70" s="58">
        <f t="shared" si="5"/>
        <v>-2.1272058499999993</v>
      </c>
      <c r="P70" s="56">
        <f t="shared" si="6"/>
        <v>-0.21272058499999993</v>
      </c>
      <c r="Q70" s="57"/>
      <c r="R70" s="56"/>
      <c r="S70" s="58"/>
      <c r="T70" s="56"/>
    </row>
    <row r="71" spans="4:20" ht="14.45" customHeight="1" x14ac:dyDescent="0.25">
      <c r="D71" s="78"/>
      <c r="E71" s="22" t="s">
        <v>95</v>
      </c>
      <c r="F71" s="22">
        <f t="shared" ref="F71" si="36">F69</f>
        <v>10</v>
      </c>
      <c r="G71" s="65">
        <v>3.9199999999999999E-2</v>
      </c>
      <c r="H71" s="66">
        <v>3.8300000000000001E-2</v>
      </c>
      <c r="I71" s="56"/>
      <c r="J71" s="57">
        <f t="shared" si="27"/>
        <v>-1.7533333333333331E-2</v>
      </c>
      <c r="K71" s="58">
        <f t="shared" si="28"/>
        <v>-1.2183333333333331E-2</v>
      </c>
      <c r="L71" s="56"/>
      <c r="M71" s="62">
        <f t="shared" si="3"/>
        <v>-1.4487499999999999E-2</v>
      </c>
      <c r="N71" s="56">
        <f t="shared" si="4"/>
        <v>-1.0281199249999997</v>
      </c>
      <c r="O71" s="58">
        <f t="shared" si="5"/>
        <v>-2.0562398499999994</v>
      </c>
      <c r="P71" s="56">
        <f t="shared" si="6"/>
        <v>-0.20562398499999995</v>
      </c>
      <c r="Q71" s="57"/>
      <c r="R71" s="56"/>
      <c r="S71" s="58"/>
      <c r="T71" s="56"/>
    </row>
    <row r="72" spans="4:20" ht="14.45" customHeight="1" x14ac:dyDescent="0.25">
      <c r="D72" s="76">
        <f>A42</f>
        <v>16</v>
      </c>
      <c r="E72" s="12" t="s">
        <v>96</v>
      </c>
      <c r="F72" s="12">
        <f>B42</f>
        <v>10</v>
      </c>
      <c r="G72" s="54">
        <v>4.3499999999999997E-2</v>
      </c>
      <c r="H72" s="55">
        <v>4.2599999999999999E-2</v>
      </c>
      <c r="I72" s="56"/>
      <c r="J72" s="57">
        <f t="shared" si="27"/>
        <v>-1.3233333333333333E-2</v>
      </c>
      <c r="K72" s="58">
        <f t="shared" si="28"/>
        <v>-7.8833333333333325E-3</v>
      </c>
      <c r="L72" s="56"/>
      <c r="M72" s="62">
        <f t="shared" si="3"/>
        <v>-1.12625E-2</v>
      </c>
      <c r="N72" s="56">
        <f t="shared" si="4"/>
        <v>-0.79925457499999997</v>
      </c>
      <c r="O72" s="58">
        <f t="shared" si="5"/>
        <v>-1.5985091499999999</v>
      </c>
      <c r="P72" s="56">
        <f t="shared" si="6"/>
        <v>-0.15985091499999998</v>
      </c>
      <c r="Q72" s="57">
        <f>AVERAGE(P72:P74)</f>
        <v>-0.18599005833333329</v>
      </c>
      <c r="R72" s="56">
        <f>STDEV(P72:P74)</f>
        <v>2.7398605384424585E-2</v>
      </c>
      <c r="S72" s="58">
        <f>R72/Q72*100</f>
        <v>-14.731220383468305</v>
      </c>
      <c r="T72" s="56"/>
    </row>
    <row r="73" spans="4:20" ht="14.45" customHeight="1" x14ac:dyDescent="0.25">
      <c r="D73" s="77"/>
      <c r="E73" s="17" t="s">
        <v>97</v>
      </c>
      <c r="F73" s="17">
        <f t="shared" ref="F73" si="37">F72</f>
        <v>10</v>
      </c>
      <c r="G73" s="57">
        <v>4.1200000000000001E-2</v>
      </c>
      <c r="H73" s="58">
        <v>4.0099999999999997E-2</v>
      </c>
      <c r="I73" s="56"/>
      <c r="J73" s="57">
        <f t="shared" si="27"/>
        <v>-1.553333333333333E-2</v>
      </c>
      <c r="K73" s="58">
        <f t="shared" si="28"/>
        <v>-1.0383333333333335E-2</v>
      </c>
      <c r="L73" s="56"/>
      <c r="M73" s="62">
        <f t="shared" si="3"/>
        <v>-1.2937499999999996E-2</v>
      </c>
      <c r="N73" s="56">
        <f t="shared" si="4"/>
        <v>-0.91812262499999964</v>
      </c>
      <c r="O73" s="58">
        <f t="shared" si="5"/>
        <v>-1.8362452499999993</v>
      </c>
      <c r="P73" s="56">
        <f t="shared" si="6"/>
        <v>-0.18362452499999993</v>
      </c>
      <c r="Q73" s="57"/>
      <c r="R73" s="56"/>
      <c r="S73" s="58"/>
      <c r="T73" s="56"/>
    </row>
    <row r="74" spans="4:20" ht="14.45" customHeight="1" x14ac:dyDescent="0.25">
      <c r="D74" s="78"/>
      <c r="E74" s="22" t="s">
        <v>98</v>
      </c>
      <c r="F74" s="22">
        <f t="shared" ref="F74" si="38">F72</f>
        <v>10</v>
      </c>
      <c r="G74" s="65">
        <v>3.85E-2</v>
      </c>
      <c r="H74" s="66">
        <v>3.7999999999999999E-2</v>
      </c>
      <c r="I74" s="56"/>
      <c r="J74" s="57">
        <f t="shared" si="27"/>
        <v>-1.8233333333333331E-2</v>
      </c>
      <c r="K74" s="58">
        <f t="shared" si="28"/>
        <v>-1.2483333333333332E-2</v>
      </c>
      <c r="L74" s="56"/>
      <c r="M74" s="62">
        <f t="shared" si="3"/>
        <v>-1.5112499999999997E-2</v>
      </c>
      <c r="N74" s="56">
        <f t="shared" si="4"/>
        <v>-1.0724736749999997</v>
      </c>
      <c r="O74" s="58">
        <f t="shared" si="5"/>
        <v>-2.1449473499999994</v>
      </c>
      <c r="P74" s="56">
        <f t="shared" si="6"/>
        <v>-0.21449473499999994</v>
      </c>
      <c r="Q74" s="57"/>
      <c r="R74" s="56"/>
      <c r="S74" s="58"/>
      <c r="T74" s="56"/>
    </row>
    <row r="75" spans="4:20" ht="14.45" customHeight="1" x14ac:dyDescent="0.25">
      <c r="D75" s="76">
        <f>A43</f>
        <v>17</v>
      </c>
      <c r="E75" s="12" t="s">
        <v>99</v>
      </c>
      <c r="F75" s="12">
        <f>B43</f>
        <v>10</v>
      </c>
      <c r="G75" s="54">
        <v>6.1899999999999997E-2</v>
      </c>
      <c r="H75" s="55">
        <v>5.7799999999999997E-2</v>
      </c>
      <c r="I75" s="56"/>
      <c r="J75" s="57">
        <f t="shared" si="27"/>
        <v>5.1666666666666666E-3</v>
      </c>
      <c r="K75" s="58">
        <f t="shared" si="28"/>
        <v>7.3166666666666658E-3</v>
      </c>
      <c r="L75" s="56"/>
      <c r="M75" s="62">
        <f t="shared" si="3"/>
        <v>3.3375000000000002E-3</v>
      </c>
      <c r="N75" s="56">
        <f t="shared" si="4"/>
        <v>0.23684902499999999</v>
      </c>
      <c r="O75" s="58">
        <f t="shared" si="5"/>
        <v>0.47369804999999998</v>
      </c>
      <c r="P75" s="56">
        <f t="shared" si="6"/>
        <v>4.7369805000000001E-2</v>
      </c>
      <c r="Q75" s="57">
        <f>AVERAGE(P75:P77)</f>
        <v>-9.2551491666666652E-2</v>
      </c>
      <c r="R75" s="56">
        <f>STDEV(P75:P77)</f>
        <v>0.12133439391362462</v>
      </c>
      <c r="S75" s="58">
        <f>R75/Q75*100</f>
        <v>-131.09933911235319</v>
      </c>
      <c r="T75" s="56"/>
    </row>
    <row r="76" spans="4:20" ht="14.45" customHeight="1" x14ac:dyDescent="0.25">
      <c r="D76" s="77"/>
      <c r="E76" s="17" t="s">
        <v>100</v>
      </c>
      <c r="F76" s="17">
        <f t="shared" ref="F76" si="39">F75</f>
        <v>10</v>
      </c>
      <c r="G76" s="57">
        <v>4.19E-2</v>
      </c>
      <c r="H76" s="58">
        <v>3.8699999999999998E-2</v>
      </c>
      <c r="I76" s="56"/>
      <c r="J76" s="57">
        <f t="shared" si="27"/>
        <v>-1.483333333333333E-2</v>
      </c>
      <c r="K76" s="58">
        <f t="shared" si="28"/>
        <v>-1.1783333333333333E-2</v>
      </c>
      <c r="L76" s="56"/>
      <c r="M76" s="62">
        <f t="shared" si="3"/>
        <v>-1.1887499999999997E-2</v>
      </c>
      <c r="N76" s="56">
        <f t="shared" si="4"/>
        <v>-0.84360832499999971</v>
      </c>
      <c r="O76" s="58">
        <f t="shared" si="5"/>
        <v>-1.6872166499999994</v>
      </c>
      <c r="P76" s="56">
        <f t="shared" si="6"/>
        <v>-0.16872166499999994</v>
      </c>
      <c r="Q76" s="57"/>
      <c r="R76" s="56"/>
      <c r="S76" s="58"/>
      <c r="T76" s="56"/>
    </row>
    <row r="77" spans="4:20" ht="14.45" customHeight="1" x14ac:dyDescent="0.25">
      <c r="D77" s="78"/>
      <c r="E77" s="22" t="s">
        <v>101</v>
      </c>
      <c r="F77" s="22">
        <f t="shared" ref="F77" si="40">F75</f>
        <v>10</v>
      </c>
      <c r="G77" s="65">
        <v>4.2999999999999997E-2</v>
      </c>
      <c r="H77" s="66">
        <v>3.9600000000000003E-2</v>
      </c>
      <c r="I77" s="56"/>
      <c r="J77" s="57">
        <f t="shared" si="27"/>
        <v>-1.3733333333333334E-2</v>
      </c>
      <c r="K77" s="58">
        <f t="shared" si="28"/>
        <v>-1.0883333333333328E-2</v>
      </c>
      <c r="L77" s="56"/>
      <c r="M77" s="62">
        <f t="shared" si="3"/>
        <v>-1.1012500000000001E-2</v>
      </c>
      <c r="N77" s="56">
        <f t="shared" si="4"/>
        <v>-0.781513075</v>
      </c>
      <c r="O77" s="58">
        <f t="shared" si="5"/>
        <v>-1.56302615</v>
      </c>
      <c r="P77" s="56">
        <f t="shared" si="6"/>
        <v>-0.15630261500000001</v>
      </c>
      <c r="Q77" s="57"/>
      <c r="R77" s="56"/>
      <c r="S77" s="58"/>
      <c r="T77" s="56"/>
    </row>
    <row r="78" spans="4:20" ht="14.45" customHeight="1" x14ac:dyDescent="0.25">
      <c r="D78" s="76">
        <f>A44</f>
        <v>18</v>
      </c>
      <c r="E78" s="12" t="s">
        <v>102</v>
      </c>
      <c r="F78" s="12">
        <f>B44</f>
        <v>10</v>
      </c>
      <c r="G78" s="54">
        <v>9.1399999999999995E-2</v>
      </c>
      <c r="H78" s="55">
        <v>8.4099999999999994E-2</v>
      </c>
      <c r="I78" s="56"/>
      <c r="J78" s="57">
        <f t="shared" si="27"/>
        <v>3.4666666666666665E-2</v>
      </c>
      <c r="K78" s="58">
        <f t="shared" si="28"/>
        <v>3.3616666666666663E-2</v>
      </c>
      <c r="L78" s="56"/>
      <c r="M78" s="62">
        <f t="shared" si="3"/>
        <v>2.6262500000000001E-2</v>
      </c>
      <c r="N78" s="56">
        <f t="shared" si="4"/>
        <v>1.8637445749999999</v>
      </c>
      <c r="O78" s="58">
        <f t="shared" si="5"/>
        <v>3.7274891499999998</v>
      </c>
      <c r="P78" s="56">
        <f t="shared" si="6"/>
        <v>0.37274891499999996</v>
      </c>
      <c r="Q78" s="57">
        <f>AVERAGE(P78:P80)</f>
        <v>-7.8653983333333097E-3</v>
      </c>
      <c r="R78" s="56">
        <f>STDEV(P78:P80)</f>
        <v>0.32986908561717027</v>
      </c>
      <c r="S78" s="58">
        <f>R78/Q78*100</f>
        <v>-4193.9272702718117</v>
      </c>
      <c r="T78" s="56"/>
    </row>
    <row r="79" spans="4:20" ht="14.45" customHeight="1" x14ac:dyDescent="0.25">
      <c r="D79" s="77"/>
      <c r="E79" s="17" t="s">
        <v>103</v>
      </c>
      <c r="F79" s="17">
        <f t="shared" ref="F79" si="41">F78</f>
        <v>10</v>
      </c>
      <c r="G79" s="57">
        <v>4.07E-2</v>
      </c>
      <c r="H79" s="58">
        <v>3.8600000000000002E-2</v>
      </c>
      <c r="I79" s="56"/>
      <c r="J79" s="57">
        <f t="shared" si="27"/>
        <v>-1.603333333333333E-2</v>
      </c>
      <c r="K79" s="58">
        <f t="shared" si="28"/>
        <v>-1.1883333333333329E-2</v>
      </c>
      <c r="L79" s="56"/>
      <c r="M79" s="62">
        <f t="shared" si="3"/>
        <v>-1.3062499999999998E-2</v>
      </c>
      <c r="N79" s="56">
        <f t="shared" si="4"/>
        <v>-0.92699337499999979</v>
      </c>
      <c r="O79" s="58">
        <f t="shared" si="5"/>
        <v>-1.8539867499999996</v>
      </c>
      <c r="P79" s="56">
        <f t="shared" si="6"/>
        <v>-0.18539867499999996</v>
      </c>
      <c r="Q79" s="57"/>
      <c r="R79" s="56"/>
      <c r="S79" s="58"/>
      <c r="T79" s="56"/>
    </row>
    <row r="80" spans="4:20" ht="14.45" customHeight="1" x14ac:dyDescent="0.25">
      <c r="D80" s="78"/>
      <c r="E80" s="22" t="s">
        <v>104</v>
      </c>
      <c r="F80" s="22">
        <f t="shared" ref="F80" si="42">F78</f>
        <v>10</v>
      </c>
      <c r="G80" s="65">
        <v>3.85E-2</v>
      </c>
      <c r="H80" s="66">
        <v>3.6999999999999998E-2</v>
      </c>
      <c r="I80" s="56"/>
      <c r="J80" s="57">
        <f t="shared" si="27"/>
        <v>-1.8233333333333331E-2</v>
      </c>
      <c r="K80" s="58">
        <f t="shared" si="28"/>
        <v>-1.3483333333333333E-2</v>
      </c>
      <c r="L80" s="56"/>
      <c r="M80" s="62">
        <f t="shared" si="3"/>
        <v>-1.4862499999999997E-2</v>
      </c>
      <c r="N80" s="56">
        <f t="shared" si="4"/>
        <v>-1.0547321749999996</v>
      </c>
      <c r="O80" s="58">
        <f t="shared" si="5"/>
        <v>-2.1094643499999992</v>
      </c>
      <c r="P80" s="56">
        <f t="shared" si="6"/>
        <v>-0.21094643499999993</v>
      </c>
      <c r="Q80" s="57"/>
      <c r="R80" s="56"/>
      <c r="S80" s="58"/>
      <c r="T80" s="56"/>
    </row>
    <row r="81" spans="4:20" ht="14.45" customHeight="1" x14ac:dyDescent="0.25">
      <c r="D81" s="76">
        <f>A45</f>
        <v>19</v>
      </c>
      <c r="E81" s="12" t="s">
        <v>105</v>
      </c>
      <c r="F81" s="12">
        <f>B45</f>
        <v>10</v>
      </c>
      <c r="G81" s="54">
        <v>4.02E-2</v>
      </c>
      <c r="H81" s="55">
        <v>3.8300000000000001E-2</v>
      </c>
      <c r="I81" s="56"/>
      <c r="J81" s="57">
        <f t="shared" si="27"/>
        <v>-1.653333333333333E-2</v>
      </c>
      <c r="K81" s="58">
        <f t="shared" si="28"/>
        <v>-1.2183333333333331E-2</v>
      </c>
      <c r="L81" s="56"/>
      <c r="M81" s="62">
        <f t="shared" si="3"/>
        <v>-1.3487499999999998E-2</v>
      </c>
      <c r="N81" s="56">
        <f t="shared" si="4"/>
        <v>-0.95715392499999974</v>
      </c>
      <c r="O81" s="58">
        <f t="shared" si="5"/>
        <v>-1.9143078499999995</v>
      </c>
      <c r="P81" s="56">
        <f t="shared" si="6"/>
        <v>-0.19143078499999994</v>
      </c>
      <c r="Q81" s="57">
        <f>AVERAGE(P81:P83)</f>
        <v>-0.1923769983333333</v>
      </c>
      <c r="R81" s="56">
        <f>STDEV(P81:P83)</f>
        <v>3.9882218532866446E-3</v>
      </c>
      <c r="S81" s="58">
        <f>R81/Q81*100</f>
        <v>-2.0731282262634219</v>
      </c>
      <c r="T81" s="56"/>
    </row>
    <row r="82" spans="4:20" ht="14.45" customHeight="1" x14ac:dyDescent="0.25">
      <c r="D82" s="77"/>
      <c r="E82" s="17" t="s">
        <v>106</v>
      </c>
      <c r="F82" s="17">
        <f t="shared" ref="F82" si="43">F81</f>
        <v>10</v>
      </c>
      <c r="G82" s="57">
        <v>3.9600000000000003E-2</v>
      </c>
      <c r="H82" s="58">
        <v>3.7400000000000003E-2</v>
      </c>
      <c r="I82" s="56"/>
      <c r="J82" s="57">
        <f t="shared" si="27"/>
        <v>-1.7133333333333327E-2</v>
      </c>
      <c r="K82" s="58">
        <f t="shared" si="28"/>
        <v>-1.3083333333333329E-2</v>
      </c>
      <c r="L82" s="56"/>
      <c r="M82" s="62">
        <f t="shared" si="3"/>
        <v>-1.3862499999999995E-2</v>
      </c>
      <c r="N82" s="56">
        <f t="shared" si="4"/>
        <v>-0.98376617499999952</v>
      </c>
      <c r="O82" s="58">
        <f t="shared" si="5"/>
        <v>-1.967532349999999</v>
      </c>
      <c r="P82" s="56">
        <f t="shared" si="6"/>
        <v>-0.19675323499999992</v>
      </c>
      <c r="Q82" s="57"/>
      <c r="R82" s="56"/>
      <c r="S82" s="58"/>
      <c r="T82" s="56"/>
    </row>
    <row r="83" spans="4:20" ht="14.45" customHeight="1" x14ac:dyDescent="0.25">
      <c r="D83" s="78"/>
      <c r="E83" s="22" t="s">
        <v>107</v>
      </c>
      <c r="F83" s="22">
        <f t="shared" ref="F83" si="44">F81</f>
        <v>10</v>
      </c>
      <c r="G83" s="65">
        <v>4.02E-2</v>
      </c>
      <c r="H83" s="66">
        <v>3.7600000000000001E-2</v>
      </c>
      <c r="I83" s="56"/>
      <c r="J83" s="57">
        <f t="shared" si="27"/>
        <v>-1.653333333333333E-2</v>
      </c>
      <c r="K83" s="58">
        <f t="shared" si="28"/>
        <v>-1.288333333333333E-2</v>
      </c>
      <c r="L83" s="56"/>
      <c r="M83" s="62">
        <f t="shared" si="3"/>
        <v>-1.3312499999999998E-2</v>
      </c>
      <c r="N83" s="56">
        <f t="shared" si="4"/>
        <v>-0.94473487499999975</v>
      </c>
      <c r="O83" s="58">
        <f t="shared" si="5"/>
        <v>-1.8894697499999995</v>
      </c>
      <c r="P83" s="56">
        <f t="shared" si="6"/>
        <v>-0.18894697499999996</v>
      </c>
      <c r="Q83" s="57"/>
      <c r="R83" s="56"/>
      <c r="S83" s="58"/>
      <c r="T83" s="56"/>
    </row>
    <row r="84" spans="4:20" ht="14.45" customHeight="1" x14ac:dyDescent="0.25">
      <c r="D84" s="76">
        <f>A46</f>
        <v>20</v>
      </c>
      <c r="E84" s="12" t="s">
        <v>108</v>
      </c>
      <c r="F84" s="12">
        <f>B46</f>
        <v>10</v>
      </c>
      <c r="G84" s="54">
        <v>4.5499999999999999E-2</v>
      </c>
      <c r="H84" s="55">
        <v>4.1200000000000001E-2</v>
      </c>
      <c r="I84" s="56"/>
      <c r="J84" s="57">
        <f t="shared" si="27"/>
        <v>-1.1233333333333331E-2</v>
      </c>
      <c r="K84" s="58">
        <f t="shared" si="28"/>
        <v>-9.2833333333333309E-3</v>
      </c>
      <c r="L84" s="56"/>
      <c r="M84" s="62">
        <f t="shared" si="3"/>
        <v>-8.9124999999999985E-3</v>
      </c>
      <c r="N84" s="56">
        <f t="shared" si="4"/>
        <v>-0.63248447499999982</v>
      </c>
      <c r="O84" s="58">
        <f t="shared" si="5"/>
        <v>-1.2649689499999996</v>
      </c>
      <c r="P84" s="56">
        <f t="shared" si="6"/>
        <v>-0.12649689499999997</v>
      </c>
      <c r="Q84" s="57">
        <f>AVERAGE(P84:P86)</f>
        <v>-0.12353997833333329</v>
      </c>
      <c r="R84" s="56">
        <f>STDEV(P84:P86)</f>
        <v>2.2324231272226054E-2</v>
      </c>
      <c r="S84" s="58">
        <f>R84/Q84*100</f>
        <v>-18.070451017881211</v>
      </c>
      <c r="T84" s="56"/>
    </row>
    <row r="85" spans="4:20" ht="14.45" customHeight="1" x14ac:dyDescent="0.25">
      <c r="D85" s="77"/>
      <c r="E85" s="17" t="s">
        <v>109</v>
      </c>
      <c r="F85" s="17">
        <f t="shared" ref="F85" si="45">F84</f>
        <v>10</v>
      </c>
      <c r="G85" s="57">
        <v>4.7800000000000002E-2</v>
      </c>
      <c r="H85" s="58">
        <v>4.2900000000000001E-2</v>
      </c>
      <c r="I85" s="56"/>
      <c r="J85" s="57">
        <f t="shared" si="27"/>
        <v>-8.9333333333333279E-3</v>
      </c>
      <c r="K85" s="58">
        <f t="shared" si="28"/>
        <v>-7.5833333333333308E-3</v>
      </c>
      <c r="L85" s="56"/>
      <c r="M85" s="62">
        <f t="shared" si="3"/>
        <v>-7.0374999999999951E-3</v>
      </c>
      <c r="N85" s="56">
        <f t="shared" si="4"/>
        <v>-0.49942322499999964</v>
      </c>
      <c r="O85" s="58">
        <f t="shared" si="5"/>
        <v>-0.99884644999999928</v>
      </c>
      <c r="P85" s="56">
        <f t="shared" si="6"/>
        <v>-9.9884644999999925E-2</v>
      </c>
      <c r="Q85" s="57"/>
      <c r="R85" s="56"/>
      <c r="S85" s="58"/>
      <c r="T85" s="56"/>
    </row>
    <row r="86" spans="4:20" ht="14.45" customHeight="1" x14ac:dyDescent="0.25">
      <c r="D86" s="78"/>
      <c r="E86" s="22" t="s">
        <v>110</v>
      </c>
      <c r="F86" s="22">
        <f t="shared" ref="F86" si="46">F84</f>
        <v>10</v>
      </c>
      <c r="G86" s="65">
        <v>4.3799999999999999E-2</v>
      </c>
      <c r="H86" s="66">
        <v>3.9399999999999998E-2</v>
      </c>
      <c r="I86" s="56"/>
      <c r="J86" s="57">
        <f t="shared" si="27"/>
        <v>-1.2933333333333331E-2</v>
      </c>
      <c r="K86" s="58">
        <f t="shared" si="28"/>
        <v>-1.1083333333333334E-2</v>
      </c>
      <c r="L86" s="56"/>
      <c r="M86" s="62">
        <f t="shared" si="3"/>
        <v>-1.0162499999999998E-2</v>
      </c>
      <c r="N86" s="56">
        <f t="shared" si="4"/>
        <v>-0.72119197499999976</v>
      </c>
      <c r="O86" s="58">
        <f t="shared" si="5"/>
        <v>-1.4423839499999995</v>
      </c>
      <c r="P86" s="56">
        <f t="shared" si="6"/>
        <v>-0.14423839499999996</v>
      </c>
      <c r="Q86" s="57"/>
      <c r="R86" s="56"/>
      <c r="S86" s="58"/>
      <c r="T86" s="56"/>
    </row>
    <row r="87" spans="4:20" ht="14.45" customHeight="1" x14ac:dyDescent="0.25">
      <c r="D87" s="76">
        <f>A47</f>
        <v>21</v>
      </c>
      <c r="E87" s="12" t="s">
        <v>111</v>
      </c>
      <c r="F87" s="12">
        <f>B47</f>
        <v>10</v>
      </c>
      <c r="G87" s="54">
        <v>4.0599999999999997E-2</v>
      </c>
      <c r="H87" s="55">
        <v>3.7900000000000003E-2</v>
      </c>
      <c r="I87" s="56"/>
      <c r="J87" s="57">
        <f t="shared" si="27"/>
        <v>-1.6133333333333333E-2</v>
      </c>
      <c r="K87" s="58">
        <f t="shared" si="28"/>
        <v>-1.2583333333333328E-2</v>
      </c>
      <c r="L87" s="56"/>
      <c r="M87" s="62">
        <f t="shared" si="3"/>
        <v>-1.2987500000000001E-2</v>
      </c>
      <c r="N87" s="56">
        <f t="shared" si="4"/>
        <v>-0.92167092500000003</v>
      </c>
      <c r="O87" s="58">
        <f t="shared" si="5"/>
        <v>-1.8433418500000001</v>
      </c>
      <c r="P87" s="56">
        <f t="shared" si="6"/>
        <v>-0.18433418500000001</v>
      </c>
      <c r="Q87" s="57">
        <f>AVERAGE(P87:P89)</f>
        <v>-0.17806552166666667</v>
      </c>
      <c r="R87" s="56">
        <f>STDEV(P87:P89)</f>
        <v>1.8383938285286762E-2</v>
      </c>
      <c r="S87" s="58">
        <f>R87/Q87*100</f>
        <v>-10.324254865970598</v>
      </c>
      <c r="T87" s="56"/>
    </row>
    <row r="88" spans="4:20" ht="14.45" customHeight="1" x14ac:dyDescent="0.25">
      <c r="D88" s="77"/>
      <c r="E88" s="17" t="s">
        <v>112</v>
      </c>
      <c r="F88" s="17">
        <f t="shared" ref="F88:F97" si="47">F87</f>
        <v>10</v>
      </c>
      <c r="G88" s="57">
        <v>4.2999999999999997E-2</v>
      </c>
      <c r="H88" s="58">
        <v>3.9899999999999998E-2</v>
      </c>
      <c r="I88" s="56"/>
      <c r="J88" s="57">
        <f t="shared" si="27"/>
        <v>-1.3733333333333334E-2</v>
      </c>
      <c r="K88" s="58">
        <f t="shared" si="28"/>
        <v>-1.0583333333333333E-2</v>
      </c>
      <c r="L88" s="56"/>
      <c r="M88" s="62">
        <f t="shared" si="3"/>
        <v>-1.10875E-2</v>
      </c>
      <c r="N88" s="56">
        <f t="shared" si="4"/>
        <v>-0.78683552499999998</v>
      </c>
      <c r="O88" s="58">
        <f t="shared" si="5"/>
        <v>-1.57367105</v>
      </c>
      <c r="P88" s="56">
        <f t="shared" si="6"/>
        <v>-0.15736710500000001</v>
      </c>
      <c r="Q88" s="57"/>
      <c r="R88" s="56"/>
      <c r="S88" s="58"/>
      <c r="T88" s="56"/>
    </row>
    <row r="89" spans="4:20" ht="14.45" customHeight="1" x14ac:dyDescent="0.25">
      <c r="D89" s="78"/>
      <c r="E89" s="22" t="s">
        <v>113</v>
      </c>
      <c r="F89" s="22">
        <f t="shared" ref="F89:F98" si="48">F87</f>
        <v>10</v>
      </c>
      <c r="G89" s="65">
        <v>0.04</v>
      </c>
      <c r="H89" s="66">
        <v>3.78E-2</v>
      </c>
      <c r="I89" s="56"/>
      <c r="J89" s="57">
        <f t="shared" si="27"/>
        <v>-1.6733333333333329E-2</v>
      </c>
      <c r="K89" s="58">
        <f t="shared" si="28"/>
        <v>-1.2683333333333331E-2</v>
      </c>
      <c r="L89" s="56"/>
      <c r="M89" s="62">
        <f t="shared" si="3"/>
        <v>-1.3562499999999996E-2</v>
      </c>
      <c r="N89" s="56">
        <f t="shared" si="4"/>
        <v>-0.96247637499999972</v>
      </c>
      <c r="O89" s="58">
        <f t="shared" si="5"/>
        <v>-1.9249527499999994</v>
      </c>
      <c r="P89" s="56">
        <f t="shared" si="6"/>
        <v>-0.19249527499999994</v>
      </c>
      <c r="Q89" s="57"/>
      <c r="R89" s="56"/>
      <c r="S89" s="58"/>
      <c r="T89" s="56"/>
    </row>
    <row r="90" spans="4:20" ht="14.45" customHeight="1" x14ac:dyDescent="0.25">
      <c r="D90" s="76">
        <f>A48</f>
        <v>22</v>
      </c>
      <c r="E90" s="12" t="s">
        <v>114</v>
      </c>
      <c r="F90" s="12">
        <f>B48</f>
        <v>10</v>
      </c>
      <c r="G90" s="54">
        <v>0.26119999999999999</v>
      </c>
      <c r="H90" s="55">
        <v>8.1000000000000003E-2</v>
      </c>
      <c r="I90" s="56"/>
      <c r="J90" s="57">
        <f t="shared" si="27"/>
        <v>0.20446666666666666</v>
      </c>
      <c r="K90" s="58">
        <f t="shared" si="28"/>
        <v>3.0516666666666671E-2</v>
      </c>
      <c r="L90" s="56"/>
      <c r="M90" s="62">
        <f t="shared" si="3"/>
        <v>0.1968375</v>
      </c>
      <c r="N90" s="56">
        <f t="shared" si="4"/>
        <v>13.968770025</v>
      </c>
      <c r="O90" s="58">
        <f t="shared" si="5"/>
        <v>27.937540049999999</v>
      </c>
      <c r="P90" s="56">
        <f t="shared" si="6"/>
        <v>2.7937540049999998</v>
      </c>
      <c r="Q90" s="57">
        <f>AVERAGE(P90:P92)</f>
        <v>0.79724387166666666</v>
      </c>
      <c r="R90" s="56">
        <f>STDEV(P90:P92)</f>
        <v>1.7290416379716671</v>
      </c>
      <c r="S90" s="58">
        <f>R90/Q90*100</f>
        <v>216.87738211860369</v>
      </c>
      <c r="T90" s="56"/>
    </row>
    <row r="91" spans="4:20" ht="14.45" customHeight="1" x14ac:dyDescent="0.25">
      <c r="D91" s="77"/>
      <c r="E91" s="17" t="s">
        <v>115</v>
      </c>
      <c r="F91" s="17">
        <f t="shared" si="47"/>
        <v>10</v>
      </c>
      <c r="G91" s="57">
        <v>4.0099999999999997E-2</v>
      </c>
      <c r="H91" s="58">
        <v>3.8699999999999998E-2</v>
      </c>
      <c r="I91" s="56"/>
      <c r="J91" s="57">
        <f t="shared" ref="J91:J98" si="49">G91-$J$14</f>
        <v>-1.6633333333333333E-2</v>
      </c>
      <c r="K91" s="58">
        <f t="shared" ref="K91:K98" si="50">H91-$K$14</f>
        <v>-1.1783333333333333E-2</v>
      </c>
      <c r="L91" s="56"/>
      <c r="M91" s="62">
        <f t="shared" si="3"/>
        <v>-1.36875E-2</v>
      </c>
      <c r="N91" s="56">
        <f t="shared" si="4"/>
        <v>-0.97134712499999987</v>
      </c>
      <c r="O91" s="58">
        <f t="shared" si="5"/>
        <v>-1.9426942499999997</v>
      </c>
      <c r="P91" s="56">
        <f t="shared" si="6"/>
        <v>-0.19426942499999997</v>
      </c>
      <c r="Q91" s="57"/>
      <c r="R91" s="56"/>
      <c r="S91" s="58"/>
      <c r="T91" s="56"/>
    </row>
    <row r="92" spans="4:20" ht="14.45" customHeight="1" x14ac:dyDescent="0.25">
      <c r="D92" s="78"/>
      <c r="E92" s="22" t="s">
        <v>116</v>
      </c>
      <c r="F92" s="22">
        <f t="shared" si="48"/>
        <v>10</v>
      </c>
      <c r="G92" s="65">
        <v>3.9199999999999999E-2</v>
      </c>
      <c r="H92" s="66">
        <v>3.8899999999999997E-2</v>
      </c>
      <c r="I92" s="56"/>
      <c r="J92" s="57">
        <f t="shared" si="49"/>
        <v>-1.7533333333333331E-2</v>
      </c>
      <c r="K92" s="58">
        <f t="shared" si="50"/>
        <v>-1.1583333333333334E-2</v>
      </c>
      <c r="L92" s="56"/>
      <c r="M92" s="62">
        <f t="shared" ref="M92:M98" si="51">J92-(0.25*K92)</f>
        <v>-1.4637499999999998E-2</v>
      </c>
      <c r="N92" s="56">
        <f t="shared" ref="N92:N98" si="52">M92*70.966</f>
        <v>-1.0387648249999997</v>
      </c>
      <c r="O92" s="58">
        <f t="shared" ref="O92:O98" si="53">N92*2</f>
        <v>-2.0775296499999993</v>
      </c>
      <c r="P92" s="56">
        <f t="shared" ref="P92:P98" si="54">O92/F92</f>
        <v>-0.20775296499999993</v>
      </c>
      <c r="Q92" s="57"/>
      <c r="R92" s="56"/>
      <c r="S92" s="58"/>
      <c r="T92" s="56"/>
    </row>
    <row r="93" spans="4:20" ht="14.45" customHeight="1" x14ac:dyDescent="0.25">
      <c r="D93" s="76">
        <f>A49</f>
        <v>23</v>
      </c>
      <c r="E93" s="12" t="s">
        <v>117</v>
      </c>
      <c r="F93" s="12">
        <f>B49</f>
        <v>10</v>
      </c>
      <c r="G93" s="54">
        <v>3.8199999999999998E-2</v>
      </c>
      <c r="H93" s="55">
        <v>4.0899999999999999E-2</v>
      </c>
      <c r="I93" s="56"/>
      <c r="J93" s="57">
        <f t="shared" si="49"/>
        <v>-1.8533333333333332E-2</v>
      </c>
      <c r="K93" s="58">
        <f t="shared" si="50"/>
        <v>-9.5833333333333326E-3</v>
      </c>
      <c r="L93" s="56"/>
      <c r="M93" s="62">
        <f t="shared" si="51"/>
        <v>-1.6137499999999999E-2</v>
      </c>
      <c r="N93" s="56">
        <f t="shared" si="52"/>
        <v>-1.1452138249999999</v>
      </c>
      <c r="O93" s="58">
        <f t="shared" si="53"/>
        <v>-2.2904276499999998</v>
      </c>
      <c r="P93" s="56">
        <f t="shared" si="54"/>
        <v>-0.22904276499999998</v>
      </c>
      <c r="Q93" s="57">
        <f>AVERAGE(P93:P95)</f>
        <v>-0.18705454833333332</v>
      </c>
      <c r="R93" s="56">
        <f>STDEV(P93:P95)</f>
        <v>3.6831171684840736E-2</v>
      </c>
      <c r="S93" s="58">
        <f>R93/Q93*100</f>
        <v>-19.690070096134296</v>
      </c>
      <c r="T93" s="56"/>
    </row>
    <row r="94" spans="4:20" ht="14.45" customHeight="1" x14ac:dyDescent="0.25">
      <c r="D94" s="77"/>
      <c r="E94" s="17" t="s">
        <v>118</v>
      </c>
      <c r="F94" s="17">
        <f t="shared" si="47"/>
        <v>10</v>
      </c>
      <c r="G94" s="57">
        <v>4.3200000000000002E-2</v>
      </c>
      <c r="H94" s="58">
        <v>4.1500000000000002E-2</v>
      </c>
      <c r="I94" s="56"/>
      <c r="J94" s="57">
        <f t="shared" si="49"/>
        <v>-1.3533333333333328E-2</v>
      </c>
      <c r="K94" s="58">
        <f t="shared" si="50"/>
        <v>-8.9833333333333293E-3</v>
      </c>
      <c r="L94" s="56"/>
      <c r="M94" s="62">
        <f t="shared" si="51"/>
        <v>-1.1287499999999995E-2</v>
      </c>
      <c r="N94" s="56">
        <f t="shared" si="52"/>
        <v>-0.80102872499999966</v>
      </c>
      <c r="O94" s="58">
        <f t="shared" si="53"/>
        <v>-1.6020574499999993</v>
      </c>
      <c r="P94" s="56">
        <f t="shared" si="54"/>
        <v>-0.16020574499999993</v>
      </c>
      <c r="Q94" s="57"/>
      <c r="R94" s="56"/>
      <c r="S94" s="58"/>
      <c r="T94" s="56"/>
    </row>
    <row r="95" spans="4:20" ht="14.45" customHeight="1" x14ac:dyDescent="0.25">
      <c r="D95" s="78"/>
      <c r="E95" s="22" t="s">
        <v>119</v>
      </c>
      <c r="F95" s="22">
        <f t="shared" si="48"/>
        <v>10</v>
      </c>
      <c r="G95" s="65">
        <v>4.2200000000000001E-2</v>
      </c>
      <c r="H95" s="66">
        <v>4.0800000000000003E-2</v>
      </c>
      <c r="I95" s="56"/>
      <c r="J95" s="57">
        <f t="shared" si="49"/>
        <v>-1.4533333333333329E-2</v>
      </c>
      <c r="K95" s="58">
        <f t="shared" si="50"/>
        <v>-9.6833333333333285E-3</v>
      </c>
      <c r="L95" s="56"/>
      <c r="M95" s="62">
        <f t="shared" si="51"/>
        <v>-1.2112499999999997E-2</v>
      </c>
      <c r="N95" s="56">
        <f t="shared" si="52"/>
        <v>-0.85957567499999965</v>
      </c>
      <c r="O95" s="58">
        <f t="shared" si="53"/>
        <v>-1.7191513499999993</v>
      </c>
      <c r="P95" s="56">
        <f t="shared" si="54"/>
        <v>-0.17191513499999994</v>
      </c>
      <c r="Q95" s="57"/>
      <c r="R95" s="56"/>
      <c r="S95" s="58"/>
      <c r="T95" s="56"/>
    </row>
    <row r="96" spans="4:20" ht="14.45" customHeight="1" x14ac:dyDescent="0.25">
      <c r="D96" s="76">
        <f>A50</f>
        <v>24</v>
      </c>
      <c r="E96" s="12" t="s">
        <v>120</v>
      </c>
      <c r="F96" s="12">
        <f>B50</f>
        <v>10</v>
      </c>
      <c r="G96" s="54">
        <v>4.2900000000000001E-2</v>
      </c>
      <c r="H96" s="55">
        <v>3.7999999999999999E-2</v>
      </c>
      <c r="I96" s="56"/>
      <c r="J96" s="57">
        <f t="shared" si="49"/>
        <v>-1.3833333333333329E-2</v>
      </c>
      <c r="K96" s="58">
        <f t="shared" si="50"/>
        <v>-1.2483333333333332E-2</v>
      </c>
      <c r="L96" s="56"/>
      <c r="M96" s="62">
        <f t="shared" si="51"/>
        <v>-1.0712499999999996E-2</v>
      </c>
      <c r="N96" s="56">
        <f t="shared" si="52"/>
        <v>-0.76022327499999964</v>
      </c>
      <c r="O96" s="58">
        <f t="shared" si="53"/>
        <v>-1.5204465499999993</v>
      </c>
      <c r="P96" s="56">
        <f t="shared" si="54"/>
        <v>-0.15204465499999992</v>
      </c>
      <c r="Q96" s="57">
        <f>AVERAGE(P96:P98)</f>
        <v>-0.13749662499999993</v>
      </c>
      <c r="R96" s="56">
        <f>STDEV(P96:P98)</f>
        <v>1.2699741939145843E-2</v>
      </c>
      <c r="S96" s="58">
        <f>R96/Q96*100</f>
        <v>-9.2364026674442741</v>
      </c>
      <c r="T96" s="56"/>
    </row>
    <row r="97" spans="4:20" ht="14.45" customHeight="1" x14ac:dyDescent="0.25">
      <c r="D97" s="77"/>
      <c r="E97" s="17" t="s">
        <v>121</v>
      </c>
      <c r="F97" s="17">
        <f t="shared" si="47"/>
        <v>10</v>
      </c>
      <c r="G97" s="57">
        <v>4.48E-2</v>
      </c>
      <c r="H97" s="58">
        <v>3.9899999999999998E-2</v>
      </c>
      <c r="I97" s="56"/>
      <c r="J97" s="57">
        <f t="shared" si="49"/>
        <v>-1.1933333333333331E-2</v>
      </c>
      <c r="K97" s="58">
        <f t="shared" si="50"/>
        <v>-1.0583333333333333E-2</v>
      </c>
      <c r="L97" s="56"/>
      <c r="M97" s="62">
        <f t="shared" si="51"/>
        <v>-9.2874999999999971E-3</v>
      </c>
      <c r="N97" s="56">
        <f t="shared" si="52"/>
        <v>-0.65909672499999972</v>
      </c>
      <c r="O97" s="58">
        <f t="shared" si="53"/>
        <v>-1.3181934499999994</v>
      </c>
      <c r="P97" s="56">
        <f t="shared" si="54"/>
        <v>-0.13181934499999995</v>
      </c>
      <c r="Q97" s="57"/>
      <c r="R97" s="56"/>
      <c r="S97" s="58"/>
      <c r="T97" s="56"/>
    </row>
    <row r="98" spans="4:20" ht="14.45" customHeight="1" x14ac:dyDescent="0.25">
      <c r="D98" s="78"/>
      <c r="E98" s="22" t="s">
        <v>122</v>
      </c>
      <c r="F98" s="22">
        <f t="shared" si="48"/>
        <v>10</v>
      </c>
      <c r="G98" s="65">
        <v>4.4900000000000002E-2</v>
      </c>
      <c r="H98" s="66">
        <v>3.9399999999999998E-2</v>
      </c>
      <c r="I98" s="56"/>
      <c r="J98" s="65">
        <f t="shared" si="49"/>
        <v>-1.1833333333333328E-2</v>
      </c>
      <c r="K98" s="58">
        <f t="shared" si="50"/>
        <v>-1.1083333333333334E-2</v>
      </c>
      <c r="L98" s="56"/>
      <c r="M98" s="69">
        <f t="shared" si="51"/>
        <v>-9.0624999999999942E-3</v>
      </c>
      <c r="N98" s="56">
        <f t="shared" si="52"/>
        <v>-0.64312937499999956</v>
      </c>
      <c r="O98" s="58">
        <f t="shared" si="53"/>
        <v>-1.2862587499999991</v>
      </c>
      <c r="P98" s="70">
        <f t="shared" si="54"/>
        <v>-0.12862587499999992</v>
      </c>
      <c r="Q98" s="65"/>
      <c r="R98" s="70"/>
      <c r="S98" s="66"/>
      <c r="T98" s="56"/>
    </row>
    <row r="99" spans="4:20" x14ac:dyDescent="0.25">
      <c r="N99" s="35"/>
    </row>
  </sheetData>
  <mergeCells count="31">
    <mergeCell ref="D96:D98"/>
    <mergeCell ref="D78:D80"/>
    <mergeCell ref="D81:D83"/>
    <mergeCell ref="D84:D86"/>
    <mergeCell ref="D87:D89"/>
    <mergeCell ref="D90:D92"/>
    <mergeCell ref="D93:D95"/>
    <mergeCell ref="D75:D77"/>
    <mergeCell ref="D42:D44"/>
    <mergeCell ref="D45:D47"/>
    <mergeCell ref="D48:D50"/>
    <mergeCell ref="D51:D53"/>
    <mergeCell ref="D54:D56"/>
    <mergeCell ref="D57:D59"/>
    <mergeCell ref="D60:D62"/>
    <mergeCell ref="D63:D65"/>
    <mergeCell ref="D66:D68"/>
    <mergeCell ref="D69:D71"/>
    <mergeCell ref="D72:D74"/>
    <mergeCell ref="A25:B25"/>
    <mergeCell ref="D27:D29"/>
    <mergeCell ref="D30:D32"/>
    <mergeCell ref="D33:D35"/>
    <mergeCell ref="D36:D38"/>
    <mergeCell ref="D39:D41"/>
    <mergeCell ref="E1:G2"/>
    <mergeCell ref="F4:G4"/>
    <mergeCell ref="J4:K4"/>
    <mergeCell ref="P4:Q4"/>
    <mergeCell ref="P5:Q5"/>
    <mergeCell ref="I18:K18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563F2-CD93-4D59-A1F6-B928CD0ED5F7}">
  <dimension ref="A1:X99"/>
  <sheetViews>
    <sheetView topLeftCell="A16" zoomScale="90" zoomScaleNormal="90" workbookViewId="0">
      <selection activeCell="T27" sqref="T27:U50"/>
    </sheetView>
  </sheetViews>
  <sheetFormatPr defaultColWidth="8.85546875" defaultRowHeight="15" x14ac:dyDescent="0.25"/>
  <cols>
    <col min="1" max="1" width="10.5703125" bestFit="1" customWidth="1"/>
    <col min="2" max="2" width="9.140625" bestFit="1" customWidth="1"/>
    <col min="4" max="4" width="9.42578125" customWidth="1"/>
    <col min="5" max="5" width="10" customWidth="1"/>
    <col min="6" max="6" width="11.7109375" customWidth="1"/>
    <col min="7" max="7" width="12.5703125" customWidth="1"/>
    <col min="8" max="8" width="12.7109375" customWidth="1"/>
    <col min="10" max="11" width="9" customWidth="1"/>
    <col min="12" max="12" width="11.7109375" customWidth="1"/>
    <col min="13" max="13" width="9" customWidth="1"/>
    <col min="14" max="14" width="11.7109375" bestFit="1" customWidth="1"/>
    <col min="15" max="15" width="9" customWidth="1"/>
    <col min="16" max="16" width="9" bestFit="1" customWidth="1"/>
    <col min="17" max="17" width="10.85546875" customWidth="1"/>
    <col min="18" max="18" width="10.7109375" customWidth="1"/>
    <col min="19" max="19" width="9" bestFit="1" customWidth="1"/>
    <col min="20" max="20" width="9.5703125" bestFit="1" customWidth="1"/>
    <col min="21" max="21" width="9.5703125" customWidth="1"/>
  </cols>
  <sheetData>
    <row r="1" spans="1:17" x14ac:dyDescent="0.25">
      <c r="E1" s="79" t="s">
        <v>0</v>
      </c>
      <c r="F1" s="79"/>
      <c r="G1" s="79"/>
    </row>
    <row r="2" spans="1:17" x14ac:dyDescent="0.25">
      <c r="E2" s="79"/>
      <c r="F2" s="79"/>
      <c r="G2" s="79"/>
    </row>
    <row r="4" spans="1:17" ht="28.5" customHeight="1" x14ac:dyDescent="0.25">
      <c r="B4" t="s">
        <v>1</v>
      </c>
      <c r="E4" s="1"/>
      <c r="F4" s="80" t="s">
        <v>1</v>
      </c>
      <c r="G4" s="81"/>
      <c r="I4" s="1"/>
      <c r="J4" s="80" t="s">
        <v>1</v>
      </c>
      <c r="K4" s="81"/>
      <c r="L4" s="2"/>
      <c r="M4" s="71" t="s">
        <v>2</v>
      </c>
      <c r="N4" s="72"/>
      <c r="O4" s="2"/>
      <c r="P4" s="82" t="s">
        <v>3</v>
      </c>
      <c r="Q4" s="83"/>
    </row>
    <row r="5" spans="1:17" ht="17.25" customHeight="1" x14ac:dyDescent="0.25">
      <c r="A5" t="s">
        <v>4</v>
      </c>
      <c r="B5" t="s">
        <v>5</v>
      </c>
      <c r="C5" t="s">
        <v>6</v>
      </c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2" t="s">
        <v>1</v>
      </c>
      <c r="Q5" s="83"/>
    </row>
    <row r="6" spans="1:17" x14ac:dyDescent="0.25">
      <c r="A6" t="s">
        <v>125</v>
      </c>
      <c r="B6">
        <v>3.6999999999999998E-2</v>
      </c>
      <c r="C6">
        <v>3.7400000000000003E-2</v>
      </c>
      <c r="E6" s="11" t="s">
        <v>8</v>
      </c>
      <c r="F6">
        <v>3.85E-2</v>
      </c>
      <c r="G6">
        <v>3.7999999999999999E-2</v>
      </c>
      <c r="I6" s="13">
        <v>12.5</v>
      </c>
      <c r="J6" s="14">
        <f>AVERAGE(F9:F11, B9)</f>
        <v>0.28162500000000001</v>
      </c>
      <c r="K6" s="15">
        <f>AVERAGE(G9:G11, C9)</f>
        <v>3.6049999999999999E-2</v>
      </c>
      <c r="M6" s="14">
        <f>J6-$J$14</f>
        <v>0.24487500000000001</v>
      </c>
      <c r="N6" s="15">
        <f>K6-$K$14</f>
        <v>-3.3333333333333826E-4</v>
      </c>
      <c r="P6" s="1" t="s">
        <v>5</v>
      </c>
      <c r="Q6" s="7" t="s">
        <v>7</v>
      </c>
    </row>
    <row r="7" spans="1:17" x14ac:dyDescent="0.25">
      <c r="A7" t="s">
        <v>126</v>
      </c>
      <c r="B7">
        <v>3.56E-2</v>
      </c>
      <c r="C7">
        <v>3.5499999999999997E-2</v>
      </c>
      <c r="E7" s="16" t="s">
        <v>9</v>
      </c>
      <c r="F7">
        <v>3.6600000000000001E-2</v>
      </c>
      <c r="G7">
        <v>3.56E-2</v>
      </c>
      <c r="I7" s="18">
        <v>25</v>
      </c>
      <c r="J7" s="19">
        <f>AVERAGE(F12:F14)</f>
        <v>0.48126666666666668</v>
      </c>
      <c r="K7" s="20">
        <f>AVERAGE(G12:G14)</f>
        <v>3.7633333333333331E-2</v>
      </c>
      <c r="M7" s="19">
        <f>J7-$J$14</f>
        <v>0.44451666666666667</v>
      </c>
      <c r="N7" s="20">
        <f>K7-$K$14</f>
        <v>1.2499999999999942E-3</v>
      </c>
      <c r="P7" s="17">
        <f>M6</f>
        <v>0.24487500000000001</v>
      </c>
      <c r="Q7" s="12">
        <v>12.5</v>
      </c>
    </row>
    <row r="8" spans="1:17" x14ac:dyDescent="0.25">
      <c r="A8" t="s">
        <v>127</v>
      </c>
      <c r="B8">
        <v>3.7199999999999997E-2</v>
      </c>
      <c r="C8">
        <v>3.6799999999999999E-2</v>
      </c>
      <c r="E8" s="21" t="s">
        <v>10</v>
      </c>
      <c r="F8">
        <v>3.56E-2</v>
      </c>
      <c r="G8">
        <v>3.5000000000000003E-2</v>
      </c>
      <c r="I8" s="18">
        <v>50</v>
      </c>
      <c r="J8" s="19">
        <f>AVERAGE(F15:F17, B10)</f>
        <v>0.98767500000000008</v>
      </c>
      <c r="K8" s="20">
        <f>AVERAGE(G15:G17, C10)</f>
        <v>3.5750000000000004E-2</v>
      </c>
      <c r="M8" s="19">
        <f>J8-$J$14</f>
        <v>0.95092500000000013</v>
      </c>
      <c r="N8" s="20">
        <f>K8-$K$14</f>
        <v>-6.3333333333333297E-4</v>
      </c>
      <c r="P8" s="17">
        <f>M7</f>
        <v>0.44451666666666667</v>
      </c>
      <c r="Q8" s="17">
        <v>25</v>
      </c>
    </row>
    <row r="9" spans="1:17" x14ac:dyDescent="0.25">
      <c r="A9" t="s">
        <v>128</v>
      </c>
      <c r="B9">
        <v>0.30320000000000003</v>
      </c>
      <c r="C9">
        <v>3.5200000000000002E-2</v>
      </c>
      <c r="E9" s="11" t="s">
        <v>11</v>
      </c>
      <c r="F9">
        <v>0.23799999999999999</v>
      </c>
      <c r="G9">
        <v>3.6999999999999998E-2</v>
      </c>
      <c r="I9" s="18">
        <v>100</v>
      </c>
      <c r="J9" s="19">
        <f>AVERAGE(F18:F20, B11)</f>
        <v>1.8718250000000001</v>
      </c>
      <c r="K9" s="20">
        <f>AVERAGE(G18:G20, C11)</f>
        <v>3.4624999999999996E-2</v>
      </c>
      <c r="M9" s="19">
        <f>J9-$J$14</f>
        <v>1.835075</v>
      </c>
      <c r="N9" s="20">
        <f>K9-$K$14</f>
        <v>-1.7583333333333409E-3</v>
      </c>
      <c r="P9" s="17">
        <f>M8</f>
        <v>0.95092500000000013</v>
      </c>
      <c r="Q9" s="17">
        <v>50</v>
      </c>
    </row>
    <row r="10" spans="1:17" x14ac:dyDescent="0.25">
      <c r="A10" t="s">
        <v>129</v>
      </c>
      <c r="B10">
        <v>1.0354000000000001</v>
      </c>
      <c r="C10">
        <v>3.5400000000000001E-2</v>
      </c>
      <c r="E10" s="16" t="s">
        <v>12</v>
      </c>
      <c r="F10">
        <v>0.28470000000000001</v>
      </c>
      <c r="G10">
        <v>3.7100000000000001E-2</v>
      </c>
      <c r="I10" s="23">
        <v>250</v>
      </c>
      <c r="J10" s="24">
        <f>AVERAGE(F21:F23)</f>
        <v>3.8837999999999999</v>
      </c>
      <c r="K10" s="25">
        <f>AVERAGE(G21:G23)</f>
        <v>3.5500000000000004E-2</v>
      </c>
      <c r="M10" s="19">
        <f>J10-$J$14</f>
        <v>3.8470499999999999</v>
      </c>
      <c r="N10" s="20">
        <f>K10-$K$14</f>
        <v>-8.8333333333333319E-4</v>
      </c>
      <c r="P10" s="17">
        <f>M9</f>
        <v>1.835075</v>
      </c>
      <c r="Q10" s="17">
        <v>100</v>
      </c>
    </row>
    <row r="11" spans="1:17" x14ac:dyDescent="0.25">
      <c r="A11" t="s">
        <v>130</v>
      </c>
      <c r="B11">
        <v>1.9252</v>
      </c>
      <c r="C11">
        <v>3.5499999999999997E-2</v>
      </c>
      <c r="E11" s="21" t="s">
        <v>13</v>
      </c>
      <c r="F11">
        <v>0.30059999999999998</v>
      </c>
      <c r="G11">
        <v>3.49E-2</v>
      </c>
      <c r="I11" s="26" t="s">
        <v>14</v>
      </c>
      <c r="J11" s="13">
        <f t="shared" ref="J11:K13" si="0">F6</f>
        <v>3.85E-2</v>
      </c>
      <c r="K11" s="27">
        <f t="shared" si="0"/>
        <v>3.7999999999999999E-2</v>
      </c>
      <c r="M11" s="23"/>
      <c r="N11" s="28"/>
      <c r="P11" s="22">
        <f>M10</f>
        <v>3.8470499999999999</v>
      </c>
      <c r="Q11" s="22">
        <v>250</v>
      </c>
    </row>
    <row r="12" spans="1:17" x14ac:dyDescent="0.25">
      <c r="E12" s="11" t="s">
        <v>15</v>
      </c>
      <c r="F12">
        <v>0.47539999999999999</v>
      </c>
      <c r="G12">
        <v>3.7999999999999999E-2</v>
      </c>
      <c r="I12" s="29" t="s">
        <v>14</v>
      </c>
      <c r="J12" s="18">
        <f t="shared" si="0"/>
        <v>3.6600000000000001E-2</v>
      </c>
      <c r="K12" s="30">
        <f t="shared" si="0"/>
        <v>3.56E-2</v>
      </c>
    </row>
    <row r="13" spans="1:17" x14ac:dyDescent="0.25">
      <c r="E13" s="16" t="s">
        <v>16</v>
      </c>
      <c r="F13">
        <v>0.50570000000000004</v>
      </c>
      <c r="G13">
        <v>3.73E-2</v>
      </c>
      <c r="I13" s="31" t="s">
        <v>14</v>
      </c>
      <c r="J13" s="23">
        <f t="shared" si="0"/>
        <v>3.56E-2</v>
      </c>
      <c r="K13" s="28">
        <f t="shared" si="0"/>
        <v>3.5000000000000003E-2</v>
      </c>
    </row>
    <row r="14" spans="1:17" x14ac:dyDescent="0.25">
      <c r="E14" s="21" t="s">
        <v>17</v>
      </c>
      <c r="F14">
        <v>0.4627</v>
      </c>
      <c r="G14">
        <v>3.7600000000000001E-2</v>
      </c>
      <c r="I14" s="32" t="s">
        <v>18</v>
      </c>
      <c r="J14" s="33">
        <f>AVERAGE(J11:J13, B6:B8)</f>
        <v>3.6749999999999998E-2</v>
      </c>
      <c r="K14" s="34">
        <f>AVERAGE(K11:K13, C6:C8)</f>
        <v>3.6383333333333337E-2</v>
      </c>
    </row>
    <row r="15" spans="1:17" x14ac:dyDescent="0.25">
      <c r="E15" s="11" t="s">
        <v>19</v>
      </c>
      <c r="F15">
        <v>0.89790000000000003</v>
      </c>
      <c r="G15">
        <v>3.6700000000000003E-2</v>
      </c>
      <c r="M15" s="13" t="s">
        <v>20</v>
      </c>
      <c r="N15" s="35"/>
      <c r="O15" s="27"/>
    </row>
    <row r="16" spans="1:17" x14ac:dyDescent="0.25">
      <c r="E16" s="16" t="s">
        <v>21</v>
      </c>
      <c r="F16">
        <v>1.0004999999999999</v>
      </c>
      <c r="G16">
        <v>3.5799999999999998E-2</v>
      </c>
      <c r="M16" s="18" t="s">
        <v>22</v>
      </c>
      <c r="O16" s="30"/>
    </row>
    <row r="17" spans="1:24" x14ac:dyDescent="0.25">
      <c r="E17" s="21" t="s">
        <v>23</v>
      </c>
      <c r="F17">
        <v>1.0168999999999999</v>
      </c>
      <c r="G17">
        <v>3.5099999999999999E-2</v>
      </c>
      <c r="M17" s="23" t="s">
        <v>24</v>
      </c>
      <c r="N17" s="36"/>
      <c r="O17" s="28"/>
    </row>
    <row r="18" spans="1:24" x14ac:dyDescent="0.25">
      <c r="E18" s="11" t="s">
        <v>25</v>
      </c>
      <c r="F18">
        <v>1.7183999999999999</v>
      </c>
      <c r="G18">
        <v>3.4099999999999998E-2</v>
      </c>
      <c r="I18" s="82" t="s">
        <v>26</v>
      </c>
      <c r="J18" s="84"/>
      <c r="K18" s="83"/>
      <c r="W18" s="37"/>
      <c r="X18" s="37"/>
    </row>
    <row r="19" spans="1:24" ht="18" x14ac:dyDescent="0.25">
      <c r="E19" s="16" t="s">
        <v>27</v>
      </c>
      <c r="F19">
        <v>1.9503999999999999</v>
      </c>
      <c r="G19">
        <v>3.4599999999999999E-2</v>
      </c>
      <c r="I19" s="38" t="s">
        <v>28</v>
      </c>
      <c r="J19" s="36"/>
      <c r="K19" s="28"/>
    </row>
    <row r="20" spans="1:24" x14ac:dyDescent="0.25">
      <c r="E20" s="21" t="s">
        <v>29</v>
      </c>
      <c r="F20">
        <v>1.8933</v>
      </c>
      <c r="G20">
        <v>3.4299999999999997E-2</v>
      </c>
      <c r="U20" s="37"/>
      <c r="V20" s="37"/>
    </row>
    <row r="21" spans="1:24" x14ac:dyDescent="0.25">
      <c r="E21" s="11" t="s">
        <v>30</v>
      </c>
      <c r="F21">
        <v>3.8837999999999999</v>
      </c>
      <c r="G21">
        <v>3.5000000000000003E-2</v>
      </c>
      <c r="U21" s="37"/>
      <c r="V21" s="37"/>
    </row>
    <row r="22" spans="1:24" x14ac:dyDescent="0.25">
      <c r="E22" s="16" t="s">
        <v>31</v>
      </c>
      <c r="F22" s="39" t="s">
        <v>123</v>
      </c>
      <c r="G22">
        <v>3.5900000000000001E-2</v>
      </c>
      <c r="U22" s="37"/>
      <c r="V22" s="37"/>
    </row>
    <row r="23" spans="1:24" x14ac:dyDescent="0.25">
      <c r="E23" s="21" t="s">
        <v>32</v>
      </c>
      <c r="F23" t="s">
        <v>123</v>
      </c>
      <c r="G23">
        <v>3.56E-2</v>
      </c>
      <c r="U23" s="37"/>
      <c r="V23" s="37"/>
    </row>
    <row r="24" spans="1:24" x14ac:dyDescent="0.25">
      <c r="E24" s="39"/>
      <c r="V24" s="37"/>
      <c r="W24" s="37"/>
    </row>
    <row r="25" spans="1:24" ht="31.5" customHeight="1" x14ac:dyDescent="0.25">
      <c r="A25" s="85" t="s">
        <v>33</v>
      </c>
      <c r="B25" s="86"/>
      <c r="J25" s="36"/>
      <c r="K25" s="36"/>
      <c r="M25" s="73"/>
      <c r="N25" s="41" t="s">
        <v>34</v>
      </c>
      <c r="O25" s="42" t="s">
        <v>124</v>
      </c>
      <c r="P25" s="75" t="s">
        <v>35</v>
      </c>
      <c r="Q25" s="71" t="s">
        <v>36</v>
      </c>
      <c r="R25" s="75" t="s">
        <v>37</v>
      </c>
      <c r="S25" s="74" t="s">
        <v>37</v>
      </c>
      <c r="T25" s="72" t="s">
        <v>38</v>
      </c>
      <c r="U25" s="6" t="s">
        <v>36</v>
      </c>
      <c r="V25" s="37"/>
    </row>
    <row r="26" spans="1:24" ht="30.75" customHeight="1" x14ac:dyDescent="0.25">
      <c r="A26" s="45" t="s">
        <v>39</v>
      </c>
      <c r="B26" s="1" t="s">
        <v>40</v>
      </c>
      <c r="D26" s="46" t="s">
        <v>38</v>
      </c>
      <c r="E26" s="46" t="s">
        <v>41</v>
      </c>
      <c r="F26" s="47" t="s">
        <v>42</v>
      </c>
      <c r="G26" s="47" t="s">
        <v>5</v>
      </c>
      <c r="H26" s="47" t="s">
        <v>6</v>
      </c>
      <c r="I26" s="48"/>
      <c r="J26" s="49" t="s">
        <v>43</v>
      </c>
      <c r="K26" s="50" t="s">
        <v>44</v>
      </c>
      <c r="M26" s="47" t="s">
        <v>45</v>
      </c>
      <c r="N26" s="51" t="s">
        <v>46</v>
      </c>
      <c r="O26" s="52" t="s">
        <v>47</v>
      </c>
      <c r="P26" s="53" t="s">
        <v>48</v>
      </c>
      <c r="Q26" s="71" t="s">
        <v>49</v>
      </c>
      <c r="R26" s="41" t="s">
        <v>49</v>
      </c>
      <c r="S26" s="74" t="s">
        <v>50</v>
      </c>
      <c r="T26" s="74"/>
      <c r="U26" s="6" t="s">
        <v>49</v>
      </c>
      <c r="V26" s="37"/>
    </row>
    <row r="27" spans="1:24" ht="15" customHeight="1" x14ac:dyDescent="0.25">
      <c r="A27" s="18">
        <v>1</v>
      </c>
      <c r="B27" s="30">
        <v>10</v>
      </c>
      <c r="D27" s="76">
        <f>A27</f>
        <v>1</v>
      </c>
      <c r="E27" s="12" t="s">
        <v>51</v>
      </c>
      <c r="F27" s="12">
        <f>B27</f>
        <v>10</v>
      </c>
      <c r="G27" s="54">
        <v>4.8399999999999999E-2</v>
      </c>
      <c r="H27" s="55">
        <v>3.7499999999999999E-2</v>
      </c>
      <c r="I27" s="56"/>
      <c r="J27" s="57">
        <f t="shared" ref="J27:J90" si="1">G27-$J$14</f>
        <v>1.1650000000000001E-2</v>
      </c>
      <c r="K27" s="58">
        <f t="shared" ref="K27:K90" si="2">H27-$K$14</f>
        <v>1.1166666666666616E-3</v>
      </c>
      <c r="L27" s="56"/>
      <c r="M27" s="59">
        <f>J27-(0.25*K27)</f>
        <v>1.1370833333333335E-2</v>
      </c>
      <c r="N27" s="56">
        <f>M27*70.966</f>
        <v>0.80694255833333339</v>
      </c>
      <c r="O27" s="58">
        <f>N27*2</f>
        <v>1.6138851166666668</v>
      </c>
      <c r="P27" s="56">
        <f>O27/F27</f>
        <v>0.16138851166666668</v>
      </c>
      <c r="Q27" s="57">
        <f>AVERAGE(P27:P29)</f>
        <v>8.4508678333333379E-2</v>
      </c>
      <c r="R27" s="56">
        <f>STDEV(P27:P29)</f>
        <v>7.9609598491318406E-2</v>
      </c>
      <c r="S27" s="58">
        <f>R27/Q27*100</f>
        <v>94.202867754372875</v>
      </c>
      <c r="T27" s="60">
        <f>D27</f>
        <v>1</v>
      </c>
      <c r="U27" s="61">
        <f>Q27</f>
        <v>8.4508678333333379E-2</v>
      </c>
      <c r="V27" s="37"/>
    </row>
    <row r="28" spans="1:24" ht="14.45" customHeight="1" x14ac:dyDescent="0.25">
      <c r="A28" s="18">
        <v>2</v>
      </c>
      <c r="B28" s="30">
        <v>10</v>
      </c>
      <c r="D28" s="77"/>
      <c r="E28" s="17" t="s">
        <v>52</v>
      </c>
      <c r="F28" s="17">
        <f>F27</f>
        <v>10</v>
      </c>
      <c r="G28" s="57">
        <v>3.6900000000000002E-2</v>
      </c>
      <c r="H28" s="58">
        <v>3.6299999999999999E-2</v>
      </c>
      <c r="I28" s="56"/>
      <c r="J28" s="57">
        <f t="shared" si="1"/>
        <v>1.500000000000043E-4</v>
      </c>
      <c r="K28" s="58">
        <f t="shared" si="2"/>
        <v>-8.3333333333338033E-5</v>
      </c>
      <c r="L28" s="56"/>
      <c r="M28" s="62">
        <f t="shared" ref="M28:M91" si="3">J28-(0.25*K28)</f>
        <v>1.708333333333388E-4</v>
      </c>
      <c r="N28" s="56">
        <f t="shared" ref="N28:N91" si="4">M28*70.966</f>
        <v>1.2123358333333721E-2</v>
      </c>
      <c r="O28" s="58">
        <f t="shared" ref="O28:O91" si="5">N28*2</f>
        <v>2.4246716666667441E-2</v>
      </c>
      <c r="P28" s="56">
        <f t="shared" ref="P28:P91" si="6">O28/F28</f>
        <v>2.4246716666667441E-3</v>
      </c>
      <c r="Q28" s="57"/>
      <c r="R28" s="56"/>
      <c r="S28" s="58"/>
      <c r="T28" s="63">
        <f>D30</f>
        <v>2</v>
      </c>
      <c r="U28" s="64">
        <f>Q30</f>
        <v>2.4660685000000054E-2</v>
      </c>
    </row>
    <row r="29" spans="1:24" ht="14.45" customHeight="1" x14ac:dyDescent="0.25">
      <c r="A29" s="18">
        <v>3</v>
      </c>
      <c r="B29" s="30">
        <v>10</v>
      </c>
      <c r="D29" s="78"/>
      <c r="E29" s="22" t="s">
        <v>53</v>
      </c>
      <c r="F29" s="22">
        <f>F27</f>
        <v>10</v>
      </c>
      <c r="G29" s="65">
        <v>4.3099999999999999E-2</v>
      </c>
      <c r="H29" s="66">
        <v>3.6499999999999998E-2</v>
      </c>
      <c r="I29" s="56"/>
      <c r="J29" s="57">
        <f t="shared" si="1"/>
        <v>6.3500000000000015E-3</v>
      </c>
      <c r="K29" s="58">
        <f t="shared" si="2"/>
        <v>1.1666666666666076E-4</v>
      </c>
      <c r="L29" s="56"/>
      <c r="M29" s="62">
        <f t="shared" si="3"/>
        <v>6.3208333333333363E-3</v>
      </c>
      <c r="N29" s="56">
        <f t="shared" si="4"/>
        <v>0.44856425833333352</v>
      </c>
      <c r="O29" s="58">
        <f t="shared" si="5"/>
        <v>0.89712851666666704</v>
      </c>
      <c r="P29" s="56">
        <f t="shared" si="6"/>
        <v>8.9712851666666704E-2</v>
      </c>
      <c r="Q29" s="57"/>
      <c r="R29" s="56"/>
      <c r="S29" s="58"/>
      <c r="T29" s="63">
        <f>D33</f>
        <v>3</v>
      </c>
      <c r="U29" s="64">
        <f>Q33</f>
        <v>22.862583974999996</v>
      </c>
    </row>
    <row r="30" spans="1:24" ht="14.45" customHeight="1" x14ac:dyDescent="0.25">
      <c r="A30" s="18">
        <v>4</v>
      </c>
      <c r="B30" s="30">
        <v>10</v>
      </c>
      <c r="D30" s="76">
        <f>A28</f>
        <v>2</v>
      </c>
      <c r="E30" s="12" t="s">
        <v>54</v>
      </c>
      <c r="F30" s="12">
        <f>B28</f>
        <v>10</v>
      </c>
      <c r="G30" s="54">
        <v>3.8699999999999998E-2</v>
      </c>
      <c r="H30" s="55">
        <v>3.7199999999999997E-2</v>
      </c>
      <c r="I30" s="56"/>
      <c r="J30" s="57">
        <f t="shared" si="1"/>
        <v>1.9500000000000003E-3</v>
      </c>
      <c r="K30" s="58">
        <f t="shared" si="2"/>
        <v>8.1666666666665999E-4</v>
      </c>
      <c r="L30" s="56"/>
      <c r="M30" s="62">
        <f t="shared" si="3"/>
        <v>1.7458333333333353E-3</v>
      </c>
      <c r="N30" s="56">
        <f t="shared" si="4"/>
        <v>0.12389480833333347</v>
      </c>
      <c r="O30" s="58">
        <f t="shared" si="5"/>
        <v>0.24778961666666693</v>
      </c>
      <c r="P30" s="56">
        <f t="shared" si="6"/>
        <v>2.4778961666666693E-2</v>
      </c>
      <c r="Q30" s="57">
        <f>AVERAGE(P30:P32)</f>
        <v>2.4660685000000054E-2</v>
      </c>
      <c r="R30" s="56">
        <f>STDEV(P30:P32)</f>
        <v>8.6939384314379271E-3</v>
      </c>
      <c r="S30" s="58">
        <f>R30/Q30*100</f>
        <v>35.254245498200511</v>
      </c>
      <c r="T30" s="63">
        <f>D36</f>
        <v>4</v>
      </c>
      <c r="U30" s="64" t="e">
        <f>Q36</f>
        <v>#VALUE!</v>
      </c>
    </row>
    <row r="31" spans="1:24" ht="14.45" customHeight="1" x14ac:dyDescent="0.25">
      <c r="A31" s="18">
        <v>5</v>
      </c>
      <c r="B31" s="30">
        <v>10</v>
      </c>
      <c r="D31" s="77"/>
      <c r="E31" s="17" t="s">
        <v>55</v>
      </c>
      <c r="F31" s="17">
        <f t="shared" ref="F31" si="7">F30</f>
        <v>10</v>
      </c>
      <c r="G31" s="57">
        <v>3.7900000000000003E-2</v>
      </c>
      <c r="H31" s="58">
        <v>3.6499999999999998E-2</v>
      </c>
      <c r="I31" s="56"/>
      <c r="J31" s="57">
        <f t="shared" si="1"/>
        <v>1.1500000000000052E-3</v>
      </c>
      <c r="K31" s="58">
        <f t="shared" si="2"/>
        <v>1.1666666666666076E-4</v>
      </c>
      <c r="L31" s="56"/>
      <c r="M31" s="62">
        <f t="shared" si="3"/>
        <v>1.12083333333334E-3</v>
      </c>
      <c r="N31" s="56">
        <f t="shared" si="4"/>
        <v>7.9541058333333803E-2</v>
      </c>
      <c r="O31" s="58">
        <f t="shared" si="5"/>
        <v>0.15908211666666761</v>
      </c>
      <c r="P31" s="56">
        <f t="shared" si="6"/>
        <v>1.5908211666666762E-2</v>
      </c>
      <c r="Q31" s="57"/>
      <c r="R31" s="56"/>
      <c r="S31" s="58"/>
      <c r="T31" s="63">
        <f>D39</f>
        <v>5</v>
      </c>
      <c r="U31" s="64">
        <f>Q39</f>
        <v>3.388626500000002E-2</v>
      </c>
    </row>
    <row r="32" spans="1:24" ht="14.45" customHeight="1" x14ac:dyDescent="0.25">
      <c r="A32" s="18">
        <v>6</v>
      </c>
      <c r="B32" s="30">
        <v>10</v>
      </c>
      <c r="D32" s="78"/>
      <c r="E32" s="22" t="s">
        <v>56</v>
      </c>
      <c r="F32" s="22">
        <f t="shared" ref="F32" si="8">F30</f>
        <v>10</v>
      </c>
      <c r="G32" s="65">
        <v>3.95E-2</v>
      </c>
      <c r="H32" s="66">
        <v>3.7999999999999999E-2</v>
      </c>
      <c r="I32" s="56"/>
      <c r="J32" s="57">
        <f t="shared" si="1"/>
        <v>2.7500000000000024E-3</v>
      </c>
      <c r="K32" s="58">
        <f t="shared" si="2"/>
        <v>1.6166666666666621E-3</v>
      </c>
      <c r="L32" s="56"/>
      <c r="M32" s="62">
        <f t="shared" si="3"/>
        <v>2.3458333333333369E-3</v>
      </c>
      <c r="N32" s="56">
        <f t="shared" si="4"/>
        <v>0.16647440833333357</v>
      </c>
      <c r="O32" s="58">
        <f t="shared" si="5"/>
        <v>0.33294881666666715</v>
      </c>
      <c r="P32" s="56">
        <f t="shared" si="6"/>
        <v>3.3294881666666713E-2</v>
      </c>
      <c r="Q32" s="57"/>
      <c r="R32" s="56"/>
      <c r="S32" s="58"/>
      <c r="T32" s="63">
        <f>D42</f>
        <v>6</v>
      </c>
      <c r="U32" s="64">
        <f>Q42</f>
        <v>0.59451766500000003</v>
      </c>
    </row>
    <row r="33" spans="1:21" ht="14.45" customHeight="1" x14ac:dyDescent="0.25">
      <c r="A33" s="18">
        <v>7</v>
      </c>
      <c r="B33" s="30">
        <v>10</v>
      </c>
      <c r="D33" s="76">
        <f>A29</f>
        <v>3</v>
      </c>
      <c r="E33" s="12" t="s">
        <v>57</v>
      </c>
      <c r="F33" s="12">
        <f>B29</f>
        <v>10</v>
      </c>
      <c r="G33" s="54">
        <v>1.5599000000000001</v>
      </c>
      <c r="H33" s="55">
        <v>3.9E-2</v>
      </c>
      <c r="I33" s="56"/>
      <c r="J33" s="57">
        <f t="shared" si="1"/>
        <v>1.52315</v>
      </c>
      <c r="K33" s="58">
        <f t="shared" si="2"/>
        <v>2.616666666666663E-3</v>
      </c>
      <c r="L33" s="56"/>
      <c r="M33" s="62">
        <f t="shared" si="3"/>
        <v>1.5224958333333334</v>
      </c>
      <c r="N33" s="56">
        <f t="shared" si="4"/>
        <v>108.04543930833333</v>
      </c>
      <c r="O33" s="58">
        <f t="shared" si="5"/>
        <v>216.09087861666666</v>
      </c>
      <c r="P33" s="56">
        <f t="shared" si="6"/>
        <v>21.609087861666666</v>
      </c>
      <c r="Q33" s="57">
        <f>AVERAGE(P33:P35)</f>
        <v>22.862583974999996</v>
      </c>
      <c r="R33" s="56">
        <f>STDEV(P33:P35)</f>
        <v>1.1436318056804791</v>
      </c>
      <c r="S33" s="58">
        <f>R33/Q33*100</f>
        <v>5.0021983819984159</v>
      </c>
      <c r="T33" s="63">
        <f>D45</f>
        <v>7</v>
      </c>
      <c r="U33" s="64">
        <f>Q45</f>
        <v>0.11017471500000005</v>
      </c>
    </row>
    <row r="34" spans="1:21" ht="14.45" customHeight="1" x14ac:dyDescent="0.25">
      <c r="A34" s="18">
        <v>8</v>
      </c>
      <c r="B34" s="30">
        <v>10</v>
      </c>
      <c r="D34" s="77"/>
      <c r="E34" s="17" t="s">
        <v>58</v>
      </c>
      <c r="F34" s="17">
        <f t="shared" ref="F34" si="9">F33</f>
        <v>10</v>
      </c>
      <c r="G34" s="57">
        <v>1.7183999999999999</v>
      </c>
      <c r="H34" s="58">
        <v>4.1700000000000001E-2</v>
      </c>
      <c r="I34" s="56"/>
      <c r="J34" s="57">
        <f t="shared" si="1"/>
        <v>1.6816499999999999</v>
      </c>
      <c r="K34" s="58">
        <f t="shared" si="2"/>
        <v>5.316666666666664E-3</v>
      </c>
      <c r="L34" s="56"/>
      <c r="M34" s="62">
        <f t="shared" si="3"/>
        <v>1.6803208333333333</v>
      </c>
      <c r="N34" s="56">
        <f t="shared" si="4"/>
        <v>119.24564825833332</v>
      </c>
      <c r="O34" s="58">
        <f t="shared" si="5"/>
        <v>238.49129651666664</v>
      </c>
      <c r="P34" s="56">
        <f t="shared" si="6"/>
        <v>23.849129651666665</v>
      </c>
      <c r="Q34" s="57"/>
      <c r="R34" s="56"/>
      <c r="S34" s="58"/>
      <c r="T34" s="63">
        <f>D48</f>
        <v>8</v>
      </c>
      <c r="U34" s="64">
        <f>Q48</f>
        <v>2.726277166666673E-2</v>
      </c>
    </row>
    <row r="35" spans="1:21" ht="14.45" customHeight="1" x14ac:dyDescent="0.25">
      <c r="A35" s="18">
        <v>9</v>
      </c>
      <c r="B35" s="30">
        <v>10</v>
      </c>
      <c r="D35" s="78"/>
      <c r="E35" s="22" t="s">
        <v>59</v>
      </c>
      <c r="F35" s="22">
        <f t="shared" ref="F35" si="10">F33</f>
        <v>10</v>
      </c>
      <c r="G35" s="65">
        <v>1.6672</v>
      </c>
      <c r="H35" s="66">
        <v>3.9699999999999999E-2</v>
      </c>
      <c r="I35" s="56"/>
      <c r="J35" s="57">
        <f t="shared" si="1"/>
        <v>1.63045</v>
      </c>
      <c r="K35" s="58">
        <f t="shared" si="2"/>
        <v>3.3166666666666622E-3</v>
      </c>
      <c r="L35" s="56"/>
      <c r="M35" s="62">
        <f t="shared" si="3"/>
        <v>1.6296208333333333</v>
      </c>
      <c r="N35" s="56">
        <f t="shared" si="4"/>
        <v>115.64767205833333</v>
      </c>
      <c r="O35" s="58">
        <f t="shared" si="5"/>
        <v>231.29534411666666</v>
      </c>
      <c r="P35" s="56">
        <f t="shared" si="6"/>
        <v>23.129534411666665</v>
      </c>
      <c r="Q35" s="57"/>
      <c r="R35" s="56"/>
      <c r="S35" s="58"/>
      <c r="T35" s="63">
        <f>D51</f>
        <v>9</v>
      </c>
      <c r="U35" s="64">
        <f>Q51</f>
        <v>9.2433215000000013E-2</v>
      </c>
    </row>
    <row r="36" spans="1:21" ht="14.45" customHeight="1" x14ac:dyDescent="0.25">
      <c r="A36" s="18">
        <v>10</v>
      </c>
      <c r="B36" s="30">
        <v>10</v>
      </c>
      <c r="D36" s="76">
        <f>A30</f>
        <v>4</v>
      </c>
      <c r="E36" s="12" t="s">
        <v>60</v>
      </c>
      <c r="F36" s="12">
        <f>B30</f>
        <v>10</v>
      </c>
      <c r="G36" s="54">
        <v>3.8698999999999999</v>
      </c>
      <c r="H36" s="55">
        <v>3.78E-2</v>
      </c>
      <c r="I36" s="56"/>
      <c r="J36" s="57">
        <f t="shared" si="1"/>
        <v>3.8331499999999998</v>
      </c>
      <c r="K36" s="58">
        <f t="shared" si="2"/>
        <v>1.4166666666666633E-3</v>
      </c>
      <c r="L36" s="56"/>
      <c r="M36" s="62">
        <f t="shared" si="3"/>
        <v>3.832795833333333</v>
      </c>
      <c r="N36" s="56">
        <f t="shared" si="4"/>
        <v>271.99818910833329</v>
      </c>
      <c r="O36" s="58">
        <f t="shared" si="5"/>
        <v>543.99637821666659</v>
      </c>
      <c r="P36" s="56">
        <f t="shared" si="6"/>
        <v>54.399637821666659</v>
      </c>
      <c r="Q36" s="57" t="e">
        <f>AVERAGE(P36:P38)</f>
        <v>#VALUE!</v>
      </c>
      <c r="R36" s="56" t="e">
        <f>STDEV(P36:P38)</f>
        <v>#VALUE!</v>
      </c>
      <c r="S36" s="58" t="e">
        <f>R36/Q36*100</f>
        <v>#VALUE!</v>
      </c>
      <c r="T36" s="63">
        <f>D54</f>
        <v>10</v>
      </c>
      <c r="U36" s="64">
        <f>Q54</f>
        <v>0.56601298833333347</v>
      </c>
    </row>
    <row r="37" spans="1:21" ht="14.45" customHeight="1" x14ac:dyDescent="0.25">
      <c r="A37" s="18">
        <v>11</v>
      </c>
      <c r="B37" s="30">
        <v>10</v>
      </c>
      <c r="D37" s="77"/>
      <c r="E37" s="17" t="s">
        <v>61</v>
      </c>
      <c r="F37" s="17">
        <f t="shared" ref="F37" si="11">F36</f>
        <v>10</v>
      </c>
      <c r="G37" s="57">
        <v>3.9841000000000002</v>
      </c>
      <c r="H37" s="58">
        <v>3.8699999999999998E-2</v>
      </c>
      <c r="I37" s="56"/>
      <c r="J37" s="57">
        <f t="shared" si="1"/>
        <v>3.9473500000000001</v>
      </c>
      <c r="K37" s="58">
        <f t="shared" si="2"/>
        <v>2.3166666666666613E-3</v>
      </c>
      <c r="L37" s="56"/>
      <c r="M37" s="62">
        <f t="shared" si="3"/>
        <v>3.9467708333333333</v>
      </c>
      <c r="N37" s="56">
        <f t="shared" si="4"/>
        <v>280.08653895833334</v>
      </c>
      <c r="O37" s="58">
        <f t="shared" si="5"/>
        <v>560.17307791666667</v>
      </c>
      <c r="P37" s="56">
        <f t="shared" si="6"/>
        <v>56.017307791666667</v>
      </c>
      <c r="Q37" s="57"/>
      <c r="R37" s="56"/>
      <c r="S37" s="58"/>
      <c r="T37" s="63">
        <f>D57</f>
        <v>11</v>
      </c>
      <c r="U37" s="64">
        <f>Q57</f>
        <v>1.3167149916666667</v>
      </c>
    </row>
    <row r="38" spans="1:21" ht="14.45" customHeight="1" x14ac:dyDescent="0.25">
      <c r="A38" s="18">
        <v>12</v>
      </c>
      <c r="B38" s="30">
        <v>10</v>
      </c>
      <c r="D38" s="78"/>
      <c r="E38" s="22" t="s">
        <v>62</v>
      </c>
      <c r="F38" s="22">
        <f t="shared" ref="F38" si="12">F36</f>
        <v>10</v>
      </c>
      <c r="G38" s="65" t="s">
        <v>123</v>
      </c>
      <c r="H38" s="66">
        <v>3.8899999999999997E-2</v>
      </c>
      <c r="I38" s="56"/>
      <c r="J38" s="57" t="e">
        <f t="shared" si="1"/>
        <v>#VALUE!</v>
      </c>
      <c r="K38" s="58">
        <f t="shared" si="2"/>
        <v>2.5166666666666601E-3</v>
      </c>
      <c r="L38" s="56"/>
      <c r="M38" s="62" t="e">
        <f t="shared" si="3"/>
        <v>#VALUE!</v>
      </c>
      <c r="N38" s="56" t="e">
        <f t="shared" si="4"/>
        <v>#VALUE!</v>
      </c>
      <c r="O38" s="58" t="e">
        <f t="shared" si="5"/>
        <v>#VALUE!</v>
      </c>
      <c r="P38" s="56" t="e">
        <f t="shared" si="6"/>
        <v>#VALUE!</v>
      </c>
      <c r="Q38" s="57"/>
      <c r="R38" s="56"/>
      <c r="S38" s="58"/>
      <c r="T38" s="63">
        <f>D60</f>
        <v>12</v>
      </c>
      <c r="U38" s="64">
        <f>Q60</f>
        <v>0.21141954166666674</v>
      </c>
    </row>
    <row r="39" spans="1:21" ht="14.45" customHeight="1" x14ac:dyDescent="0.25">
      <c r="A39" s="18">
        <v>13</v>
      </c>
      <c r="B39" s="30">
        <v>10</v>
      </c>
      <c r="D39" s="76">
        <f>A31</f>
        <v>5</v>
      </c>
      <c r="E39" s="12" t="s">
        <v>63</v>
      </c>
      <c r="F39" s="12">
        <f>B31</f>
        <v>10</v>
      </c>
      <c r="G39" s="54">
        <v>3.9300000000000002E-2</v>
      </c>
      <c r="H39" s="55">
        <v>3.7100000000000001E-2</v>
      </c>
      <c r="I39" s="56"/>
      <c r="J39" s="57">
        <f t="shared" si="1"/>
        <v>2.5500000000000037E-3</v>
      </c>
      <c r="K39" s="58">
        <f t="shared" si="2"/>
        <v>7.1666666666666407E-4</v>
      </c>
      <c r="L39" s="56"/>
      <c r="M39" s="62">
        <f t="shared" si="3"/>
        <v>2.3708333333333376E-3</v>
      </c>
      <c r="N39" s="56">
        <f t="shared" si="4"/>
        <v>0.16824855833333363</v>
      </c>
      <c r="O39" s="58">
        <f t="shared" si="5"/>
        <v>0.33649711666666726</v>
      </c>
      <c r="P39" s="56">
        <f t="shared" si="6"/>
        <v>3.3649711666666728E-2</v>
      </c>
      <c r="Q39" s="57">
        <f>AVERAGE(P39:P41)</f>
        <v>3.388626500000002E-2</v>
      </c>
      <c r="R39" s="56">
        <f>STDEV(P39:P41)</f>
        <v>6.3902246183709099E-3</v>
      </c>
      <c r="S39" s="58">
        <f>R39/Q39*100</f>
        <v>18.857860606268957</v>
      </c>
      <c r="T39" s="63">
        <f>D63</f>
        <v>13</v>
      </c>
      <c r="U39" s="64">
        <f>Q63</f>
        <v>3.3649711666666679E-2</v>
      </c>
    </row>
    <row r="40" spans="1:21" ht="14.45" customHeight="1" x14ac:dyDescent="0.25">
      <c r="A40" s="18">
        <v>14</v>
      </c>
      <c r="B40" s="30">
        <v>10</v>
      </c>
      <c r="D40" s="77"/>
      <c r="E40" s="17" t="s">
        <v>64</v>
      </c>
      <c r="F40" s="17">
        <f t="shared" ref="F40" si="13">F39</f>
        <v>10</v>
      </c>
      <c r="G40" s="57">
        <v>3.9899999999999998E-2</v>
      </c>
      <c r="H40" s="58">
        <v>3.7600000000000001E-2</v>
      </c>
      <c r="I40" s="56"/>
      <c r="J40" s="57">
        <f t="shared" si="1"/>
        <v>3.15E-3</v>
      </c>
      <c r="K40" s="58">
        <f t="shared" si="2"/>
        <v>1.2166666666666645E-3</v>
      </c>
      <c r="L40" s="56"/>
      <c r="M40" s="62">
        <f t="shared" si="3"/>
        <v>2.8458333333333339E-3</v>
      </c>
      <c r="N40" s="56">
        <f t="shared" si="4"/>
        <v>0.20195740833333337</v>
      </c>
      <c r="O40" s="58">
        <f t="shared" si="5"/>
        <v>0.40391481666666673</v>
      </c>
      <c r="P40" s="56">
        <f t="shared" si="6"/>
        <v>4.0391481666666673E-2</v>
      </c>
      <c r="Q40" s="57"/>
      <c r="R40" s="56"/>
      <c r="S40" s="58"/>
      <c r="T40" s="63">
        <f>D66</f>
        <v>14</v>
      </c>
      <c r="U40" s="64">
        <f>Q66</f>
        <v>0.60185081833333332</v>
      </c>
    </row>
    <row r="41" spans="1:21" ht="14.45" customHeight="1" x14ac:dyDescent="0.25">
      <c r="A41" s="18">
        <v>15</v>
      </c>
      <c r="B41" s="30">
        <v>10</v>
      </c>
      <c r="D41" s="78"/>
      <c r="E41" s="22" t="s">
        <v>65</v>
      </c>
      <c r="F41" s="22">
        <f t="shared" ref="F41" si="14">F39</f>
        <v>10</v>
      </c>
      <c r="G41" s="65">
        <v>3.8699999999999998E-2</v>
      </c>
      <c r="H41" s="66">
        <v>3.6400000000000002E-2</v>
      </c>
      <c r="I41" s="56"/>
      <c r="J41" s="57">
        <f t="shared" si="1"/>
        <v>1.9500000000000003E-3</v>
      </c>
      <c r="K41" s="58">
        <f t="shared" si="2"/>
        <v>1.6666666666664831E-5</v>
      </c>
      <c r="L41" s="56"/>
      <c r="M41" s="62">
        <f t="shared" si="3"/>
        <v>1.9458333333333341E-3</v>
      </c>
      <c r="N41" s="56">
        <f t="shared" si="4"/>
        <v>0.13808800833333337</v>
      </c>
      <c r="O41" s="58">
        <f t="shared" si="5"/>
        <v>0.27617601666666675</v>
      </c>
      <c r="P41" s="56">
        <f t="shared" si="6"/>
        <v>2.7617601666666675E-2</v>
      </c>
      <c r="Q41" s="57"/>
      <c r="R41" s="56"/>
      <c r="S41" s="58"/>
      <c r="T41" s="63">
        <f>D69</f>
        <v>15</v>
      </c>
      <c r="U41" s="64">
        <f>Q69</f>
        <v>2.0870509216666662</v>
      </c>
    </row>
    <row r="42" spans="1:21" ht="14.45" customHeight="1" x14ac:dyDescent="0.25">
      <c r="A42" s="18">
        <v>16</v>
      </c>
      <c r="B42" s="30">
        <v>10</v>
      </c>
      <c r="D42" s="76">
        <f>A32</f>
        <v>6</v>
      </c>
      <c r="E42" s="12" t="s">
        <v>66</v>
      </c>
      <c r="F42" s="12">
        <f>B32</f>
        <v>10</v>
      </c>
      <c r="G42" s="54">
        <v>0.19700000000000001</v>
      </c>
      <c r="H42" s="55">
        <v>0.19289999999999999</v>
      </c>
      <c r="I42" s="56"/>
      <c r="J42" s="57">
        <f t="shared" si="1"/>
        <v>0.16025</v>
      </c>
      <c r="K42" s="58">
        <f t="shared" si="2"/>
        <v>0.15651666666666664</v>
      </c>
      <c r="L42" s="56"/>
      <c r="M42" s="62">
        <f t="shared" si="3"/>
        <v>0.12112083333333334</v>
      </c>
      <c r="N42" s="56">
        <f t="shared" si="4"/>
        <v>8.5954610583333331</v>
      </c>
      <c r="O42" s="58">
        <f t="shared" si="5"/>
        <v>17.190922116666666</v>
      </c>
      <c r="P42" s="56">
        <f t="shared" si="6"/>
        <v>1.7190922116666667</v>
      </c>
      <c r="Q42" s="57">
        <f>AVERAGE(P42:P44)</f>
        <v>0.59451766500000003</v>
      </c>
      <c r="R42" s="56">
        <f>STDEV(P42:P44)</f>
        <v>0.97391426272283022</v>
      </c>
      <c r="S42" s="58">
        <f>R42/Q42*100</f>
        <v>163.81586621531761</v>
      </c>
      <c r="T42" s="63">
        <f>D72</f>
        <v>16</v>
      </c>
      <c r="U42" s="64">
        <f>Q72</f>
        <v>0.28546073500000002</v>
      </c>
    </row>
    <row r="43" spans="1:21" ht="14.45" customHeight="1" x14ac:dyDescent="0.25">
      <c r="A43" s="18">
        <v>17</v>
      </c>
      <c r="B43" s="30">
        <v>10</v>
      </c>
      <c r="D43" s="77"/>
      <c r="E43" s="17" t="s">
        <v>67</v>
      </c>
      <c r="F43" s="17">
        <f t="shared" ref="F43" si="15">F42</f>
        <v>10</v>
      </c>
      <c r="G43" s="57">
        <v>3.9699999999999999E-2</v>
      </c>
      <c r="H43" s="58">
        <v>3.9899999999999998E-2</v>
      </c>
      <c r="I43" s="56"/>
      <c r="J43" s="57">
        <f t="shared" si="1"/>
        <v>2.9500000000000012E-3</v>
      </c>
      <c r="K43" s="58">
        <f t="shared" si="2"/>
        <v>3.516666666666661E-3</v>
      </c>
      <c r="L43" s="56"/>
      <c r="M43" s="62">
        <f t="shared" si="3"/>
        <v>2.070833333333336E-3</v>
      </c>
      <c r="N43" s="56">
        <f t="shared" si="4"/>
        <v>0.14695875833333352</v>
      </c>
      <c r="O43" s="58">
        <f t="shared" si="5"/>
        <v>0.29391751666666704</v>
      </c>
      <c r="P43" s="56">
        <f t="shared" si="6"/>
        <v>2.9391751666666705E-2</v>
      </c>
      <c r="Q43" s="57"/>
      <c r="R43" s="56"/>
      <c r="S43" s="58"/>
      <c r="T43" s="63">
        <f>D75</f>
        <v>17</v>
      </c>
      <c r="U43" s="64">
        <f>Q75</f>
        <v>4.181080166666671E-2</v>
      </c>
    </row>
    <row r="44" spans="1:21" ht="14.45" customHeight="1" x14ac:dyDescent="0.25">
      <c r="A44" s="18">
        <v>18</v>
      </c>
      <c r="B44" s="30">
        <v>10</v>
      </c>
      <c r="D44" s="78"/>
      <c r="E44" s="22" t="s">
        <v>68</v>
      </c>
      <c r="F44" s="22">
        <f t="shared" ref="F44" si="16">F42</f>
        <v>10</v>
      </c>
      <c r="G44" s="65">
        <v>4.0099999999999997E-2</v>
      </c>
      <c r="H44" s="66">
        <v>3.9899999999999998E-2</v>
      </c>
      <c r="I44" s="56"/>
      <c r="J44" s="57">
        <f t="shared" si="1"/>
        <v>3.3499999999999988E-3</v>
      </c>
      <c r="K44" s="58">
        <f t="shared" si="2"/>
        <v>3.516666666666661E-3</v>
      </c>
      <c r="L44" s="56"/>
      <c r="M44" s="62">
        <f t="shared" si="3"/>
        <v>2.4708333333333336E-3</v>
      </c>
      <c r="N44" s="56">
        <f t="shared" si="4"/>
        <v>0.17534515833333333</v>
      </c>
      <c r="O44" s="58">
        <f t="shared" si="5"/>
        <v>0.35069031666666667</v>
      </c>
      <c r="P44" s="56">
        <f t="shared" si="6"/>
        <v>3.5069031666666667E-2</v>
      </c>
      <c r="Q44" s="57"/>
      <c r="R44" s="56"/>
      <c r="S44" s="58"/>
      <c r="T44" s="63">
        <f>D78</f>
        <v>18</v>
      </c>
      <c r="U44" s="64">
        <f>Q78</f>
        <v>3.6843181666666697E-2</v>
      </c>
    </row>
    <row r="45" spans="1:21" ht="14.45" customHeight="1" x14ac:dyDescent="0.25">
      <c r="A45" s="18">
        <v>19</v>
      </c>
      <c r="B45" s="30">
        <v>10</v>
      </c>
      <c r="D45" s="76">
        <f>A33</f>
        <v>7</v>
      </c>
      <c r="E45" s="12" t="s">
        <v>69</v>
      </c>
      <c r="F45" s="12">
        <f>B33</f>
        <v>10</v>
      </c>
      <c r="G45" s="54">
        <v>4.3499999999999997E-2</v>
      </c>
      <c r="H45" s="55">
        <v>3.6999999999999998E-2</v>
      </c>
      <c r="I45" s="56"/>
      <c r="J45" s="57">
        <f t="shared" si="1"/>
        <v>6.7499999999999991E-3</v>
      </c>
      <c r="K45" s="58">
        <f t="shared" si="2"/>
        <v>6.166666666666612E-4</v>
      </c>
      <c r="L45" s="56"/>
      <c r="M45" s="62">
        <f t="shared" si="3"/>
        <v>6.5958333333333338E-3</v>
      </c>
      <c r="N45" s="56">
        <f t="shared" si="4"/>
        <v>0.46807990833333335</v>
      </c>
      <c r="O45" s="58">
        <f t="shared" si="5"/>
        <v>0.9361598166666667</v>
      </c>
      <c r="P45" s="56">
        <f t="shared" si="6"/>
        <v>9.3615981666666667E-2</v>
      </c>
      <c r="Q45" s="57">
        <f>AVERAGE(P45:P47)</f>
        <v>0.11017471500000005</v>
      </c>
      <c r="R45" s="56">
        <f>STDEV(P45:P47)</f>
        <v>1.4553798449869785E-2</v>
      </c>
      <c r="S45" s="58">
        <f>R45/Q45*100</f>
        <v>13.209744586014841</v>
      </c>
      <c r="T45" s="63">
        <f>D81</f>
        <v>19</v>
      </c>
      <c r="U45" s="64">
        <f>Q81</f>
        <v>0.49161696500000002</v>
      </c>
    </row>
    <row r="46" spans="1:21" ht="14.45" customHeight="1" x14ac:dyDescent="0.25">
      <c r="A46" s="18">
        <v>20</v>
      </c>
      <c r="B46" s="30">
        <v>10</v>
      </c>
      <c r="D46" s="77"/>
      <c r="E46" s="17" t="s">
        <v>70</v>
      </c>
      <c r="F46" s="17">
        <f t="shared" ref="F46" si="17">F45</f>
        <v>10</v>
      </c>
      <c r="G46" s="57">
        <v>4.4900000000000002E-2</v>
      </c>
      <c r="H46" s="58">
        <v>3.6299999999999999E-2</v>
      </c>
      <c r="I46" s="56"/>
      <c r="J46" s="57">
        <f t="shared" si="1"/>
        <v>8.1500000000000045E-3</v>
      </c>
      <c r="K46" s="58">
        <f t="shared" si="2"/>
        <v>-8.3333333333338033E-5</v>
      </c>
      <c r="L46" s="56"/>
      <c r="M46" s="62">
        <f t="shared" si="3"/>
        <v>8.170833333333339E-3</v>
      </c>
      <c r="N46" s="56">
        <f t="shared" si="4"/>
        <v>0.57985135833333368</v>
      </c>
      <c r="O46" s="58">
        <f t="shared" si="5"/>
        <v>1.1597027166666674</v>
      </c>
      <c r="P46" s="56">
        <f t="shared" si="6"/>
        <v>0.11597027166666674</v>
      </c>
      <c r="Q46" s="57"/>
      <c r="R46" s="56"/>
      <c r="S46" s="58"/>
      <c r="T46" s="63">
        <f>D84</f>
        <v>20</v>
      </c>
      <c r="U46" s="64">
        <f>Q84</f>
        <v>8.2497975000000015E-2</v>
      </c>
    </row>
    <row r="47" spans="1:21" ht="14.45" customHeight="1" x14ac:dyDescent="0.25">
      <c r="A47" s="18">
        <v>21</v>
      </c>
      <c r="B47" s="30">
        <v>10</v>
      </c>
      <c r="D47" s="78"/>
      <c r="E47" s="22" t="s">
        <v>71</v>
      </c>
      <c r="F47" s="22">
        <f t="shared" ref="F47" si="18">F45</f>
        <v>10</v>
      </c>
      <c r="G47" s="65">
        <v>4.5400000000000003E-2</v>
      </c>
      <c r="H47" s="66">
        <v>3.6900000000000002E-2</v>
      </c>
      <c r="I47" s="56"/>
      <c r="J47" s="57">
        <f t="shared" si="1"/>
        <v>8.6500000000000049E-3</v>
      </c>
      <c r="K47" s="58">
        <f t="shared" si="2"/>
        <v>5.1666666666666528E-4</v>
      </c>
      <c r="L47" s="56"/>
      <c r="M47" s="62">
        <f t="shared" si="3"/>
        <v>8.5208333333333386E-3</v>
      </c>
      <c r="N47" s="56">
        <f t="shared" si="4"/>
        <v>0.60468945833333365</v>
      </c>
      <c r="O47" s="58">
        <f t="shared" si="5"/>
        <v>1.2093789166666673</v>
      </c>
      <c r="P47" s="56">
        <f t="shared" si="6"/>
        <v>0.12093789166666673</v>
      </c>
      <c r="Q47" s="57"/>
      <c r="R47" s="56"/>
      <c r="S47" s="58"/>
      <c r="T47" s="63">
        <f>D87</f>
        <v>21</v>
      </c>
      <c r="U47" s="64">
        <f>Q87</f>
        <v>6.2154388333333366E-2</v>
      </c>
    </row>
    <row r="48" spans="1:21" ht="14.45" customHeight="1" x14ac:dyDescent="0.25">
      <c r="A48" s="18">
        <v>22</v>
      </c>
      <c r="B48" s="30">
        <v>10</v>
      </c>
      <c r="D48" s="76">
        <f>A34</f>
        <v>8</v>
      </c>
      <c r="E48" s="12" t="s">
        <v>72</v>
      </c>
      <c r="F48" s="12">
        <f>B34</f>
        <v>10</v>
      </c>
      <c r="G48" s="54">
        <v>3.7900000000000003E-2</v>
      </c>
      <c r="H48" s="55">
        <v>3.5400000000000001E-2</v>
      </c>
      <c r="I48" s="56"/>
      <c r="J48" s="57">
        <f t="shared" si="1"/>
        <v>1.1500000000000052E-3</v>
      </c>
      <c r="K48" s="58">
        <f t="shared" si="2"/>
        <v>-9.8333333333333606E-4</v>
      </c>
      <c r="L48" s="56"/>
      <c r="M48" s="62">
        <f t="shared" si="3"/>
        <v>1.3958333333333392E-3</v>
      </c>
      <c r="N48" s="56">
        <f t="shared" si="4"/>
        <v>9.9056708333333743E-2</v>
      </c>
      <c r="O48" s="58">
        <f t="shared" si="5"/>
        <v>0.19811341666666749</v>
      </c>
      <c r="P48" s="56">
        <f t="shared" si="6"/>
        <v>1.9811341666666749E-2</v>
      </c>
      <c r="Q48" s="57">
        <f>AVERAGE(P48:P50)</f>
        <v>2.726277166666673E-2</v>
      </c>
      <c r="R48" s="56">
        <f>STDEV(P48:P50)</f>
        <v>8.7132261721304931E-3</v>
      </c>
      <c r="S48" s="58">
        <f>R48/Q48*100</f>
        <v>31.960162666746978</v>
      </c>
      <c r="T48" s="63">
        <f>D90</f>
        <v>22</v>
      </c>
      <c r="U48" s="64">
        <f>Q90</f>
        <v>3.3176605000000053E-2</v>
      </c>
    </row>
    <row r="49" spans="1:22" ht="14.45" customHeight="1" x14ac:dyDescent="0.25">
      <c r="A49" s="18">
        <v>23</v>
      </c>
      <c r="B49" s="30">
        <v>10</v>
      </c>
      <c r="D49" s="77"/>
      <c r="E49" s="17" t="s">
        <v>73</v>
      </c>
      <c r="F49" s="17">
        <f t="shared" ref="F49" si="19">F48</f>
        <v>10</v>
      </c>
      <c r="G49" s="57">
        <v>3.9300000000000002E-2</v>
      </c>
      <c r="H49" s="58">
        <v>3.6200000000000003E-2</v>
      </c>
      <c r="I49" s="56"/>
      <c r="J49" s="57">
        <f t="shared" si="1"/>
        <v>2.5500000000000037E-3</v>
      </c>
      <c r="K49" s="58">
        <f t="shared" si="2"/>
        <v>-1.8333333333333396E-4</v>
      </c>
      <c r="L49" s="56"/>
      <c r="M49" s="62">
        <f t="shared" si="3"/>
        <v>2.5958333333333371E-3</v>
      </c>
      <c r="N49" s="56">
        <f t="shared" si="4"/>
        <v>0.18421590833333359</v>
      </c>
      <c r="O49" s="58">
        <f t="shared" si="5"/>
        <v>0.36843181666666719</v>
      </c>
      <c r="P49" s="56">
        <f t="shared" si="6"/>
        <v>3.6843181666666718E-2</v>
      </c>
      <c r="Q49" s="57"/>
      <c r="R49" s="56"/>
      <c r="S49" s="58"/>
      <c r="T49" s="63">
        <f>D93</f>
        <v>23</v>
      </c>
      <c r="U49" s="64">
        <f>Q93</f>
        <v>7.3154118333333393E-2</v>
      </c>
    </row>
    <row r="50" spans="1:22" ht="14.45" customHeight="1" x14ac:dyDescent="0.25">
      <c r="A50" s="23">
        <v>24</v>
      </c>
      <c r="B50" s="30">
        <v>10</v>
      </c>
      <c r="D50" s="78"/>
      <c r="E50" s="22" t="s">
        <v>74</v>
      </c>
      <c r="F50" s="22">
        <f t="shared" ref="F50" si="20">F48</f>
        <v>10</v>
      </c>
      <c r="G50" s="65">
        <v>3.8300000000000001E-2</v>
      </c>
      <c r="H50" s="66">
        <v>3.5499999999999997E-2</v>
      </c>
      <c r="I50" s="56"/>
      <c r="J50" s="57">
        <f t="shared" si="1"/>
        <v>1.5500000000000028E-3</v>
      </c>
      <c r="K50" s="58">
        <f t="shared" si="2"/>
        <v>-8.8333333333334013E-4</v>
      </c>
      <c r="L50" s="56"/>
      <c r="M50" s="62">
        <f t="shared" si="3"/>
        <v>1.7708333333333378E-3</v>
      </c>
      <c r="N50" s="56">
        <f t="shared" si="4"/>
        <v>0.12566895833333364</v>
      </c>
      <c r="O50" s="58">
        <f t="shared" si="5"/>
        <v>0.25133791666666727</v>
      </c>
      <c r="P50" s="56">
        <f t="shared" si="6"/>
        <v>2.5133791666666728E-2</v>
      </c>
      <c r="Q50" s="57"/>
      <c r="R50" s="56"/>
      <c r="S50" s="58"/>
      <c r="T50" s="67">
        <f>D96</f>
        <v>24</v>
      </c>
      <c r="U50" s="68">
        <f>Q96</f>
        <v>5.4111575000000002E-2</v>
      </c>
    </row>
    <row r="51" spans="1:22" ht="14.45" customHeight="1" x14ac:dyDescent="0.25">
      <c r="D51" s="76">
        <f>A35</f>
        <v>9</v>
      </c>
      <c r="E51" s="12" t="s">
        <v>75</v>
      </c>
      <c r="F51" s="12">
        <f>B35</f>
        <v>10</v>
      </c>
      <c r="G51" s="54">
        <v>4.3499999999999997E-2</v>
      </c>
      <c r="H51" s="55">
        <v>3.6999999999999998E-2</v>
      </c>
      <c r="I51" s="56"/>
      <c r="J51" s="57">
        <f t="shared" si="1"/>
        <v>6.7499999999999991E-3</v>
      </c>
      <c r="K51" s="58">
        <f t="shared" si="2"/>
        <v>6.166666666666612E-4</v>
      </c>
      <c r="L51" s="56"/>
      <c r="M51" s="62">
        <f t="shared" si="3"/>
        <v>6.5958333333333338E-3</v>
      </c>
      <c r="N51" s="56">
        <f t="shared" si="4"/>
        <v>0.46807990833333335</v>
      </c>
      <c r="O51" s="58">
        <f t="shared" si="5"/>
        <v>0.9361598166666667</v>
      </c>
      <c r="P51" s="56">
        <f t="shared" si="6"/>
        <v>9.3615981666666667E-2</v>
      </c>
      <c r="Q51" s="57">
        <f>AVERAGE(P51:P53)</f>
        <v>9.2433215000000013E-2</v>
      </c>
      <c r="R51" s="56">
        <f>STDEV(P51:P53)</f>
        <v>2.3625745662800173E-3</v>
      </c>
      <c r="S51" s="58">
        <f>R51/Q51*100</f>
        <v>2.5559800838692208</v>
      </c>
      <c r="T51" s="56"/>
      <c r="U51" s="56"/>
      <c r="V51" s="56"/>
    </row>
    <row r="52" spans="1:22" ht="14.45" customHeight="1" x14ac:dyDescent="0.25">
      <c r="D52" s="77"/>
      <c r="E52" s="17" t="s">
        <v>76</v>
      </c>
      <c r="F52" s="17">
        <f t="shared" ref="F52" si="21">F51</f>
        <v>10</v>
      </c>
      <c r="G52" s="57">
        <v>4.3099999999999999E-2</v>
      </c>
      <c r="H52" s="58">
        <v>3.6499999999999998E-2</v>
      </c>
      <c r="I52" s="56"/>
      <c r="J52" s="57">
        <f t="shared" si="1"/>
        <v>6.3500000000000015E-3</v>
      </c>
      <c r="K52" s="58">
        <f t="shared" si="2"/>
        <v>1.1666666666666076E-4</v>
      </c>
      <c r="L52" s="56"/>
      <c r="M52" s="62">
        <f t="shared" si="3"/>
        <v>6.3208333333333363E-3</v>
      </c>
      <c r="N52" s="56">
        <f t="shared" si="4"/>
        <v>0.44856425833333352</v>
      </c>
      <c r="O52" s="58">
        <f t="shared" si="5"/>
        <v>0.89712851666666704</v>
      </c>
      <c r="P52" s="56">
        <f t="shared" si="6"/>
        <v>8.9712851666666704E-2</v>
      </c>
      <c r="Q52" s="57"/>
      <c r="R52" s="56"/>
      <c r="S52" s="58"/>
      <c r="T52" s="56"/>
    </row>
    <row r="53" spans="1:22" ht="14.45" customHeight="1" x14ac:dyDescent="0.25">
      <c r="D53" s="78"/>
      <c r="E53" s="22" t="s">
        <v>77</v>
      </c>
      <c r="F53" s="22">
        <f t="shared" ref="F53" si="22">F51</f>
        <v>10</v>
      </c>
      <c r="G53" s="65">
        <v>4.3499999999999997E-2</v>
      </c>
      <c r="H53" s="66">
        <v>3.6900000000000002E-2</v>
      </c>
      <c r="I53" s="56"/>
      <c r="J53" s="57">
        <f t="shared" si="1"/>
        <v>6.7499999999999991E-3</v>
      </c>
      <c r="K53" s="58">
        <f t="shared" si="2"/>
        <v>5.1666666666666528E-4</v>
      </c>
      <c r="L53" s="56"/>
      <c r="M53" s="62">
        <f t="shared" si="3"/>
        <v>6.6208333333333327E-3</v>
      </c>
      <c r="N53" s="56">
        <f t="shared" si="4"/>
        <v>0.46985405833333327</v>
      </c>
      <c r="O53" s="58">
        <f t="shared" si="5"/>
        <v>0.93970811666666654</v>
      </c>
      <c r="P53" s="56">
        <f t="shared" si="6"/>
        <v>9.3970811666666654E-2</v>
      </c>
      <c r="Q53" s="57"/>
      <c r="R53" s="56"/>
      <c r="S53" s="58"/>
      <c r="T53" s="56"/>
    </row>
    <row r="54" spans="1:22" ht="14.45" customHeight="1" x14ac:dyDescent="0.25">
      <c r="D54" s="76">
        <f>A36</f>
        <v>10</v>
      </c>
      <c r="E54" s="12" t="s">
        <v>78</v>
      </c>
      <c r="F54" s="12">
        <f>B36</f>
        <v>10</v>
      </c>
      <c r="G54" s="54">
        <v>8.1600000000000006E-2</v>
      </c>
      <c r="H54" s="55">
        <v>5.0700000000000002E-2</v>
      </c>
      <c r="I54" s="56"/>
      <c r="J54" s="57">
        <f t="shared" si="1"/>
        <v>4.4850000000000008E-2</v>
      </c>
      <c r="K54" s="58">
        <f t="shared" si="2"/>
        <v>1.4316666666666665E-2</v>
      </c>
      <c r="L54" s="56"/>
      <c r="M54" s="62">
        <f t="shared" si="3"/>
        <v>4.127083333333334E-2</v>
      </c>
      <c r="N54" s="56">
        <f t="shared" si="4"/>
        <v>2.9288259583333334</v>
      </c>
      <c r="O54" s="58">
        <f t="shared" si="5"/>
        <v>5.8576519166666667</v>
      </c>
      <c r="P54" s="56">
        <f t="shared" si="6"/>
        <v>0.58576519166666663</v>
      </c>
      <c r="Q54" s="57">
        <f>AVERAGE(P54:P56)</f>
        <v>0.56601298833333347</v>
      </c>
      <c r="R54" s="56">
        <f>STDEV(P54:P56)</f>
        <v>2.3521598357599566E-2</v>
      </c>
      <c r="S54" s="58">
        <f>R54/Q54*100</f>
        <v>4.1556640646817362</v>
      </c>
      <c r="T54" s="56"/>
    </row>
    <row r="55" spans="1:22" ht="14.45" customHeight="1" x14ac:dyDescent="0.25">
      <c r="D55" s="77"/>
      <c r="E55" s="17" t="s">
        <v>79</v>
      </c>
      <c r="F55" s="17">
        <f t="shared" ref="F55" si="23">F54</f>
        <v>10</v>
      </c>
      <c r="G55" s="57">
        <v>7.7600000000000002E-2</v>
      </c>
      <c r="H55" s="58">
        <v>3.85E-2</v>
      </c>
      <c r="I55" s="56"/>
      <c r="J55" s="57">
        <f t="shared" si="1"/>
        <v>4.0850000000000004E-2</v>
      </c>
      <c r="K55" s="58">
        <f t="shared" si="2"/>
        <v>2.1166666666666625E-3</v>
      </c>
      <c r="L55" s="56"/>
      <c r="M55" s="62">
        <f t="shared" si="3"/>
        <v>4.032083333333334E-2</v>
      </c>
      <c r="N55" s="56">
        <f t="shared" si="4"/>
        <v>2.8614082583333338</v>
      </c>
      <c r="O55" s="58">
        <f t="shared" si="5"/>
        <v>5.7228165166666676</v>
      </c>
      <c r="P55" s="56">
        <f t="shared" si="6"/>
        <v>0.57228165166666678</v>
      </c>
      <c r="Q55" s="57"/>
      <c r="R55" s="56"/>
      <c r="S55" s="58"/>
      <c r="T55" s="56"/>
    </row>
    <row r="56" spans="1:22" ht="14.45" customHeight="1" x14ac:dyDescent="0.25">
      <c r="D56" s="78"/>
      <c r="E56" s="22" t="s">
        <v>80</v>
      </c>
      <c r="F56" s="22">
        <f t="shared" ref="F56" si="24">F54</f>
        <v>10</v>
      </c>
      <c r="G56" s="65">
        <v>7.5700000000000003E-2</v>
      </c>
      <c r="H56" s="66">
        <v>0.04</v>
      </c>
      <c r="I56" s="56"/>
      <c r="J56" s="57">
        <f t="shared" si="1"/>
        <v>3.8950000000000005E-2</v>
      </c>
      <c r="K56" s="58">
        <f t="shared" si="2"/>
        <v>3.6166666666666639E-3</v>
      </c>
      <c r="L56" s="56"/>
      <c r="M56" s="62">
        <f t="shared" si="3"/>
        <v>3.8045833333333341E-2</v>
      </c>
      <c r="N56" s="56">
        <f t="shared" si="4"/>
        <v>2.6999606083333338</v>
      </c>
      <c r="O56" s="58">
        <f t="shared" si="5"/>
        <v>5.3999212166666677</v>
      </c>
      <c r="P56" s="56">
        <f t="shared" si="6"/>
        <v>0.53999212166666677</v>
      </c>
      <c r="Q56" s="57"/>
      <c r="R56" s="56"/>
      <c r="S56" s="58"/>
      <c r="T56" s="56"/>
    </row>
    <row r="57" spans="1:22" ht="14.45" customHeight="1" x14ac:dyDescent="0.25">
      <c r="D57" s="76">
        <f>A37</f>
        <v>11</v>
      </c>
      <c r="E57" s="12" t="s">
        <v>81</v>
      </c>
      <c r="F57" s="12">
        <f>B37</f>
        <v>10</v>
      </c>
      <c r="G57" s="54">
        <v>0.11940000000000001</v>
      </c>
      <c r="H57" s="55">
        <v>3.6299999999999999E-2</v>
      </c>
      <c r="I57" s="56"/>
      <c r="J57" s="57">
        <f t="shared" si="1"/>
        <v>8.2650000000000001E-2</v>
      </c>
      <c r="K57" s="58">
        <f t="shared" si="2"/>
        <v>-8.3333333333338033E-5</v>
      </c>
      <c r="L57" s="56"/>
      <c r="M57" s="62">
        <f t="shared" si="3"/>
        <v>8.2670833333333332E-2</v>
      </c>
      <c r="N57" s="56">
        <f t="shared" si="4"/>
        <v>5.8668183583333331</v>
      </c>
      <c r="O57" s="58">
        <f t="shared" si="5"/>
        <v>11.733636716666666</v>
      </c>
      <c r="P57" s="56">
        <f t="shared" si="6"/>
        <v>1.1733636716666667</v>
      </c>
      <c r="Q57" s="57">
        <f>AVERAGE(P57:P59)</f>
        <v>1.3167149916666667</v>
      </c>
      <c r="R57" s="56">
        <f>STDEV(P57:P59)</f>
        <v>0.1242923451398311</v>
      </c>
      <c r="S57" s="58">
        <f>R57/Q57*100</f>
        <v>9.4395784909006615</v>
      </c>
      <c r="T57" s="56"/>
    </row>
    <row r="58" spans="1:22" ht="14.45" customHeight="1" x14ac:dyDescent="0.25">
      <c r="D58" s="77"/>
      <c r="E58" s="17" t="s">
        <v>82</v>
      </c>
      <c r="F58" s="17">
        <f t="shared" ref="F58" si="25">F57</f>
        <v>10</v>
      </c>
      <c r="G58" s="57">
        <v>0.1353</v>
      </c>
      <c r="H58" s="58">
        <v>3.7600000000000001E-2</v>
      </c>
      <c r="I58" s="56"/>
      <c r="J58" s="57">
        <f t="shared" si="1"/>
        <v>9.8549999999999999E-2</v>
      </c>
      <c r="K58" s="58">
        <f t="shared" si="2"/>
        <v>1.2166666666666645E-3</v>
      </c>
      <c r="L58" s="56"/>
      <c r="M58" s="62">
        <f t="shared" si="3"/>
        <v>9.8245833333333338E-2</v>
      </c>
      <c r="N58" s="56">
        <f t="shared" si="4"/>
        <v>6.9721138083333329</v>
      </c>
      <c r="O58" s="58">
        <f t="shared" si="5"/>
        <v>13.944227616666666</v>
      </c>
      <c r="P58" s="56">
        <f t="shared" si="6"/>
        <v>1.3944227616666667</v>
      </c>
      <c r="Q58" s="57"/>
      <c r="R58" s="56"/>
      <c r="S58" s="58"/>
      <c r="T58" s="56"/>
    </row>
    <row r="59" spans="1:22" ht="14.45" customHeight="1" x14ac:dyDescent="0.25">
      <c r="D59" s="78"/>
      <c r="E59" s="22" t="s">
        <v>83</v>
      </c>
      <c r="F59" s="22">
        <f t="shared" ref="F59" si="26">F57</f>
        <v>10</v>
      </c>
      <c r="G59" s="65">
        <v>0.13420000000000001</v>
      </c>
      <c r="H59" s="66">
        <v>3.6600000000000001E-2</v>
      </c>
      <c r="I59" s="56"/>
      <c r="J59" s="57">
        <f t="shared" si="1"/>
        <v>9.7450000000000009E-2</v>
      </c>
      <c r="K59" s="58">
        <f t="shared" si="2"/>
        <v>2.1666666666666362E-4</v>
      </c>
      <c r="L59" s="56"/>
      <c r="M59" s="62">
        <f t="shared" si="3"/>
        <v>9.7395833333333348E-2</v>
      </c>
      <c r="N59" s="56">
        <f t="shared" si="4"/>
        <v>6.9117927083333335</v>
      </c>
      <c r="O59" s="58">
        <f t="shared" si="5"/>
        <v>13.823585416666667</v>
      </c>
      <c r="P59" s="56">
        <f t="shared" si="6"/>
        <v>1.3823585416666666</v>
      </c>
      <c r="Q59" s="57"/>
      <c r="R59" s="56"/>
      <c r="S59" s="58"/>
      <c r="T59" s="56"/>
    </row>
    <row r="60" spans="1:22" ht="14.45" customHeight="1" x14ac:dyDescent="0.25">
      <c r="D60" s="76">
        <f>A38</f>
        <v>12</v>
      </c>
      <c r="E60" s="12" t="s">
        <v>84</v>
      </c>
      <c r="F60" s="12">
        <f>B38</f>
        <v>10</v>
      </c>
      <c r="G60" s="54">
        <v>5.0500000000000003E-2</v>
      </c>
      <c r="H60" s="55">
        <v>3.7499999999999999E-2</v>
      </c>
      <c r="I60" s="56"/>
      <c r="J60" s="57">
        <f t="shared" si="1"/>
        <v>1.3750000000000005E-2</v>
      </c>
      <c r="K60" s="58">
        <f t="shared" si="2"/>
        <v>1.1166666666666616E-3</v>
      </c>
      <c r="L60" s="56"/>
      <c r="M60" s="62">
        <f t="shared" si="3"/>
        <v>1.347083333333334E-2</v>
      </c>
      <c r="N60" s="56">
        <f t="shared" si="4"/>
        <v>0.95597115833333368</v>
      </c>
      <c r="O60" s="58">
        <f t="shared" si="5"/>
        <v>1.9119423166666674</v>
      </c>
      <c r="P60" s="56">
        <f t="shared" si="6"/>
        <v>0.19119423166666674</v>
      </c>
      <c r="Q60" s="57">
        <f>AVERAGE(P60:P62)</f>
        <v>0.21141954166666674</v>
      </c>
      <c r="R60" s="56">
        <f>STDEV(P60:P62)</f>
        <v>2.1783787908077376E-2</v>
      </c>
      <c r="S60" s="58">
        <f>R60/Q60*100</f>
        <v>10.30358297835242</v>
      </c>
      <c r="T60" s="56"/>
    </row>
    <row r="61" spans="1:22" ht="14.45" customHeight="1" x14ac:dyDescent="0.25">
      <c r="D61" s="77"/>
      <c r="E61" s="17" t="s">
        <v>85</v>
      </c>
      <c r="F61" s="17">
        <f t="shared" ref="F61" si="27">F60</f>
        <v>10</v>
      </c>
      <c r="G61" s="57">
        <v>5.3999999999999999E-2</v>
      </c>
      <c r="H61" s="58">
        <v>3.9300000000000002E-2</v>
      </c>
      <c r="I61" s="56"/>
      <c r="J61" s="57">
        <f t="shared" si="1"/>
        <v>1.7250000000000001E-2</v>
      </c>
      <c r="K61" s="58">
        <f t="shared" si="2"/>
        <v>2.9166666666666646E-3</v>
      </c>
      <c r="L61" s="56"/>
      <c r="M61" s="62">
        <f t="shared" si="3"/>
        <v>1.6520833333333335E-2</v>
      </c>
      <c r="N61" s="56">
        <f t="shared" si="4"/>
        <v>1.1724174583333333</v>
      </c>
      <c r="O61" s="58">
        <f t="shared" si="5"/>
        <v>2.3448349166666667</v>
      </c>
      <c r="P61" s="56">
        <f t="shared" si="6"/>
        <v>0.23448349166666665</v>
      </c>
      <c r="Q61" s="57"/>
      <c r="R61" s="56"/>
      <c r="S61" s="58"/>
      <c r="T61" s="56"/>
    </row>
    <row r="62" spans="1:22" ht="14.45" customHeight="1" x14ac:dyDescent="0.25">
      <c r="D62" s="78"/>
      <c r="E62" s="22" t="s">
        <v>86</v>
      </c>
      <c r="F62" s="22">
        <f t="shared" ref="F62" si="28">F60</f>
        <v>10</v>
      </c>
      <c r="G62" s="65">
        <v>5.1900000000000002E-2</v>
      </c>
      <c r="H62" s="66">
        <v>3.8199999999999998E-2</v>
      </c>
      <c r="I62" s="56"/>
      <c r="J62" s="57">
        <f t="shared" si="1"/>
        <v>1.5150000000000004E-2</v>
      </c>
      <c r="K62" s="58">
        <f t="shared" si="2"/>
        <v>1.8166666666666609E-3</v>
      </c>
      <c r="L62" s="56"/>
      <c r="M62" s="62">
        <f t="shared" si="3"/>
        <v>1.4695833333333339E-2</v>
      </c>
      <c r="N62" s="56">
        <f t="shared" si="4"/>
        <v>1.0429045083333337</v>
      </c>
      <c r="O62" s="58">
        <f t="shared" si="5"/>
        <v>2.0858090166666674</v>
      </c>
      <c r="P62" s="56">
        <f t="shared" si="6"/>
        <v>0.20858090166666673</v>
      </c>
      <c r="Q62" s="57"/>
      <c r="R62" s="56"/>
      <c r="S62" s="58"/>
      <c r="T62" s="56"/>
    </row>
    <row r="63" spans="1:22" ht="14.45" customHeight="1" x14ac:dyDescent="0.25">
      <c r="D63" s="76">
        <f>A39</f>
        <v>13</v>
      </c>
      <c r="E63" s="12" t="s">
        <v>87</v>
      </c>
      <c r="F63" s="12">
        <f>B39</f>
        <v>10</v>
      </c>
      <c r="G63" s="54">
        <v>3.9699999999999999E-2</v>
      </c>
      <c r="H63" s="55">
        <v>3.7100000000000001E-2</v>
      </c>
      <c r="I63" s="56"/>
      <c r="J63" s="57">
        <f t="shared" si="1"/>
        <v>2.9500000000000012E-3</v>
      </c>
      <c r="K63" s="58">
        <f t="shared" si="2"/>
        <v>7.1666666666666407E-4</v>
      </c>
      <c r="L63" s="56"/>
      <c r="M63" s="62">
        <f t="shared" si="3"/>
        <v>2.7708333333333352E-3</v>
      </c>
      <c r="N63" s="56">
        <f t="shared" si="4"/>
        <v>0.19663495833333344</v>
      </c>
      <c r="O63" s="58">
        <f t="shared" si="5"/>
        <v>0.39326991666666689</v>
      </c>
      <c r="P63" s="56">
        <f t="shared" si="6"/>
        <v>3.9326991666666686E-2</v>
      </c>
      <c r="Q63" s="57">
        <f>AVERAGE(P63:P65)</f>
        <v>3.3649711666666679E-2</v>
      </c>
      <c r="R63" s="56">
        <f>STDEV(P63:P65)</f>
        <v>4.929455900776477E-3</v>
      </c>
      <c r="S63" s="58">
        <f>R63/Q63*100</f>
        <v>14.649325823672907</v>
      </c>
      <c r="T63" s="56"/>
    </row>
    <row r="64" spans="1:22" ht="14.45" customHeight="1" x14ac:dyDescent="0.25">
      <c r="D64" s="77"/>
      <c r="E64" s="17" t="s">
        <v>88</v>
      </c>
      <c r="F64" s="17">
        <f t="shared" ref="F64" si="29">F63</f>
        <v>10</v>
      </c>
      <c r="G64" s="57">
        <v>3.9199999999999999E-2</v>
      </c>
      <c r="H64" s="58">
        <v>3.7600000000000001E-2</v>
      </c>
      <c r="I64" s="56"/>
      <c r="J64" s="57">
        <f t="shared" si="1"/>
        <v>2.4500000000000008E-3</v>
      </c>
      <c r="K64" s="58">
        <f t="shared" si="2"/>
        <v>1.2166666666666645E-3</v>
      </c>
      <c r="L64" s="56"/>
      <c r="M64" s="62">
        <f t="shared" si="3"/>
        <v>2.1458333333333347E-3</v>
      </c>
      <c r="N64" s="56">
        <f t="shared" si="4"/>
        <v>0.15228120833333342</v>
      </c>
      <c r="O64" s="58">
        <f t="shared" si="5"/>
        <v>0.30456241666666684</v>
      </c>
      <c r="P64" s="56">
        <f t="shared" si="6"/>
        <v>3.0456241666666682E-2</v>
      </c>
      <c r="Q64" s="57"/>
      <c r="R64" s="56"/>
      <c r="S64" s="58"/>
      <c r="T64" s="56"/>
    </row>
    <row r="65" spans="4:20" ht="14.45" customHeight="1" x14ac:dyDescent="0.25">
      <c r="D65" s="78"/>
      <c r="E65" s="22" t="s">
        <v>89</v>
      </c>
      <c r="F65" s="22">
        <f t="shared" ref="F65" si="30">F63</f>
        <v>10</v>
      </c>
      <c r="G65" s="65">
        <v>3.9199999999999999E-2</v>
      </c>
      <c r="H65" s="66">
        <v>3.7400000000000003E-2</v>
      </c>
      <c r="I65" s="56"/>
      <c r="J65" s="57">
        <f t="shared" si="1"/>
        <v>2.4500000000000008E-3</v>
      </c>
      <c r="K65" s="58">
        <f t="shared" si="2"/>
        <v>1.0166666666666657E-3</v>
      </c>
      <c r="L65" s="56"/>
      <c r="M65" s="62">
        <f t="shared" si="3"/>
        <v>2.1958333333333344E-3</v>
      </c>
      <c r="N65" s="56">
        <f t="shared" si="4"/>
        <v>0.15582950833333339</v>
      </c>
      <c r="O65" s="58">
        <f t="shared" si="5"/>
        <v>0.31165901666666679</v>
      </c>
      <c r="P65" s="56">
        <f t="shared" si="6"/>
        <v>3.116590166666668E-2</v>
      </c>
      <c r="Q65" s="57"/>
      <c r="R65" s="56"/>
      <c r="S65" s="58"/>
      <c r="T65" s="56"/>
    </row>
    <row r="66" spans="4:20" ht="14.45" customHeight="1" x14ac:dyDescent="0.25">
      <c r="D66" s="76">
        <f>A40</f>
        <v>14</v>
      </c>
      <c r="E66" s="12" t="s">
        <v>90</v>
      </c>
      <c r="F66" s="12">
        <f>B40</f>
        <v>10</v>
      </c>
      <c r="G66" s="54">
        <v>7.7399999999999997E-2</v>
      </c>
      <c r="H66" s="55">
        <v>3.56E-2</v>
      </c>
      <c r="I66" s="56"/>
      <c r="J66" s="57">
        <f t="shared" si="1"/>
        <v>4.0649999999999999E-2</v>
      </c>
      <c r="K66" s="58">
        <f t="shared" si="2"/>
        <v>-7.8333333333333727E-4</v>
      </c>
      <c r="L66" s="56"/>
      <c r="M66" s="62">
        <f t="shared" si="3"/>
        <v>4.0845833333333331E-2</v>
      </c>
      <c r="N66" s="56">
        <f t="shared" si="4"/>
        <v>2.8986654083333327</v>
      </c>
      <c r="O66" s="58">
        <f t="shared" si="5"/>
        <v>5.7973308166666655</v>
      </c>
      <c r="P66" s="56">
        <f t="shared" si="6"/>
        <v>0.57973308166666659</v>
      </c>
      <c r="Q66" s="57">
        <f>AVERAGE(P66:P68)</f>
        <v>0.60185081833333332</v>
      </c>
      <c r="R66" s="56">
        <f>STDEV(P66:P68)</f>
        <v>2.4378482325970056E-2</v>
      </c>
      <c r="S66" s="58">
        <f>R66/Q66*100</f>
        <v>4.0505855576436396</v>
      </c>
      <c r="T66" s="56"/>
    </row>
    <row r="67" spans="4:20" ht="14.45" customHeight="1" x14ac:dyDescent="0.25">
      <c r="D67" s="77"/>
      <c r="E67" s="17" t="s">
        <v>91</v>
      </c>
      <c r="F67" s="17">
        <f t="shared" ref="F67" si="31">F66</f>
        <v>10</v>
      </c>
      <c r="G67" s="57">
        <v>8.09E-2</v>
      </c>
      <c r="H67" s="58">
        <v>3.5999999999999997E-2</v>
      </c>
      <c r="I67" s="56"/>
      <c r="J67" s="57">
        <f t="shared" si="1"/>
        <v>4.4150000000000002E-2</v>
      </c>
      <c r="K67" s="58">
        <f t="shared" si="2"/>
        <v>-3.8333333333333969E-4</v>
      </c>
      <c r="L67" s="56"/>
      <c r="M67" s="62">
        <f t="shared" si="3"/>
        <v>4.4245833333333338E-2</v>
      </c>
      <c r="N67" s="56">
        <f t="shared" si="4"/>
        <v>3.1399498083333333</v>
      </c>
      <c r="O67" s="58">
        <f t="shared" si="5"/>
        <v>6.2798996166666665</v>
      </c>
      <c r="P67" s="56">
        <f t="shared" si="6"/>
        <v>0.62798996166666665</v>
      </c>
      <c r="Q67" s="57"/>
      <c r="R67" s="56"/>
      <c r="S67" s="58"/>
      <c r="T67" s="56"/>
    </row>
    <row r="68" spans="4:20" ht="14.45" customHeight="1" x14ac:dyDescent="0.25">
      <c r="D68" s="78"/>
      <c r="E68" s="22" t="s">
        <v>92</v>
      </c>
      <c r="F68" s="22">
        <f t="shared" ref="F68" si="32">F66</f>
        <v>10</v>
      </c>
      <c r="G68" s="65">
        <v>7.8700000000000006E-2</v>
      </c>
      <c r="H68" s="66">
        <v>3.5700000000000003E-2</v>
      </c>
      <c r="I68" s="56"/>
      <c r="J68" s="57">
        <f t="shared" si="1"/>
        <v>4.1950000000000008E-2</v>
      </c>
      <c r="K68" s="58">
        <f t="shared" si="2"/>
        <v>-6.833333333333344E-4</v>
      </c>
      <c r="L68" s="56"/>
      <c r="M68" s="62">
        <f t="shared" si="3"/>
        <v>4.2120833333333343E-2</v>
      </c>
      <c r="N68" s="56">
        <f t="shared" si="4"/>
        <v>2.9891470583333337</v>
      </c>
      <c r="O68" s="58">
        <f t="shared" si="5"/>
        <v>5.9782941166666674</v>
      </c>
      <c r="P68" s="56">
        <f t="shared" si="6"/>
        <v>0.5978294116666667</v>
      </c>
      <c r="Q68" s="57"/>
      <c r="R68" s="56"/>
      <c r="S68" s="58"/>
      <c r="T68" s="56"/>
    </row>
    <row r="69" spans="4:20" ht="14.45" customHeight="1" x14ac:dyDescent="0.25">
      <c r="D69" s="76">
        <f>A41</f>
        <v>15</v>
      </c>
      <c r="E69" s="12" t="s">
        <v>93</v>
      </c>
      <c r="F69" s="12">
        <f>B41</f>
        <v>10</v>
      </c>
      <c r="G69" s="54">
        <v>0.17510000000000001</v>
      </c>
      <c r="H69" s="55">
        <v>3.5900000000000001E-2</v>
      </c>
      <c r="I69" s="56"/>
      <c r="J69" s="57">
        <f t="shared" si="1"/>
        <v>0.13835</v>
      </c>
      <c r="K69" s="58">
        <f t="shared" si="2"/>
        <v>-4.8333333333333561E-4</v>
      </c>
      <c r="L69" s="56"/>
      <c r="M69" s="62">
        <f t="shared" si="3"/>
        <v>0.13847083333333332</v>
      </c>
      <c r="N69" s="56">
        <f t="shared" si="4"/>
        <v>9.8267211583333314</v>
      </c>
      <c r="O69" s="58">
        <f t="shared" si="5"/>
        <v>19.653442316666663</v>
      </c>
      <c r="P69" s="56">
        <f t="shared" si="6"/>
        <v>1.9653442316666663</v>
      </c>
      <c r="Q69" s="57">
        <f>AVERAGE(P69:P71)</f>
        <v>2.0870509216666662</v>
      </c>
      <c r="R69" s="56">
        <f>STDEV(P69:P71)</f>
        <v>0.11599685222114466</v>
      </c>
      <c r="S69" s="58">
        <f>R69/Q69*100</f>
        <v>5.5579310987061348</v>
      </c>
      <c r="T69" s="56"/>
    </row>
    <row r="70" spans="4:20" ht="14.45" customHeight="1" x14ac:dyDescent="0.25">
      <c r="D70" s="77"/>
      <c r="E70" s="17" t="s">
        <v>94</v>
      </c>
      <c r="F70" s="17">
        <f t="shared" ref="F70" si="33">F69</f>
        <v>10</v>
      </c>
      <c r="G70" s="57">
        <v>0.1847</v>
      </c>
      <c r="H70" s="58">
        <v>3.6499999999999998E-2</v>
      </c>
      <c r="I70" s="56"/>
      <c r="J70" s="57">
        <f t="shared" si="1"/>
        <v>0.14795</v>
      </c>
      <c r="K70" s="58">
        <f t="shared" si="2"/>
        <v>1.1666666666666076E-4</v>
      </c>
      <c r="L70" s="56"/>
      <c r="M70" s="62">
        <f t="shared" si="3"/>
        <v>0.14792083333333333</v>
      </c>
      <c r="N70" s="56">
        <f t="shared" si="4"/>
        <v>10.497349858333333</v>
      </c>
      <c r="O70" s="58">
        <f t="shared" si="5"/>
        <v>20.994699716666666</v>
      </c>
      <c r="P70" s="56">
        <f t="shared" si="6"/>
        <v>2.0994699716666667</v>
      </c>
      <c r="Q70" s="57"/>
      <c r="R70" s="56"/>
      <c r="S70" s="58"/>
      <c r="T70" s="56"/>
    </row>
    <row r="71" spans="4:20" ht="14.45" customHeight="1" x14ac:dyDescent="0.25">
      <c r="D71" s="78"/>
      <c r="E71" s="22" t="s">
        <v>95</v>
      </c>
      <c r="F71" s="22">
        <f t="shared" ref="F71" si="34">F69</f>
        <v>10</v>
      </c>
      <c r="G71" s="65">
        <v>0.19139999999999999</v>
      </c>
      <c r="H71" s="66">
        <v>3.5999999999999997E-2</v>
      </c>
      <c r="I71" s="56"/>
      <c r="J71" s="57">
        <f t="shared" si="1"/>
        <v>0.15464999999999998</v>
      </c>
      <c r="K71" s="58">
        <f t="shared" si="2"/>
        <v>-3.8333333333333969E-4</v>
      </c>
      <c r="L71" s="56"/>
      <c r="M71" s="62">
        <f t="shared" si="3"/>
        <v>0.1547458333333333</v>
      </c>
      <c r="N71" s="56">
        <f t="shared" si="4"/>
        <v>10.98169280833333</v>
      </c>
      <c r="O71" s="58">
        <f t="shared" si="5"/>
        <v>21.96338561666666</v>
      </c>
      <c r="P71" s="56">
        <f t="shared" si="6"/>
        <v>2.196338561666666</v>
      </c>
      <c r="Q71" s="57"/>
      <c r="R71" s="56"/>
      <c r="S71" s="58"/>
      <c r="T71" s="56"/>
    </row>
    <row r="72" spans="4:20" ht="14.45" customHeight="1" x14ac:dyDescent="0.25">
      <c r="D72" s="76">
        <f>A42</f>
        <v>16</v>
      </c>
      <c r="E72" s="12" t="s">
        <v>96</v>
      </c>
      <c r="F72" s="12">
        <f>B42</f>
        <v>10</v>
      </c>
      <c r="G72" s="54">
        <v>4.6600000000000003E-2</v>
      </c>
      <c r="H72" s="55">
        <v>3.6400000000000002E-2</v>
      </c>
      <c r="I72" s="56"/>
      <c r="J72" s="57">
        <f t="shared" si="1"/>
        <v>9.8500000000000046E-3</v>
      </c>
      <c r="K72" s="58">
        <f t="shared" si="2"/>
        <v>1.6666666666664831E-5</v>
      </c>
      <c r="L72" s="56"/>
      <c r="M72" s="62">
        <f t="shared" si="3"/>
        <v>9.8458333333333384E-3</v>
      </c>
      <c r="N72" s="56">
        <f t="shared" si="4"/>
        <v>0.69871940833333368</v>
      </c>
      <c r="O72" s="58">
        <f t="shared" si="5"/>
        <v>1.3974388166666674</v>
      </c>
      <c r="P72" s="56">
        <f t="shared" si="6"/>
        <v>0.13974388166666674</v>
      </c>
      <c r="Q72" s="57">
        <f>AVERAGE(P72:P74)</f>
        <v>0.28546073500000002</v>
      </c>
      <c r="R72" s="56">
        <f>STDEV(P72:P74)</f>
        <v>0.23061802723632963</v>
      </c>
      <c r="S72" s="58">
        <f>R72/Q72*100</f>
        <v>80.78800302827274</v>
      </c>
      <c r="T72" s="56"/>
    </row>
    <row r="73" spans="4:20" ht="14.45" customHeight="1" x14ac:dyDescent="0.25">
      <c r="D73" s="77"/>
      <c r="E73" s="17" t="s">
        <v>97</v>
      </c>
      <c r="F73" s="17">
        <f t="shared" ref="F73" si="35">F72</f>
        <v>10</v>
      </c>
      <c r="G73" s="57">
        <v>4.8500000000000001E-2</v>
      </c>
      <c r="H73" s="58">
        <v>3.6799999999999999E-2</v>
      </c>
      <c r="I73" s="56"/>
      <c r="J73" s="57">
        <f t="shared" si="1"/>
        <v>1.1750000000000003E-2</v>
      </c>
      <c r="K73" s="58">
        <f t="shared" si="2"/>
        <v>4.1666666666666241E-4</v>
      </c>
      <c r="L73" s="56"/>
      <c r="M73" s="62">
        <f t="shared" si="3"/>
        <v>1.1645833333333338E-2</v>
      </c>
      <c r="N73" s="56">
        <f t="shared" si="4"/>
        <v>0.82645820833333361</v>
      </c>
      <c r="O73" s="58">
        <f t="shared" si="5"/>
        <v>1.6529164166666672</v>
      </c>
      <c r="P73" s="56">
        <f t="shared" si="6"/>
        <v>0.16529164166666671</v>
      </c>
      <c r="Q73" s="57"/>
      <c r="R73" s="56"/>
      <c r="S73" s="58"/>
      <c r="T73" s="56"/>
    </row>
    <row r="74" spans="4:20" ht="14.45" customHeight="1" x14ac:dyDescent="0.25">
      <c r="D74" s="78"/>
      <c r="E74" s="22" t="s">
        <v>98</v>
      </c>
      <c r="F74" s="22">
        <f t="shared" ref="F74" si="36">F72</f>
        <v>10</v>
      </c>
      <c r="G74" s="65">
        <v>8.3599999999999994E-2</v>
      </c>
      <c r="H74" s="66">
        <v>6.8400000000000002E-2</v>
      </c>
      <c r="I74" s="56"/>
      <c r="J74" s="57">
        <f t="shared" si="1"/>
        <v>4.6849999999999996E-2</v>
      </c>
      <c r="K74" s="58">
        <f t="shared" si="2"/>
        <v>3.2016666666666665E-2</v>
      </c>
      <c r="L74" s="56"/>
      <c r="M74" s="62">
        <f t="shared" si="3"/>
        <v>3.8845833333333329E-2</v>
      </c>
      <c r="N74" s="56">
        <f t="shared" si="4"/>
        <v>2.756733408333333</v>
      </c>
      <c r="O74" s="58">
        <f t="shared" si="5"/>
        <v>5.513466816666666</v>
      </c>
      <c r="P74" s="56">
        <f t="shared" si="6"/>
        <v>0.55134668166666656</v>
      </c>
      <c r="Q74" s="57"/>
      <c r="R74" s="56"/>
      <c r="S74" s="58"/>
      <c r="T74" s="56"/>
    </row>
    <row r="75" spans="4:20" ht="14.45" customHeight="1" x14ac:dyDescent="0.25">
      <c r="D75" s="76">
        <f>A43</f>
        <v>17</v>
      </c>
      <c r="E75" s="12" t="s">
        <v>99</v>
      </c>
      <c r="F75" s="12">
        <f>B43</f>
        <v>10</v>
      </c>
      <c r="G75" s="54">
        <v>3.9699999999999999E-2</v>
      </c>
      <c r="H75" s="55">
        <v>3.73E-2</v>
      </c>
      <c r="I75" s="56"/>
      <c r="J75" s="57">
        <f t="shared" si="1"/>
        <v>2.9500000000000012E-3</v>
      </c>
      <c r="K75" s="58">
        <f t="shared" si="2"/>
        <v>9.1666666666666285E-4</v>
      </c>
      <c r="L75" s="56"/>
      <c r="M75" s="62">
        <f t="shared" si="3"/>
        <v>2.7208333333333355E-3</v>
      </c>
      <c r="N75" s="56">
        <f t="shared" si="4"/>
        <v>0.19308665833333347</v>
      </c>
      <c r="O75" s="58">
        <f t="shared" si="5"/>
        <v>0.38617331666666693</v>
      </c>
      <c r="P75" s="56">
        <f t="shared" si="6"/>
        <v>3.8617331666666692E-2</v>
      </c>
      <c r="Q75" s="57">
        <f>AVERAGE(P75:P77)</f>
        <v>4.181080166666671E-2</v>
      </c>
      <c r="R75" s="56">
        <f>STDEV(P75:P77)</f>
        <v>3.6011311940417007E-3</v>
      </c>
      <c r="S75" s="58">
        <f>R75/Q75*100</f>
        <v>8.6129207058774728</v>
      </c>
      <c r="T75" s="56"/>
    </row>
    <row r="76" spans="4:20" ht="14.45" customHeight="1" x14ac:dyDescent="0.25">
      <c r="D76" s="77"/>
      <c r="E76" s="17" t="s">
        <v>100</v>
      </c>
      <c r="F76" s="17">
        <f t="shared" ref="F76" si="37">F75</f>
        <v>10</v>
      </c>
      <c r="G76" s="57">
        <v>4.0300000000000002E-2</v>
      </c>
      <c r="H76" s="58">
        <v>3.7699999999999997E-2</v>
      </c>
      <c r="I76" s="56"/>
      <c r="J76" s="57">
        <f t="shared" si="1"/>
        <v>3.5500000000000045E-3</v>
      </c>
      <c r="K76" s="58">
        <f t="shared" si="2"/>
        <v>1.3166666666666604E-3</v>
      </c>
      <c r="L76" s="56"/>
      <c r="M76" s="62">
        <f t="shared" si="3"/>
        <v>3.2208333333333394E-3</v>
      </c>
      <c r="N76" s="56">
        <f t="shared" si="4"/>
        <v>0.22856965833333376</v>
      </c>
      <c r="O76" s="58">
        <f t="shared" si="5"/>
        <v>0.45713931666666752</v>
      </c>
      <c r="P76" s="56">
        <f t="shared" si="6"/>
        <v>4.5713931666666749E-2</v>
      </c>
      <c r="Q76" s="57"/>
      <c r="R76" s="56"/>
      <c r="S76" s="58"/>
      <c r="T76" s="56"/>
    </row>
    <row r="77" spans="4:20" ht="14.45" customHeight="1" x14ac:dyDescent="0.25">
      <c r="D77" s="78"/>
      <c r="E77" s="22" t="s">
        <v>101</v>
      </c>
      <c r="F77" s="22">
        <f t="shared" ref="F77" si="38">F75</f>
        <v>10</v>
      </c>
      <c r="G77" s="65">
        <v>0.04</v>
      </c>
      <c r="H77" s="66">
        <v>3.78E-2</v>
      </c>
      <c r="I77" s="56"/>
      <c r="J77" s="57">
        <f t="shared" si="1"/>
        <v>3.2500000000000029E-3</v>
      </c>
      <c r="K77" s="58">
        <f t="shared" si="2"/>
        <v>1.4166666666666633E-3</v>
      </c>
      <c r="L77" s="56"/>
      <c r="M77" s="62">
        <f t="shared" si="3"/>
        <v>2.8958333333333371E-3</v>
      </c>
      <c r="N77" s="56">
        <f t="shared" si="4"/>
        <v>0.20550570833333359</v>
      </c>
      <c r="O77" s="58">
        <f t="shared" si="5"/>
        <v>0.41101141666666718</v>
      </c>
      <c r="P77" s="56">
        <f t="shared" si="6"/>
        <v>4.1101141666666716E-2</v>
      </c>
      <c r="Q77" s="57"/>
      <c r="R77" s="56"/>
      <c r="S77" s="58"/>
      <c r="T77" s="56"/>
    </row>
    <row r="78" spans="4:20" ht="14.45" customHeight="1" x14ac:dyDescent="0.25">
      <c r="D78" s="76">
        <f>A44</f>
        <v>18</v>
      </c>
      <c r="E78" s="12" t="s">
        <v>102</v>
      </c>
      <c r="F78" s="12">
        <f>B44</f>
        <v>10</v>
      </c>
      <c r="G78" s="54">
        <v>3.9199999999999999E-2</v>
      </c>
      <c r="H78" s="55">
        <v>3.6999999999999998E-2</v>
      </c>
      <c r="I78" s="56"/>
      <c r="J78" s="57">
        <f t="shared" si="1"/>
        <v>2.4500000000000008E-3</v>
      </c>
      <c r="K78" s="58">
        <f t="shared" si="2"/>
        <v>6.166666666666612E-4</v>
      </c>
      <c r="L78" s="56"/>
      <c r="M78" s="62">
        <f t="shared" si="3"/>
        <v>2.2958333333333355E-3</v>
      </c>
      <c r="N78" s="56">
        <f t="shared" si="4"/>
        <v>0.16292610833333349</v>
      </c>
      <c r="O78" s="58">
        <f t="shared" si="5"/>
        <v>0.32585221666666697</v>
      </c>
      <c r="P78" s="56">
        <f t="shared" si="6"/>
        <v>3.2585221666666699E-2</v>
      </c>
      <c r="Q78" s="57">
        <f>AVERAGE(P78:P80)</f>
        <v>3.6843181666666697E-2</v>
      </c>
      <c r="R78" s="56">
        <f>STDEV(P78:P80)</f>
        <v>7.3750030565959334E-3</v>
      </c>
      <c r="S78" s="58">
        <f>R78/Q78*100</f>
        <v>20.017280601116909</v>
      </c>
      <c r="T78" s="56"/>
    </row>
    <row r="79" spans="4:20" ht="14.45" customHeight="1" x14ac:dyDescent="0.25">
      <c r="D79" s="77"/>
      <c r="E79" s="17" t="s">
        <v>103</v>
      </c>
      <c r="F79" s="17">
        <f t="shared" ref="F79" si="39">F78</f>
        <v>10</v>
      </c>
      <c r="G79" s="57">
        <v>4.0599999999999997E-2</v>
      </c>
      <c r="H79" s="58">
        <v>3.9E-2</v>
      </c>
      <c r="I79" s="56"/>
      <c r="J79" s="57">
        <f t="shared" si="1"/>
        <v>3.8499999999999993E-3</v>
      </c>
      <c r="K79" s="58">
        <f t="shared" si="2"/>
        <v>2.616666666666663E-3</v>
      </c>
      <c r="L79" s="56"/>
      <c r="M79" s="62">
        <f t="shared" si="3"/>
        <v>3.1958333333333335E-3</v>
      </c>
      <c r="N79" s="56">
        <f t="shared" si="4"/>
        <v>0.22679550833333334</v>
      </c>
      <c r="O79" s="58">
        <f t="shared" si="5"/>
        <v>0.45359101666666668</v>
      </c>
      <c r="P79" s="56">
        <f t="shared" si="6"/>
        <v>4.5359101666666665E-2</v>
      </c>
      <c r="Q79" s="57"/>
      <c r="R79" s="56"/>
      <c r="S79" s="58"/>
      <c r="T79" s="56"/>
    </row>
    <row r="80" spans="4:20" ht="14.45" customHeight="1" x14ac:dyDescent="0.25">
      <c r="D80" s="78"/>
      <c r="E80" s="22" t="s">
        <v>104</v>
      </c>
      <c r="F80" s="22">
        <f t="shared" ref="F80" si="40">F78</f>
        <v>10</v>
      </c>
      <c r="G80" s="65">
        <v>3.9300000000000002E-2</v>
      </c>
      <c r="H80" s="66">
        <v>3.7400000000000003E-2</v>
      </c>
      <c r="I80" s="56"/>
      <c r="J80" s="57">
        <f t="shared" si="1"/>
        <v>2.5500000000000037E-3</v>
      </c>
      <c r="K80" s="58">
        <f t="shared" si="2"/>
        <v>1.0166666666666657E-3</v>
      </c>
      <c r="L80" s="56"/>
      <c r="M80" s="62">
        <f t="shared" si="3"/>
        <v>2.2958333333333372E-3</v>
      </c>
      <c r="N80" s="56">
        <f t="shared" si="4"/>
        <v>0.1629261083333336</v>
      </c>
      <c r="O80" s="58">
        <f t="shared" si="5"/>
        <v>0.32585221666666719</v>
      </c>
      <c r="P80" s="56">
        <f t="shared" si="6"/>
        <v>3.2585221666666719E-2</v>
      </c>
      <c r="Q80" s="57"/>
      <c r="R80" s="56"/>
      <c r="S80" s="58"/>
      <c r="T80" s="56"/>
    </row>
    <row r="81" spans="4:20" ht="14.45" customHeight="1" x14ac:dyDescent="0.25">
      <c r="D81" s="76">
        <f>A45</f>
        <v>19</v>
      </c>
      <c r="E81" s="12" t="s">
        <v>105</v>
      </c>
      <c r="F81" s="12">
        <f>B45</f>
        <v>10</v>
      </c>
      <c r="G81" s="54">
        <v>6.8599999999999994E-2</v>
      </c>
      <c r="H81" s="55">
        <v>3.6200000000000003E-2</v>
      </c>
      <c r="I81" s="56"/>
      <c r="J81" s="57">
        <f t="shared" si="1"/>
        <v>3.1849999999999996E-2</v>
      </c>
      <c r="K81" s="58">
        <f t="shared" si="2"/>
        <v>-1.8333333333333396E-4</v>
      </c>
      <c r="L81" s="56"/>
      <c r="M81" s="62">
        <f t="shared" si="3"/>
        <v>3.1895833333333332E-2</v>
      </c>
      <c r="N81" s="56">
        <f t="shared" si="4"/>
        <v>2.2635197083333329</v>
      </c>
      <c r="O81" s="58">
        <f t="shared" si="5"/>
        <v>4.5270394166666659</v>
      </c>
      <c r="P81" s="56">
        <f t="shared" si="6"/>
        <v>0.45270394166666661</v>
      </c>
      <c r="Q81" s="57">
        <f>AVERAGE(P81:P83)</f>
        <v>0.49161696500000002</v>
      </c>
      <c r="R81" s="56">
        <f>STDEV(P81:P83)</f>
        <v>3.4333049606340517E-2</v>
      </c>
      <c r="S81" s="58">
        <f>R81/Q81*100</f>
        <v>6.9836991093951601</v>
      </c>
      <c r="T81" s="56"/>
    </row>
    <row r="82" spans="4:20" ht="14.45" customHeight="1" x14ac:dyDescent="0.25">
      <c r="D82" s="77"/>
      <c r="E82" s="17" t="s">
        <v>106</v>
      </c>
      <c r="F82" s="17">
        <f t="shared" ref="F82" si="41">F81</f>
        <v>10</v>
      </c>
      <c r="G82" s="57">
        <v>7.3300000000000004E-2</v>
      </c>
      <c r="H82" s="58">
        <v>3.6700000000000003E-2</v>
      </c>
      <c r="I82" s="56"/>
      <c r="J82" s="57">
        <f t="shared" si="1"/>
        <v>3.6550000000000006E-2</v>
      </c>
      <c r="K82" s="58">
        <f t="shared" si="2"/>
        <v>3.1666666666666649E-4</v>
      </c>
      <c r="L82" s="56"/>
      <c r="M82" s="62">
        <f t="shared" si="3"/>
        <v>3.6470833333333341E-2</v>
      </c>
      <c r="N82" s="56">
        <f t="shared" si="4"/>
        <v>2.5881891583333339</v>
      </c>
      <c r="O82" s="58">
        <f t="shared" si="5"/>
        <v>5.1763783166666677</v>
      </c>
      <c r="P82" s="56">
        <f t="shared" si="6"/>
        <v>0.51763783166666677</v>
      </c>
      <c r="Q82" s="57"/>
      <c r="R82" s="56"/>
      <c r="S82" s="58"/>
      <c r="T82" s="56"/>
    </row>
    <row r="83" spans="4:20" ht="14.45" customHeight="1" x14ac:dyDescent="0.25">
      <c r="D83" s="78"/>
      <c r="E83" s="22" t="s">
        <v>107</v>
      </c>
      <c r="F83" s="22">
        <f t="shared" ref="F83" si="42">F81</f>
        <v>10</v>
      </c>
      <c r="G83" s="65">
        <v>7.2300000000000003E-2</v>
      </c>
      <c r="H83" s="66">
        <v>3.6400000000000002E-2</v>
      </c>
      <c r="I83" s="56"/>
      <c r="J83" s="57">
        <f t="shared" si="1"/>
        <v>3.5550000000000005E-2</v>
      </c>
      <c r="K83" s="58">
        <f t="shared" si="2"/>
        <v>1.6666666666664831E-5</v>
      </c>
      <c r="L83" s="56"/>
      <c r="M83" s="62">
        <f t="shared" si="3"/>
        <v>3.5545833333333339E-2</v>
      </c>
      <c r="N83" s="56">
        <f t="shared" si="4"/>
        <v>2.5225456083333335</v>
      </c>
      <c r="O83" s="58">
        <f t="shared" si="5"/>
        <v>5.045091216666667</v>
      </c>
      <c r="P83" s="56">
        <f t="shared" si="6"/>
        <v>0.50450912166666673</v>
      </c>
      <c r="Q83" s="57"/>
      <c r="R83" s="56"/>
      <c r="S83" s="58"/>
      <c r="T83" s="56"/>
    </row>
    <row r="84" spans="4:20" ht="14.45" customHeight="1" x14ac:dyDescent="0.25">
      <c r="D84" s="76">
        <f>A46</f>
        <v>20</v>
      </c>
      <c r="E84" s="12" t="s">
        <v>108</v>
      </c>
      <c r="F84" s="12">
        <f>B46</f>
        <v>10</v>
      </c>
      <c r="G84" s="54">
        <v>4.19E-2</v>
      </c>
      <c r="H84" s="55">
        <v>3.5299999999999998E-2</v>
      </c>
      <c r="I84" s="56"/>
      <c r="J84" s="57">
        <f t="shared" si="1"/>
        <v>5.1500000000000018E-3</v>
      </c>
      <c r="K84" s="58">
        <f t="shared" si="2"/>
        <v>-1.0833333333333389E-3</v>
      </c>
      <c r="L84" s="56"/>
      <c r="M84" s="62">
        <f t="shared" si="3"/>
        <v>5.4208333333333365E-3</v>
      </c>
      <c r="N84" s="56">
        <f t="shared" si="4"/>
        <v>0.3846948583333335</v>
      </c>
      <c r="O84" s="58">
        <f t="shared" si="5"/>
        <v>0.769389716666667</v>
      </c>
      <c r="P84" s="56">
        <f t="shared" si="6"/>
        <v>7.6938971666666703E-2</v>
      </c>
      <c r="Q84" s="57">
        <f>AVERAGE(P84:P86)</f>
        <v>8.2497975000000015E-2</v>
      </c>
      <c r="R84" s="56">
        <f>STDEV(P84:P86)</f>
        <v>6.7913881119424403E-3</v>
      </c>
      <c r="S84" s="58">
        <f>R84/Q84*100</f>
        <v>8.2321876530211053</v>
      </c>
      <c r="T84" s="56"/>
    </row>
    <row r="85" spans="4:20" ht="14.45" customHeight="1" x14ac:dyDescent="0.25">
      <c r="D85" s="77"/>
      <c r="E85" s="17" t="s">
        <v>109</v>
      </c>
      <c r="F85" s="17">
        <f t="shared" ref="F85" si="43">F84</f>
        <v>10</v>
      </c>
      <c r="G85" s="57">
        <v>4.2299999999999997E-2</v>
      </c>
      <c r="H85" s="58">
        <v>3.5900000000000001E-2</v>
      </c>
      <c r="I85" s="56"/>
      <c r="J85" s="57">
        <f t="shared" si="1"/>
        <v>5.5499999999999994E-3</v>
      </c>
      <c r="K85" s="58">
        <f t="shared" si="2"/>
        <v>-4.8333333333333561E-4</v>
      </c>
      <c r="L85" s="56"/>
      <c r="M85" s="62">
        <f t="shared" si="3"/>
        <v>5.6708333333333333E-3</v>
      </c>
      <c r="N85" s="56">
        <f t="shared" si="4"/>
        <v>0.4024363583333333</v>
      </c>
      <c r="O85" s="58">
        <f t="shared" si="5"/>
        <v>0.8048727166666666</v>
      </c>
      <c r="P85" s="56">
        <f t="shared" si="6"/>
        <v>8.0487271666666665E-2</v>
      </c>
      <c r="Q85" s="57"/>
      <c r="R85" s="56"/>
      <c r="S85" s="58"/>
      <c r="T85" s="56"/>
    </row>
    <row r="86" spans="4:20" ht="14.45" customHeight="1" x14ac:dyDescent="0.25">
      <c r="D86" s="78"/>
      <c r="E86" s="22" t="s">
        <v>110</v>
      </c>
      <c r="F86" s="22">
        <f t="shared" ref="F86" si="44">F84</f>
        <v>10</v>
      </c>
      <c r="G86" s="65">
        <v>4.2999999999999997E-2</v>
      </c>
      <c r="H86" s="66">
        <v>3.5999999999999997E-2</v>
      </c>
      <c r="I86" s="56"/>
      <c r="J86" s="57">
        <f t="shared" si="1"/>
        <v>6.2499999999999986E-3</v>
      </c>
      <c r="K86" s="58">
        <f t="shared" si="2"/>
        <v>-3.8333333333333969E-4</v>
      </c>
      <c r="L86" s="56"/>
      <c r="M86" s="62">
        <f t="shared" si="3"/>
        <v>6.3458333333333335E-3</v>
      </c>
      <c r="N86" s="56">
        <f t="shared" si="4"/>
        <v>0.45033840833333333</v>
      </c>
      <c r="O86" s="58">
        <f t="shared" si="5"/>
        <v>0.90067681666666666</v>
      </c>
      <c r="P86" s="56">
        <f t="shared" si="6"/>
        <v>9.0067681666666663E-2</v>
      </c>
      <c r="Q86" s="57"/>
      <c r="R86" s="56"/>
      <c r="S86" s="58"/>
      <c r="T86" s="56"/>
    </row>
    <row r="87" spans="4:20" ht="14.45" customHeight="1" x14ac:dyDescent="0.25">
      <c r="D87" s="76">
        <f>A47</f>
        <v>21</v>
      </c>
      <c r="E87" s="12" t="s">
        <v>111</v>
      </c>
      <c r="F87" s="12">
        <f>B47</f>
        <v>10</v>
      </c>
      <c r="G87" s="54">
        <v>3.9800000000000002E-2</v>
      </c>
      <c r="H87" s="55">
        <v>3.5700000000000003E-2</v>
      </c>
      <c r="I87" s="56"/>
      <c r="J87" s="57">
        <f t="shared" si="1"/>
        <v>3.0500000000000041E-3</v>
      </c>
      <c r="K87" s="58">
        <f t="shared" si="2"/>
        <v>-6.833333333333344E-4</v>
      </c>
      <c r="L87" s="56"/>
      <c r="M87" s="62">
        <f t="shared" si="3"/>
        <v>3.2208333333333377E-3</v>
      </c>
      <c r="N87" s="56">
        <f t="shared" si="4"/>
        <v>0.22856965833333362</v>
      </c>
      <c r="O87" s="58">
        <f t="shared" si="5"/>
        <v>0.45713931666666724</v>
      </c>
      <c r="P87" s="56">
        <f t="shared" si="6"/>
        <v>4.5713931666666721E-2</v>
      </c>
      <c r="Q87" s="57">
        <f>AVERAGE(P87:P89)</f>
        <v>6.2154388333333366E-2</v>
      </c>
      <c r="R87" s="56">
        <f>STDEV(P87:P89)</f>
        <v>1.6499912944965296E-2</v>
      </c>
      <c r="S87" s="58">
        <f>R87/Q87*100</f>
        <v>26.546658067772182</v>
      </c>
      <c r="T87" s="56"/>
    </row>
    <row r="88" spans="4:20" ht="14.45" customHeight="1" x14ac:dyDescent="0.25">
      <c r="D88" s="77"/>
      <c r="E88" s="17" t="s">
        <v>112</v>
      </c>
      <c r="F88" s="17">
        <f t="shared" ref="F88:F97" si="45">F87</f>
        <v>10</v>
      </c>
      <c r="G88" s="57">
        <v>4.1200000000000001E-2</v>
      </c>
      <c r="H88" s="58">
        <v>3.6700000000000003E-2</v>
      </c>
      <c r="I88" s="56"/>
      <c r="J88" s="57">
        <f t="shared" si="1"/>
        <v>4.4500000000000026E-3</v>
      </c>
      <c r="K88" s="58">
        <f t="shared" si="2"/>
        <v>3.1666666666666649E-4</v>
      </c>
      <c r="L88" s="56"/>
      <c r="M88" s="62">
        <f t="shared" si="3"/>
        <v>4.3708333333333359E-3</v>
      </c>
      <c r="N88" s="56">
        <f t="shared" si="4"/>
        <v>0.31018055833333347</v>
      </c>
      <c r="O88" s="58">
        <f t="shared" si="5"/>
        <v>0.62036111666666693</v>
      </c>
      <c r="P88" s="56">
        <f t="shared" si="6"/>
        <v>6.2036111666666692E-2</v>
      </c>
      <c r="Q88" s="57"/>
      <c r="R88" s="56"/>
      <c r="S88" s="58"/>
      <c r="T88" s="56"/>
    </row>
    <row r="89" spans="4:20" ht="14.45" customHeight="1" x14ac:dyDescent="0.25">
      <c r="D89" s="78"/>
      <c r="E89" s="22" t="s">
        <v>113</v>
      </c>
      <c r="F89" s="22">
        <f t="shared" ref="F89:F98" si="46">F87</f>
        <v>10</v>
      </c>
      <c r="G89" s="65">
        <v>4.2799999999999998E-2</v>
      </c>
      <c r="H89" s="66">
        <v>3.8399999999999997E-2</v>
      </c>
      <c r="I89" s="56"/>
      <c r="J89" s="57">
        <f t="shared" si="1"/>
        <v>6.0499999999999998E-3</v>
      </c>
      <c r="K89" s="58">
        <f t="shared" si="2"/>
        <v>2.0166666666666597E-3</v>
      </c>
      <c r="L89" s="56"/>
      <c r="M89" s="62">
        <f t="shared" si="3"/>
        <v>5.5458333333333349E-3</v>
      </c>
      <c r="N89" s="56">
        <f t="shared" si="4"/>
        <v>0.39356560833333343</v>
      </c>
      <c r="O89" s="58">
        <f t="shared" si="5"/>
        <v>0.78713121666666686</v>
      </c>
      <c r="P89" s="56">
        <f t="shared" si="6"/>
        <v>7.8713121666666691E-2</v>
      </c>
      <c r="Q89" s="57"/>
      <c r="R89" s="56"/>
      <c r="S89" s="58"/>
      <c r="T89" s="56"/>
    </row>
    <row r="90" spans="4:20" ht="14.45" customHeight="1" x14ac:dyDescent="0.25">
      <c r="D90" s="76">
        <f>A48</f>
        <v>22</v>
      </c>
      <c r="E90" s="12" t="s">
        <v>114</v>
      </c>
      <c r="F90" s="12">
        <f>B48</f>
        <v>10</v>
      </c>
      <c r="G90" s="54">
        <v>3.9199999999999999E-2</v>
      </c>
      <c r="H90" s="55">
        <v>3.7199999999999997E-2</v>
      </c>
      <c r="I90" s="56"/>
      <c r="J90" s="57">
        <f t="shared" si="1"/>
        <v>2.4500000000000008E-3</v>
      </c>
      <c r="K90" s="58">
        <f t="shared" si="2"/>
        <v>8.1666666666665999E-4</v>
      </c>
      <c r="L90" s="56"/>
      <c r="M90" s="62">
        <f t="shared" si="3"/>
        <v>2.2458333333333358E-3</v>
      </c>
      <c r="N90" s="56">
        <f t="shared" si="4"/>
        <v>0.15937780833333348</v>
      </c>
      <c r="O90" s="58">
        <f t="shared" si="5"/>
        <v>0.31875561666666696</v>
      </c>
      <c r="P90" s="56">
        <f t="shared" si="6"/>
        <v>3.1875561666666698E-2</v>
      </c>
      <c r="Q90" s="57">
        <f>AVERAGE(P90:P92)</f>
        <v>3.3176605000000053E-2</v>
      </c>
      <c r="R90" s="56">
        <f>STDEV(P90:P92)</f>
        <v>5.2669650148480327E-3</v>
      </c>
      <c r="S90" s="58">
        <f>R90/Q90*100</f>
        <v>15.875539449705672</v>
      </c>
      <c r="T90" s="56"/>
    </row>
    <row r="91" spans="4:20" ht="14.45" customHeight="1" x14ac:dyDescent="0.25">
      <c r="D91" s="77"/>
      <c r="E91" s="17" t="s">
        <v>115</v>
      </c>
      <c r="F91" s="17">
        <f t="shared" si="45"/>
        <v>10</v>
      </c>
      <c r="G91" s="57">
        <v>3.9699999999999999E-2</v>
      </c>
      <c r="H91" s="58">
        <v>3.7199999999999997E-2</v>
      </c>
      <c r="I91" s="56"/>
      <c r="J91" s="57">
        <f t="shared" ref="J91:J98" si="47">G91-$J$14</f>
        <v>2.9500000000000012E-3</v>
      </c>
      <c r="K91" s="58">
        <f t="shared" ref="K91:K98" si="48">H91-$K$14</f>
        <v>8.1666666666665999E-4</v>
      </c>
      <c r="L91" s="56"/>
      <c r="M91" s="62">
        <f t="shared" si="3"/>
        <v>2.7458333333333362E-3</v>
      </c>
      <c r="N91" s="56">
        <f t="shared" si="4"/>
        <v>0.19486080833333352</v>
      </c>
      <c r="O91" s="58">
        <f t="shared" si="5"/>
        <v>0.38972161666666705</v>
      </c>
      <c r="P91" s="56">
        <f t="shared" si="6"/>
        <v>3.8972161666666706E-2</v>
      </c>
      <c r="Q91" s="57"/>
      <c r="R91" s="56"/>
      <c r="S91" s="58"/>
      <c r="T91" s="56"/>
    </row>
    <row r="92" spans="4:20" ht="14.45" customHeight="1" x14ac:dyDescent="0.25">
      <c r="D92" s="78"/>
      <c r="E92" s="22" t="s">
        <v>116</v>
      </c>
      <c r="F92" s="22">
        <f t="shared" si="46"/>
        <v>10</v>
      </c>
      <c r="G92" s="65">
        <v>3.9100000000000003E-2</v>
      </c>
      <c r="H92" s="66">
        <v>3.7699999999999997E-2</v>
      </c>
      <c r="I92" s="56"/>
      <c r="J92" s="57">
        <f t="shared" si="47"/>
        <v>2.3500000000000049E-3</v>
      </c>
      <c r="K92" s="58">
        <f t="shared" si="48"/>
        <v>1.3166666666666604E-3</v>
      </c>
      <c r="L92" s="56"/>
      <c r="M92" s="62">
        <f t="shared" ref="M92:M98" si="49">J92-(0.25*K92)</f>
        <v>2.0208333333333398E-3</v>
      </c>
      <c r="N92" s="56">
        <f t="shared" ref="N92:N98" si="50">M92*70.966</f>
        <v>0.14341045833333377</v>
      </c>
      <c r="O92" s="58">
        <f t="shared" ref="O92:O98" si="51">N92*2</f>
        <v>0.28682091666666754</v>
      </c>
      <c r="P92" s="56">
        <f t="shared" ref="P92:P98" si="52">O92/F92</f>
        <v>2.8682091666666753E-2</v>
      </c>
      <c r="Q92" s="57"/>
      <c r="R92" s="56"/>
      <c r="S92" s="58"/>
      <c r="T92" s="56"/>
    </row>
    <row r="93" spans="4:20" ht="14.45" customHeight="1" x14ac:dyDescent="0.25">
      <c r="D93" s="76">
        <f>A49</f>
        <v>23</v>
      </c>
      <c r="E93" s="12" t="s">
        <v>117</v>
      </c>
      <c r="F93" s="12">
        <f>B49</f>
        <v>10</v>
      </c>
      <c r="G93" s="54">
        <v>4.1500000000000002E-2</v>
      </c>
      <c r="H93" s="55">
        <v>3.5999999999999997E-2</v>
      </c>
      <c r="I93" s="56"/>
      <c r="J93" s="57">
        <f t="shared" si="47"/>
        <v>4.7500000000000042E-3</v>
      </c>
      <c r="K93" s="58">
        <f t="shared" si="48"/>
        <v>-3.8333333333333969E-4</v>
      </c>
      <c r="L93" s="56"/>
      <c r="M93" s="62">
        <f t="shared" si="49"/>
        <v>4.8458333333333391E-3</v>
      </c>
      <c r="N93" s="56">
        <f t="shared" si="50"/>
        <v>0.3438894083333337</v>
      </c>
      <c r="O93" s="58">
        <f t="shared" si="51"/>
        <v>0.6877788166666674</v>
      </c>
      <c r="P93" s="56">
        <f t="shared" si="52"/>
        <v>6.8777881666666735E-2</v>
      </c>
      <c r="Q93" s="57">
        <f>AVERAGE(P93:P95)</f>
        <v>7.3154118333333393E-2</v>
      </c>
      <c r="R93" s="56">
        <f>STDEV(P93:P95)</f>
        <v>6.9743128023507595E-3</v>
      </c>
      <c r="S93" s="58">
        <f>R93/Q93*100</f>
        <v>9.5337254569478489</v>
      </c>
      <c r="T93" s="56"/>
    </row>
    <row r="94" spans="4:20" ht="14.45" customHeight="1" x14ac:dyDescent="0.25">
      <c r="D94" s="77"/>
      <c r="E94" s="17" t="s">
        <v>118</v>
      </c>
      <c r="F94" s="17">
        <f t="shared" si="45"/>
        <v>10</v>
      </c>
      <c r="G94" s="57">
        <v>4.1599999999999998E-2</v>
      </c>
      <c r="H94" s="58">
        <v>3.6200000000000003E-2</v>
      </c>
      <c r="I94" s="56"/>
      <c r="J94" s="57">
        <f t="shared" si="47"/>
        <v>4.8500000000000001E-3</v>
      </c>
      <c r="K94" s="58">
        <f t="shared" si="48"/>
        <v>-1.8333333333333396E-4</v>
      </c>
      <c r="L94" s="56"/>
      <c r="M94" s="62">
        <f t="shared" si="49"/>
        <v>4.8958333333333336E-3</v>
      </c>
      <c r="N94" s="56">
        <f t="shared" si="50"/>
        <v>0.34743770833333332</v>
      </c>
      <c r="O94" s="58">
        <f t="shared" si="51"/>
        <v>0.69487541666666663</v>
      </c>
      <c r="P94" s="56">
        <f t="shared" si="52"/>
        <v>6.9487541666666666E-2</v>
      </c>
      <c r="Q94" s="57"/>
      <c r="R94" s="56"/>
      <c r="S94" s="58"/>
      <c r="T94" s="56"/>
    </row>
    <row r="95" spans="4:20" ht="14.45" customHeight="1" x14ac:dyDescent="0.25">
      <c r="D95" s="78"/>
      <c r="E95" s="22" t="s">
        <v>119</v>
      </c>
      <c r="F95" s="22">
        <f t="shared" si="46"/>
        <v>10</v>
      </c>
      <c r="G95" s="65">
        <v>4.2500000000000003E-2</v>
      </c>
      <c r="H95" s="66">
        <v>3.6499999999999998E-2</v>
      </c>
      <c r="I95" s="56"/>
      <c r="J95" s="57">
        <f t="shared" si="47"/>
        <v>5.7500000000000051E-3</v>
      </c>
      <c r="K95" s="58">
        <f t="shared" si="48"/>
        <v>1.1666666666666076E-4</v>
      </c>
      <c r="L95" s="56"/>
      <c r="M95" s="62">
        <f t="shared" si="49"/>
        <v>5.7208333333333399E-3</v>
      </c>
      <c r="N95" s="56">
        <f t="shared" si="50"/>
        <v>0.40598465833333375</v>
      </c>
      <c r="O95" s="58">
        <f t="shared" si="51"/>
        <v>0.8119693166666675</v>
      </c>
      <c r="P95" s="56">
        <f t="shared" si="52"/>
        <v>8.119693166666675E-2</v>
      </c>
      <c r="Q95" s="57"/>
      <c r="R95" s="56"/>
      <c r="S95" s="58"/>
      <c r="T95" s="56"/>
    </row>
    <row r="96" spans="4:20" ht="14.45" customHeight="1" x14ac:dyDescent="0.25">
      <c r="D96" s="76">
        <f>A50</f>
        <v>24</v>
      </c>
      <c r="E96" s="12" t="s">
        <v>120</v>
      </c>
      <c r="F96" s="12">
        <f>B50</f>
        <v>10</v>
      </c>
      <c r="G96" s="54">
        <v>4.2299999999999997E-2</v>
      </c>
      <c r="H96" s="55">
        <v>3.9399999999999998E-2</v>
      </c>
      <c r="I96" s="56"/>
      <c r="J96" s="57">
        <f t="shared" si="47"/>
        <v>5.5499999999999994E-3</v>
      </c>
      <c r="K96" s="58">
        <f t="shared" si="48"/>
        <v>3.0166666666666606E-3</v>
      </c>
      <c r="L96" s="56"/>
      <c r="M96" s="62">
        <f t="shared" si="49"/>
        <v>4.7958333333333342E-3</v>
      </c>
      <c r="N96" s="56">
        <f t="shared" si="50"/>
        <v>0.34034110833333336</v>
      </c>
      <c r="O96" s="58">
        <f t="shared" si="51"/>
        <v>0.68068221666666673</v>
      </c>
      <c r="P96" s="56">
        <f t="shared" si="52"/>
        <v>6.8068221666666678E-2</v>
      </c>
      <c r="Q96" s="57">
        <f>AVERAGE(P96:P98)</f>
        <v>5.4111575000000002E-2</v>
      </c>
      <c r="R96" s="56">
        <f>STDEV(P96:P98)</f>
        <v>1.7845279933297008E-2</v>
      </c>
      <c r="S96" s="58">
        <f>R96/Q96*100</f>
        <v>32.978674032860823</v>
      </c>
      <c r="T96" s="56"/>
    </row>
    <row r="97" spans="4:20" ht="14.45" customHeight="1" x14ac:dyDescent="0.25">
      <c r="D97" s="77"/>
      <c r="E97" s="17" t="s">
        <v>121</v>
      </c>
      <c r="F97" s="17">
        <f t="shared" si="45"/>
        <v>10</v>
      </c>
      <c r="G97" s="57">
        <v>4.1799999999999997E-2</v>
      </c>
      <c r="H97" s="58">
        <v>3.9600000000000003E-2</v>
      </c>
      <c r="I97" s="56"/>
      <c r="J97" s="57">
        <f t="shared" si="47"/>
        <v>5.0499999999999989E-3</v>
      </c>
      <c r="K97" s="58">
        <f t="shared" si="48"/>
        <v>3.2166666666666663E-3</v>
      </c>
      <c r="L97" s="56"/>
      <c r="M97" s="62">
        <f t="shared" si="49"/>
        <v>4.2458333333333324E-3</v>
      </c>
      <c r="N97" s="56">
        <f t="shared" si="50"/>
        <v>0.30130980833333326</v>
      </c>
      <c r="O97" s="58">
        <f t="shared" si="51"/>
        <v>0.60261961666666652</v>
      </c>
      <c r="P97" s="56">
        <f t="shared" si="52"/>
        <v>6.0261961666666655E-2</v>
      </c>
      <c r="Q97" s="57"/>
      <c r="R97" s="56"/>
      <c r="S97" s="58"/>
      <c r="T97" s="56"/>
    </row>
    <row r="98" spans="4:20" ht="14.45" customHeight="1" x14ac:dyDescent="0.25">
      <c r="D98" s="78"/>
      <c r="E98" s="22" t="s">
        <v>122</v>
      </c>
      <c r="F98" s="22">
        <f t="shared" si="46"/>
        <v>10</v>
      </c>
      <c r="G98" s="65">
        <v>3.9399999999999998E-2</v>
      </c>
      <c r="H98" s="66">
        <v>3.7400000000000003E-2</v>
      </c>
      <c r="I98" s="56"/>
      <c r="J98" s="65">
        <f t="shared" si="47"/>
        <v>2.6499999999999996E-3</v>
      </c>
      <c r="K98" s="58">
        <f t="shared" si="48"/>
        <v>1.0166666666666657E-3</v>
      </c>
      <c r="L98" s="56"/>
      <c r="M98" s="69">
        <f t="shared" si="49"/>
        <v>2.3958333333333331E-3</v>
      </c>
      <c r="N98" s="56">
        <f t="shared" si="50"/>
        <v>0.1700227083333333</v>
      </c>
      <c r="O98" s="58">
        <f t="shared" si="51"/>
        <v>0.3400454166666666</v>
      </c>
      <c r="P98" s="70">
        <f t="shared" si="52"/>
        <v>3.4004541666666659E-2</v>
      </c>
      <c r="Q98" s="65"/>
      <c r="R98" s="70"/>
      <c r="S98" s="66"/>
      <c r="T98" s="56"/>
    </row>
    <row r="99" spans="4:20" x14ac:dyDescent="0.25">
      <c r="N99" s="35"/>
    </row>
  </sheetData>
  <mergeCells count="31">
    <mergeCell ref="D39:D41"/>
    <mergeCell ref="E1:G2"/>
    <mergeCell ref="F4:G4"/>
    <mergeCell ref="J4:K4"/>
    <mergeCell ref="P4:Q4"/>
    <mergeCell ref="P5:Q5"/>
    <mergeCell ref="I18:K18"/>
    <mergeCell ref="A25:B25"/>
    <mergeCell ref="D27:D29"/>
    <mergeCell ref="D30:D32"/>
    <mergeCell ref="D33:D35"/>
    <mergeCell ref="D36:D38"/>
    <mergeCell ref="D75:D77"/>
    <mergeCell ref="D42:D44"/>
    <mergeCell ref="D45:D47"/>
    <mergeCell ref="D48:D50"/>
    <mergeCell ref="D51:D53"/>
    <mergeCell ref="D54:D56"/>
    <mergeCell ref="D57:D59"/>
    <mergeCell ref="D60:D62"/>
    <mergeCell ref="D63:D65"/>
    <mergeCell ref="D66:D68"/>
    <mergeCell ref="D69:D71"/>
    <mergeCell ref="D72:D74"/>
    <mergeCell ref="D96:D98"/>
    <mergeCell ref="D78:D80"/>
    <mergeCell ref="D81:D83"/>
    <mergeCell ref="D84:D86"/>
    <mergeCell ref="D87:D89"/>
    <mergeCell ref="D90:D92"/>
    <mergeCell ref="D93:D95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FD0F8-025F-4478-8669-F33625040145}">
  <dimension ref="A1:X99"/>
  <sheetViews>
    <sheetView zoomScale="90" zoomScaleNormal="90" workbookViewId="0">
      <selection activeCell="T27" sqref="T27:U50"/>
    </sheetView>
  </sheetViews>
  <sheetFormatPr defaultColWidth="8.85546875" defaultRowHeight="15" x14ac:dyDescent="0.25"/>
  <cols>
    <col min="1" max="1" width="10.5703125" bestFit="1" customWidth="1"/>
    <col min="2" max="2" width="9.140625" bestFit="1" customWidth="1"/>
    <col min="4" max="4" width="9.42578125" customWidth="1"/>
    <col min="5" max="5" width="10" customWidth="1"/>
    <col min="6" max="6" width="11.7109375" customWidth="1"/>
    <col min="7" max="7" width="12.5703125" customWidth="1"/>
    <col min="8" max="8" width="12.7109375" customWidth="1"/>
    <col min="10" max="11" width="9" customWidth="1"/>
    <col min="12" max="12" width="11.7109375" customWidth="1"/>
    <col min="13" max="13" width="9" customWidth="1"/>
    <col min="14" max="14" width="11.7109375" bestFit="1" customWidth="1"/>
    <col min="15" max="15" width="9" customWidth="1"/>
    <col min="16" max="16" width="9" bestFit="1" customWidth="1"/>
    <col min="17" max="17" width="10.85546875" customWidth="1"/>
    <col min="18" max="18" width="10.7109375" customWidth="1"/>
    <col min="19" max="19" width="9" bestFit="1" customWidth="1"/>
    <col min="20" max="20" width="9.5703125" bestFit="1" customWidth="1"/>
    <col min="21" max="21" width="9.5703125" customWidth="1"/>
  </cols>
  <sheetData>
    <row r="1" spans="1:17" x14ac:dyDescent="0.25">
      <c r="E1" s="79" t="s">
        <v>0</v>
      </c>
      <c r="F1" s="79"/>
      <c r="G1" s="79"/>
    </row>
    <row r="2" spans="1:17" x14ac:dyDescent="0.25">
      <c r="E2" s="79"/>
      <c r="F2" s="79"/>
      <c r="G2" s="79"/>
    </row>
    <row r="4" spans="1:17" ht="28.5" customHeight="1" x14ac:dyDescent="0.25">
      <c r="B4" t="s">
        <v>1</v>
      </c>
      <c r="E4" s="1"/>
      <c r="F4" s="80" t="s">
        <v>1</v>
      </c>
      <c r="G4" s="81"/>
      <c r="I4" s="1"/>
      <c r="J4" s="80" t="s">
        <v>1</v>
      </c>
      <c r="K4" s="81"/>
      <c r="L4" s="2"/>
      <c r="M4" s="71" t="s">
        <v>2</v>
      </c>
      <c r="N4" s="72"/>
      <c r="O4" s="2"/>
      <c r="P4" s="82" t="s">
        <v>3</v>
      </c>
      <c r="Q4" s="83"/>
    </row>
    <row r="5" spans="1:17" ht="17.25" customHeight="1" x14ac:dyDescent="0.25">
      <c r="A5" t="s">
        <v>4</v>
      </c>
      <c r="B5" t="s">
        <v>5</v>
      </c>
      <c r="C5" t="s">
        <v>6</v>
      </c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2" t="s">
        <v>1</v>
      </c>
      <c r="Q5" s="83"/>
    </row>
    <row r="6" spans="1:17" x14ac:dyDescent="0.25">
      <c r="A6" t="s">
        <v>125</v>
      </c>
      <c r="B6">
        <v>3.8699999999999998E-2</v>
      </c>
      <c r="C6">
        <v>3.7499999999999999E-2</v>
      </c>
      <c r="E6" s="11" t="s">
        <v>8</v>
      </c>
      <c r="F6">
        <v>3.5200000000000002E-2</v>
      </c>
      <c r="G6">
        <v>3.4500000000000003E-2</v>
      </c>
      <c r="I6" s="13">
        <v>12.5</v>
      </c>
      <c r="J6" s="14">
        <f>AVERAGE(F9:F11, B9)</f>
        <v>0.272725</v>
      </c>
      <c r="K6" s="15">
        <f>AVERAGE(G9:G11, C9)</f>
        <v>3.7074999999999997E-2</v>
      </c>
      <c r="M6" s="14">
        <f>J6-$J$14</f>
        <v>0.23490833333333333</v>
      </c>
      <c r="N6" s="15">
        <f>K6-$K$14</f>
        <v>1.41666666666658E-4</v>
      </c>
      <c r="P6" s="1" t="s">
        <v>5</v>
      </c>
      <c r="Q6" s="7" t="s">
        <v>7</v>
      </c>
    </row>
    <row r="7" spans="1:17" x14ac:dyDescent="0.25">
      <c r="A7" t="s">
        <v>126</v>
      </c>
      <c r="B7">
        <v>3.6400000000000002E-2</v>
      </c>
      <c r="C7">
        <v>3.5900000000000001E-2</v>
      </c>
      <c r="E7" s="16" t="s">
        <v>9</v>
      </c>
      <c r="F7">
        <v>3.9199999999999999E-2</v>
      </c>
      <c r="G7">
        <v>3.8699999999999998E-2</v>
      </c>
      <c r="I7" s="18">
        <v>25</v>
      </c>
      <c r="J7" s="19">
        <f>AVERAGE(F12:F14)</f>
        <v>0.49770000000000003</v>
      </c>
      <c r="K7" s="20">
        <f>AVERAGE(G12:G14)</f>
        <v>3.7833333333333337E-2</v>
      </c>
      <c r="M7" s="19">
        <f>J7-$J$14</f>
        <v>0.45988333333333337</v>
      </c>
      <c r="N7" s="20">
        <f>K7-$K$14</f>
        <v>8.9999999999999802E-4</v>
      </c>
      <c r="P7" s="17">
        <f>M6</f>
        <v>0.23490833333333333</v>
      </c>
      <c r="Q7" s="12">
        <v>12.5</v>
      </c>
    </row>
    <row r="8" spans="1:17" x14ac:dyDescent="0.25">
      <c r="A8" t="s">
        <v>127</v>
      </c>
      <c r="B8">
        <v>3.7999999999999999E-2</v>
      </c>
      <c r="C8">
        <v>3.73E-2</v>
      </c>
      <c r="E8" s="21" t="s">
        <v>10</v>
      </c>
      <c r="F8">
        <v>3.9399999999999998E-2</v>
      </c>
      <c r="G8">
        <v>3.7699999999999997E-2</v>
      </c>
      <c r="I8" s="18">
        <v>50</v>
      </c>
      <c r="J8" s="19">
        <f>AVERAGE(F15:F17, B10)</f>
        <v>0.9426500000000001</v>
      </c>
      <c r="K8" s="20">
        <f>AVERAGE(G15:G17, C10)</f>
        <v>3.6575000000000003E-2</v>
      </c>
      <c r="M8" s="19">
        <f>J8-$J$14</f>
        <v>0.90483333333333349</v>
      </c>
      <c r="N8" s="20">
        <f>K8-$K$14</f>
        <v>-3.583333333333355E-4</v>
      </c>
      <c r="P8" s="17">
        <f>M7</f>
        <v>0.45988333333333337</v>
      </c>
      <c r="Q8" s="17">
        <v>25</v>
      </c>
    </row>
    <row r="9" spans="1:17" x14ac:dyDescent="0.25">
      <c r="A9" t="s">
        <v>128</v>
      </c>
      <c r="B9">
        <v>0.27100000000000002</v>
      </c>
      <c r="C9">
        <v>3.5099999999999999E-2</v>
      </c>
      <c r="E9" s="11" t="s">
        <v>11</v>
      </c>
      <c r="F9">
        <v>0.23960000000000001</v>
      </c>
      <c r="G9">
        <v>3.8899999999999997E-2</v>
      </c>
      <c r="I9" s="18">
        <v>100</v>
      </c>
      <c r="J9" s="19">
        <f>AVERAGE(F18:F20, B11)</f>
        <v>1.826025</v>
      </c>
      <c r="K9" s="20">
        <f>AVERAGE(G18:G20, C11)</f>
        <v>3.4625000000000003E-2</v>
      </c>
      <c r="M9" s="19">
        <f>J9-$J$14</f>
        <v>1.7882083333333334</v>
      </c>
      <c r="N9" s="20">
        <f>K9-$K$14</f>
        <v>-2.3083333333333358E-3</v>
      </c>
      <c r="P9" s="17">
        <f>M8</f>
        <v>0.90483333333333349</v>
      </c>
      <c r="Q9" s="17">
        <v>50</v>
      </c>
    </row>
    <row r="10" spans="1:17" x14ac:dyDescent="0.25">
      <c r="A10" t="s">
        <v>129</v>
      </c>
      <c r="B10">
        <v>0.98380000000000001</v>
      </c>
      <c r="C10">
        <v>3.5000000000000003E-2</v>
      </c>
      <c r="E10" s="16" t="s">
        <v>12</v>
      </c>
      <c r="F10">
        <v>0.28689999999999999</v>
      </c>
      <c r="G10">
        <v>3.6700000000000003E-2</v>
      </c>
      <c r="I10" s="23">
        <v>250</v>
      </c>
      <c r="J10" s="24">
        <f>AVERAGE(F21:F23)</f>
        <v>3.7802000000000002</v>
      </c>
      <c r="K10" s="25">
        <f>AVERAGE(G21:G23)</f>
        <v>3.4700000000000002E-2</v>
      </c>
      <c r="M10" s="19">
        <f>J10-$J$14</f>
        <v>3.7423833333333336</v>
      </c>
      <c r="N10" s="20">
        <f>K10-$K$14</f>
        <v>-2.2333333333333372E-3</v>
      </c>
      <c r="P10" s="17">
        <f>M9</f>
        <v>1.7882083333333334</v>
      </c>
      <c r="Q10" s="17">
        <v>100</v>
      </c>
    </row>
    <row r="11" spans="1:17" x14ac:dyDescent="0.25">
      <c r="A11" t="s">
        <v>130</v>
      </c>
      <c r="B11">
        <v>1.9024000000000001</v>
      </c>
      <c r="C11">
        <v>3.5000000000000003E-2</v>
      </c>
      <c r="E11" s="21" t="s">
        <v>13</v>
      </c>
      <c r="F11">
        <v>0.29339999999999999</v>
      </c>
      <c r="G11">
        <v>3.7600000000000001E-2</v>
      </c>
      <c r="I11" s="26" t="s">
        <v>14</v>
      </c>
      <c r="J11" s="13">
        <f t="shared" ref="J11:K13" si="0">F6</f>
        <v>3.5200000000000002E-2</v>
      </c>
      <c r="K11" s="27">
        <f t="shared" si="0"/>
        <v>3.4500000000000003E-2</v>
      </c>
      <c r="M11" s="23"/>
      <c r="N11" s="28"/>
      <c r="P11" s="22">
        <f>M10</f>
        <v>3.7423833333333336</v>
      </c>
      <c r="Q11" s="22">
        <v>250</v>
      </c>
    </row>
    <row r="12" spans="1:17" x14ac:dyDescent="0.25">
      <c r="E12" s="11" t="s">
        <v>15</v>
      </c>
      <c r="F12">
        <v>0.44500000000000001</v>
      </c>
      <c r="G12">
        <v>3.78E-2</v>
      </c>
      <c r="I12" s="29" t="s">
        <v>14</v>
      </c>
      <c r="J12" s="18">
        <f t="shared" si="0"/>
        <v>3.9199999999999999E-2</v>
      </c>
      <c r="K12" s="30">
        <f t="shared" si="0"/>
        <v>3.8699999999999998E-2</v>
      </c>
    </row>
    <row r="13" spans="1:17" x14ac:dyDescent="0.25">
      <c r="E13" s="16" t="s">
        <v>16</v>
      </c>
      <c r="F13">
        <v>0.5181</v>
      </c>
      <c r="G13">
        <v>3.85E-2</v>
      </c>
      <c r="I13" s="31" t="s">
        <v>14</v>
      </c>
      <c r="J13" s="23">
        <f t="shared" si="0"/>
        <v>3.9399999999999998E-2</v>
      </c>
      <c r="K13" s="28">
        <f t="shared" si="0"/>
        <v>3.7699999999999997E-2</v>
      </c>
    </row>
    <row r="14" spans="1:17" x14ac:dyDescent="0.25">
      <c r="E14" s="21" t="s">
        <v>17</v>
      </c>
      <c r="F14">
        <v>0.53</v>
      </c>
      <c r="G14">
        <v>3.7199999999999997E-2</v>
      </c>
      <c r="I14" s="32" t="s">
        <v>18</v>
      </c>
      <c r="J14" s="33">
        <f>AVERAGE(J11:J13, B6:B8)</f>
        <v>3.7816666666666658E-2</v>
      </c>
      <c r="K14" s="34">
        <f>AVERAGE(K11:K13, C6:C8)</f>
        <v>3.6933333333333339E-2</v>
      </c>
    </row>
    <row r="15" spans="1:17" x14ac:dyDescent="0.25">
      <c r="E15" s="11" t="s">
        <v>19</v>
      </c>
      <c r="F15">
        <v>0.88970000000000005</v>
      </c>
      <c r="G15">
        <v>3.6900000000000002E-2</v>
      </c>
      <c r="M15" s="13" t="s">
        <v>20</v>
      </c>
      <c r="N15" s="35"/>
      <c r="O15" s="27"/>
    </row>
    <row r="16" spans="1:17" x14ac:dyDescent="0.25">
      <c r="E16" s="16" t="s">
        <v>21</v>
      </c>
      <c r="F16">
        <v>0.94389999999999996</v>
      </c>
      <c r="G16">
        <v>3.8600000000000002E-2</v>
      </c>
      <c r="M16" s="18" t="s">
        <v>22</v>
      </c>
      <c r="O16" s="30"/>
    </row>
    <row r="17" spans="1:24" x14ac:dyDescent="0.25">
      <c r="E17" s="21" t="s">
        <v>23</v>
      </c>
      <c r="F17">
        <v>0.95320000000000005</v>
      </c>
      <c r="G17">
        <v>3.5799999999999998E-2</v>
      </c>
      <c r="M17" s="23" t="s">
        <v>24</v>
      </c>
      <c r="N17" s="36"/>
      <c r="O17" s="28"/>
    </row>
    <row r="18" spans="1:24" x14ac:dyDescent="0.25">
      <c r="E18" s="11" t="s">
        <v>25</v>
      </c>
      <c r="F18">
        <v>1.6748000000000001</v>
      </c>
      <c r="G18">
        <v>3.4200000000000001E-2</v>
      </c>
      <c r="I18" s="82" t="s">
        <v>26</v>
      </c>
      <c r="J18" s="84"/>
      <c r="K18" s="83"/>
      <c r="W18" s="37"/>
      <c r="X18" s="37"/>
    </row>
    <row r="19" spans="1:24" ht="18" x14ac:dyDescent="0.25">
      <c r="E19" s="16" t="s">
        <v>27</v>
      </c>
      <c r="F19">
        <v>1.831</v>
      </c>
      <c r="G19">
        <v>3.4700000000000002E-2</v>
      </c>
      <c r="I19" s="38" t="s">
        <v>28</v>
      </c>
      <c r="J19" s="36"/>
      <c r="K19" s="28"/>
    </row>
    <row r="20" spans="1:24" x14ac:dyDescent="0.25">
      <c r="E20" s="21" t="s">
        <v>29</v>
      </c>
      <c r="F20">
        <v>1.8958999999999999</v>
      </c>
      <c r="G20">
        <v>3.4599999999999999E-2</v>
      </c>
      <c r="U20" s="37"/>
      <c r="V20" s="37"/>
    </row>
    <row r="21" spans="1:24" x14ac:dyDescent="0.25">
      <c r="E21" s="11" t="s">
        <v>30</v>
      </c>
      <c r="F21">
        <v>3.7509000000000001</v>
      </c>
      <c r="G21">
        <v>3.4799999999999998E-2</v>
      </c>
      <c r="U21" s="37"/>
      <c r="V21" s="37"/>
    </row>
    <row r="22" spans="1:24" x14ac:dyDescent="0.25">
      <c r="E22" s="16" t="s">
        <v>31</v>
      </c>
      <c r="F22" s="39">
        <v>3.7433000000000001</v>
      </c>
      <c r="G22">
        <v>3.4700000000000002E-2</v>
      </c>
      <c r="U22" s="37"/>
      <c r="V22" s="37"/>
    </row>
    <row r="23" spans="1:24" x14ac:dyDescent="0.25">
      <c r="E23" s="21" t="s">
        <v>32</v>
      </c>
      <c r="F23">
        <v>3.8464</v>
      </c>
      <c r="G23">
        <v>3.4599999999999999E-2</v>
      </c>
      <c r="U23" s="37"/>
      <c r="V23" s="37"/>
    </row>
    <row r="24" spans="1:24" x14ac:dyDescent="0.25">
      <c r="E24" s="39"/>
      <c r="V24" s="37"/>
      <c r="W24" s="37"/>
    </row>
    <row r="25" spans="1:24" ht="31.5" customHeight="1" x14ac:dyDescent="0.25">
      <c r="A25" s="85" t="s">
        <v>33</v>
      </c>
      <c r="B25" s="86"/>
      <c r="J25" s="36"/>
      <c r="K25" s="36"/>
      <c r="M25" s="73"/>
      <c r="N25" s="41" t="s">
        <v>34</v>
      </c>
      <c r="O25" s="42" t="s">
        <v>124</v>
      </c>
      <c r="P25" s="75" t="s">
        <v>35</v>
      </c>
      <c r="Q25" s="71" t="s">
        <v>36</v>
      </c>
      <c r="R25" s="75" t="s">
        <v>37</v>
      </c>
      <c r="S25" s="74" t="s">
        <v>37</v>
      </c>
      <c r="T25" s="72" t="s">
        <v>38</v>
      </c>
      <c r="U25" s="6" t="s">
        <v>36</v>
      </c>
      <c r="V25" s="37"/>
    </row>
    <row r="26" spans="1:24" ht="30.75" customHeight="1" x14ac:dyDescent="0.25">
      <c r="A26" s="45" t="s">
        <v>39</v>
      </c>
      <c r="B26" s="1" t="s">
        <v>40</v>
      </c>
      <c r="D26" s="46" t="s">
        <v>38</v>
      </c>
      <c r="E26" s="46" t="s">
        <v>41</v>
      </c>
      <c r="F26" s="47" t="s">
        <v>42</v>
      </c>
      <c r="G26" s="47" t="s">
        <v>5</v>
      </c>
      <c r="H26" s="47" t="s">
        <v>6</v>
      </c>
      <c r="I26" s="48"/>
      <c r="J26" s="49" t="s">
        <v>43</v>
      </c>
      <c r="K26" s="50" t="s">
        <v>44</v>
      </c>
      <c r="M26" s="47" t="s">
        <v>45</v>
      </c>
      <c r="N26" s="51" t="s">
        <v>46</v>
      </c>
      <c r="O26" s="52" t="s">
        <v>47</v>
      </c>
      <c r="P26" s="53" t="s">
        <v>48</v>
      </c>
      <c r="Q26" s="71" t="s">
        <v>49</v>
      </c>
      <c r="R26" s="41" t="s">
        <v>49</v>
      </c>
      <c r="S26" s="74" t="s">
        <v>50</v>
      </c>
      <c r="T26" s="74"/>
      <c r="U26" s="6" t="s">
        <v>49</v>
      </c>
      <c r="V26" s="37"/>
    </row>
    <row r="27" spans="1:24" ht="15" customHeight="1" x14ac:dyDescent="0.25">
      <c r="A27" s="18">
        <v>1</v>
      </c>
      <c r="B27" s="30">
        <v>10</v>
      </c>
      <c r="D27" s="76">
        <f>A27</f>
        <v>1</v>
      </c>
      <c r="E27" s="12" t="s">
        <v>51</v>
      </c>
      <c r="F27" s="12">
        <f>B27</f>
        <v>10</v>
      </c>
      <c r="G27" s="54">
        <v>3.9E-2</v>
      </c>
      <c r="H27" s="55">
        <v>3.7499999999999999E-2</v>
      </c>
      <c r="I27" s="56"/>
      <c r="J27" s="57">
        <f t="shared" ref="J27:J90" si="1">G27-$J$14</f>
        <v>1.1833333333333418E-3</v>
      </c>
      <c r="K27" s="58">
        <f t="shared" ref="K27:K90" si="2">H27-$K$14</f>
        <v>5.6666666666665977E-4</v>
      </c>
      <c r="L27" s="56"/>
      <c r="M27" s="59">
        <f>J27-(0.25*K27)</f>
        <v>1.0416666666666768E-3</v>
      </c>
      <c r="N27" s="56">
        <f>M27*70.966</f>
        <v>7.3922916666667379E-2</v>
      </c>
      <c r="O27" s="58">
        <f>N27*2</f>
        <v>0.14784583333333476</v>
      </c>
      <c r="P27" s="56">
        <f>O27/F27</f>
        <v>1.4784583333333476E-2</v>
      </c>
      <c r="Q27" s="57">
        <f>AVERAGE(P27:P29)</f>
        <v>1.466630666666679E-2</v>
      </c>
      <c r="R27" s="56">
        <f>STDEV(P27:P29)</f>
        <v>2.663195548215216E-3</v>
      </c>
      <c r="S27" s="58">
        <f>R27/Q27*100</f>
        <v>18.158597176125188</v>
      </c>
      <c r="T27" s="60">
        <f>D27</f>
        <v>1</v>
      </c>
      <c r="U27" s="61">
        <f>Q27</f>
        <v>1.466630666666679E-2</v>
      </c>
      <c r="V27" s="37"/>
    </row>
    <row r="28" spans="1:24" ht="14.45" customHeight="1" x14ac:dyDescent="0.25">
      <c r="A28" s="18">
        <v>2</v>
      </c>
      <c r="B28" s="30">
        <v>10</v>
      </c>
      <c r="D28" s="77"/>
      <c r="E28" s="17" t="s">
        <v>52</v>
      </c>
      <c r="F28" s="17">
        <f>F27</f>
        <v>10</v>
      </c>
      <c r="G28" s="57">
        <v>3.9199999999999999E-2</v>
      </c>
      <c r="H28" s="58">
        <v>3.7600000000000001E-2</v>
      </c>
      <c r="I28" s="56"/>
      <c r="J28" s="57">
        <f t="shared" si="1"/>
        <v>1.3833333333333406E-3</v>
      </c>
      <c r="K28" s="58">
        <f t="shared" si="2"/>
        <v>6.6666666666666263E-4</v>
      </c>
      <c r="L28" s="56"/>
      <c r="M28" s="62">
        <f t="shared" ref="M28:M91" si="3">J28-(0.25*K28)</f>
        <v>1.2166666666666749E-3</v>
      </c>
      <c r="N28" s="56">
        <f t="shared" ref="N28:N91" si="4">M28*70.966</f>
        <v>8.6341966666667241E-2</v>
      </c>
      <c r="O28" s="58">
        <f t="shared" ref="O28:O91" si="5">N28*2</f>
        <v>0.17268393333333448</v>
      </c>
      <c r="P28" s="56">
        <f t="shared" ref="P28:P91" si="6">O28/F28</f>
        <v>1.7268393333333448E-2</v>
      </c>
      <c r="Q28" s="57"/>
      <c r="R28" s="56"/>
      <c r="S28" s="58"/>
      <c r="T28" s="63">
        <f>D30</f>
        <v>2</v>
      </c>
      <c r="U28" s="64">
        <f>Q30</f>
        <v>9.7696526666666797E-2</v>
      </c>
    </row>
    <row r="29" spans="1:24" ht="14.45" customHeight="1" x14ac:dyDescent="0.25">
      <c r="A29" s="18">
        <v>3</v>
      </c>
      <c r="B29" s="30">
        <v>10</v>
      </c>
      <c r="D29" s="78"/>
      <c r="E29" s="22" t="s">
        <v>53</v>
      </c>
      <c r="F29" s="22">
        <f>F27</f>
        <v>10</v>
      </c>
      <c r="G29" s="65">
        <v>3.8699999999999998E-2</v>
      </c>
      <c r="H29" s="66">
        <v>3.7100000000000001E-2</v>
      </c>
      <c r="I29" s="56"/>
      <c r="J29" s="57">
        <f t="shared" si="1"/>
        <v>8.8333333333334013E-4</v>
      </c>
      <c r="K29" s="58">
        <f t="shared" si="2"/>
        <v>1.6666666666666219E-4</v>
      </c>
      <c r="L29" s="56"/>
      <c r="M29" s="62">
        <f t="shared" si="3"/>
        <v>8.4166666666667458E-4</v>
      </c>
      <c r="N29" s="56">
        <f t="shared" si="4"/>
        <v>5.9729716666667224E-2</v>
      </c>
      <c r="O29" s="58">
        <f t="shared" si="5"/>
        <v>0.11945943333333445</v>
      </c>
      <c r="P29" s="56">
        <f t="shared" si="6"/>
        <v>1.1945943333333445E-2</v>
      </c>
      <c r="Q29" s="57"/>
      <c r="R29" s="56"/>
      <c r="S29" s="58"/>
      <c r="T29" s="63">
        <f>D33</f>
        <v>3</v>
      </c>
      <c r="U29" s="64">
        <f>Q33</f>
        <v>0.14843721666666679</v>
      </c>
    </row>
    <row r="30" spans="1:24" ht="14.45" customHeight="1" x14ac:dyDescent="0.25">
      <c r="A30" s="18">
        <v>4</v>
      </c>
      <c r="B30" s="30">
        <v>10</v>
      </c>
      <c r="D30" s="76">
        <f>A28</f>
        <v>2</v>
      </c>
      <c r="E30" s="12" t="s">
        <v>54</v>
      </c>
      <c r="F30" s="12">
        <f>B28</f>
        <v>10</v>
      </c>
      <c r="G30" s="54">
        <v>4.4400000000000002E-2</v>
      </c>
      <c r="H30" s="55">
        <v>3.8399999999999997E-2</v>
      </c>
      <c r="I30" s="56"/>
      <c r="J30" s="57">
        <f t="shared" si="1"/>
        <v>6.5833333333333438E-3</v>
      </c>
      <c r="K30" s="58">
        <f t="shared" si="2"/>
        <v>1.4666666666666578E-3</v>
      </c>
      <c r="L30" s="56"/>
      <c r="M30" s="62">
        <f t="shared" si="3"/>
        <v>6.2166666666666794E-3</v>
      </c>
      <c r="N30" s="56">
        <f t="shared" si="4"/>
        <v>0.44117196666666753</v>
      </c>
      <c r="O30" s="58">
        <f t="shared" si="5"/>
        <v>0.88234393333333505</v>
      </c>
      <c r="P30" s="56">
        <f t="shared" si="6"/>
        <v>8.8234393333333508E-2</v>
      </c>
      <c r="Q30" s="57">
        <f>AVERAGE(P30:P32)</f>
        <v>9.7696526666666797E-2</v>
      </c>
      <c r="R30" s="56">
        <f>STDEV(P30:P32)</f>
        <v>9.234673723252651E-3</v>
      </c>
      <c r="S30" s="58">
        <f>R30/Q30*100</f>
        <v>9.452407407236354</v>
      </c>
      <c r="T30" s="63">
        <f>D36</f>
        <v>4</v>
      </c>
      <c r="U30" s="64">
        <f>Q36</f>
        <v>1.5257690000000157E-2</v>
      </c>
    </row>
    <row r="31" spans="1:24" ht="14.45" customHeight="1" x14ac:dyDescent="0.25">
      <c r="A31" s="18">
        <v>5</v>
      </c>
      <c r="B31" s="30">
        <v>10</v>
      </c>
      <c r="D31" s="77"/>
      <c r="E31" s="17" t="s">
        <v>55</v>
      </c>
      <c r="F31" s="17">
        <f t="shared" ref="F31" si="7">F30</f>
        <v>10</v>
      </c>
      <c r="G31" s="57">
        <v>4.5199999999999997E-2</v>
      </c>
      <c r="H31" s="58">
        <v>3.8800000000000001E-2</v>
      </c>
      <c r="I31" s="56"/>
      <c r="J31" s="57">
        <f t="shared" si="1"/>
        <v>7.383333333333339E-3</v>
      </c>
      <c r="K31" s="58">
        <f t="shared" si="2"/>
        <v>1.8666666666666623E-3</v>
      </c>
      <c r="L31" s="56"/>
      <c r="M31" s="62">
        <f t="shared" si="3"/>
        <v>6.9166666666666734E-3</v>
      </c>
      <c r="N31" s="56">
        <f t="shared" si="4"/>
        <v>0.49084816666666709</v>
      </c>
      <c r="O31" s="58">
        <f t="shared" si="5"/>
        <v>0.98169633333333417</v>
      </c>
      <c r="P31" s="56">
        <f t="shared" si="6"/>
        <v>9.8169633333333423E-2</v>
      </c>
      <c r="Q31" s="57"/>
      <c r="R31" s="56"/>
      <c r="S31" s="58"/>
      <c r="T31" s="63">
        <f>D39</f>
        <v>5</v>
      </c>
      <c r="U31" s="64">
        <f>Q39</f>
        <v>4.2579600000001543E-3</v>
      </c>
    </row>
    <row r="32" spans="1:24" ht="14.45" customHeight="1" x14ac:dyDescent="0.25">
      <c r="A32" s="18">
        <v>6</v>
      </c>
      <c r="B32" s="30">
        <v>10</v>
      </c>
      <c r="D32" s="78"/>
      <c r="E32" s="22" t="s">
        <v>56</v>
      </c>
      <c r="F32" s="22">
        <f t="shared" ref="F32" si="8">F30</f>
        <v>10</v>
      </c>
      <c r="G32" s="65">
        <v>4.58E-2</v>
      </c>
      <c r="H32" s="66">
        <v>3.8800000000000001E-2</v>
      </c>
      <c r="I32" s="56"/>
      <c r="J32" s="57">
        <f t="shared" si="1"/>
        <v>7.9833333333333423E-3</v>
      </c>
      <c r="K32" s="58">
        <f t="shared" si="2"/>
        <v>1.8666666666666623E-3</v>
      </c>
      <c r="L32" s="56"/>
      <c r="M32" s="62">
        <f t="shared" si="3"/>
        <v>7.5166666666666767E-3</v>
      </c>
      <c r="N32" s="56">
        <f t="shared" si="4"/>
        <v>0.53342776666666736</v>
      </c>
      <c r="O32" s="58">
        <f t="shared" si="5"/>
        <v>1.0668555333333347</v>
      </c>
      <c r="P32" s="56">
        <f t="shared" si="6"/>
        <v>0.10668555333333347</v>
      </c>
      <c r="Q32" s="57"/>
      <c r="R32" s="56"/>
      <c r="S32" s="58"/>
      <c r="T32" s="63">
        <f>D42</f>
        <v>6</v>
      </c>
      <c r="U32" s="64">
        <f>Q42</f>
        <v>2.2354290000000138E-2</v>
      </c>
    </row>
    <row r="33" spans="1:21" ht="14.45" customHeight="1" x14ac:dyDescent="0.25">
      <c r="A33" s="18">
        <v>7</v>
      </c>
      <c r="B33" s="30">
        <v>10</v>
      </c>
      <c r="D33" s="76">
        <f>A29</f>
        <v>3</v>
      </c>
      <c r="E33" s="12" t="s">
        <v>57</v>
      </c>
      <c r="F33" s="12">
        <f>B29</f>
        <v>10</v>
      </c>
      <c r="G33" s="54">
        <v>4.7100000000000003E-2</v>
      </c>
      <c r="H33" s="55">
        <v>3.5700000000000003E-2</v>
      </c>
      <c r="I33" s="56"/>
      <c r="J33" s="57">
        <f t="shared" si="1"/>
        <v>9.2833333333333448E-3</v>
      </c>
      <c r="K33" s="58">
        <f t="shared" si="2"/>
        <v>-1.2333333333333363E-3</v>
      </c>
      <c r="L33" s="56"/>
      <c r="M33" s="62">
        <f t="shared" si="3"/>
        <v>9.5916666666666789E-3</v>
      </c>
      <c r="N33" s="56">
        <f t="shared" si="4"/>
        <v>0.68068221666666751</v>
      </c>
      <c r="O33" s="58">
        <f t="shared" si="5"/>
        <v>1.361364433333335</v>
      </c>
      <c r="P33" s="56">
        <f t="shared" si="6"/>
        <v>0.1361364433333335</v>
      </c>
      <c r="Q33" s="57">
        <f>AVERAGE(P33:P35)</f>
        <v>0.14843721666666679</v>
      </c>
      <c r="R33" s="56">
        <f>STDEV(P33:P35)</f>
        <v>1.1024502052162375E-2</v>
      </c>
      <c r="S33" s="58">
        <f>R33/Q33*100</f>
        <v>7.4270471379958503</v>
      </c>
      <c r="T33" s="63">
        <f>D45</f>
        <v>7</v>
      </c>
      <c r="U33" s="64">
        <f>Q45</f>
        <v>4.3644090000000114E-2</v>
      </c>
    </row>
    <row r="34" spans="1:21" ht="14.45" customHeight="1" x14ac:dyDescent="0.25">
      <c r="A34" s="18">
        <v>8</v>
      </c>
      <c r="B34" s="30">
        <v>10</v>
      </c>
      <c r="D34" s="77"/>
      <c r="E34" s="17" t="s">
        <v>58</v>
      </c>
      <c r="F34" s="17">
        <f t="shared" ref="F34" si="9">F33</f>
        <v>10</v>
      </c>
      <c r="G34" s="57">
        <v>4.82E-2</v>
      </c>
      <c r="H34" s="58">
        <v>3.5700000000000003E-2</v>
      </c>
      <c r="I34" s="56"/>
      <c r="J34" s="57">
        <f t="shared" si="1"/>
        <v>1.0383333333333342E-2</v>
      </c>
      <c r="K34" s="58">
        <f t="shared" si="2"/>
        <v>-1.2333333333333363E-3</v>
      </c>
      <c r="L34" s="56"/>
      <c r="M34" s="62">
        <f t="shared" si="3"/>
        <v>1.0691666666666676E-2</v>
      </c>
      <c r="N34" s="56">
        <f t="shared" si="4"/>
        <v>0.75874481666666727</v>
      </c>
      <c r="O34" s="58">
        <f t="shared" si="5"/>
        <v>1.5174896333333345</v>
      </c>
      <c r="P34" s="56">
        <f t="shared" si="6"/>
        <v>0.15174896333333346</v>
      </c>
      <c r="Q34" s="57"/>
      <c r="R34" s="56"/>
      <c r="S34" s="58"/>
      <c r="T34" s="63">
        <f>D48</f>
        <v>8</v>
      </c>
      <c r="U34" s="64">
        <f>Q48</f>
        <v>-9.1073033333332158E-3</v>
      </c>
    </row>
    <row r="35" spans="1:21" ht="14.45" customHeight="1" x14ac:dyDescent="0.25">
      <c r="A35" s="18">
        <v>9</v>
      </c>
      <c r="B35" s="30">
        <v>10</v>
      </c>
      <c r="D35" s="78"/>
      <c r="E35" s="22" t="s">
        <v>59</v>
      </c>
      <c r="F35" s="22">
        <f t="shared" ref="F35" si="10">F33</f>
        <v>10</v>
      </c>
      <c r="G35" s="65">
        <v>4.8599999999999997E-2</v>
      </c>
      <c r="H35" s="66">
        <v>3.5700000000000003E-2</v>
      </c>
      <c r="I35" s="56"/>
      <c r="J35" s="57">
        <f t="shared" si="1"/>
        <v>1.0783333333333339E-2</v>
      </c>
      <c r="K35" s="58">
        <f t="shared" si="2"/>
        <v>-1.2333333333333363E-3</v>
      </c>
      <c r="L35" s="56"/>
      <c r="M35" s="62">
        <f t="shared" si="3"/>
        <v>1.1091666666666673E-2</v>
      </c>
      <c r="N35" s="56">
        <f t="shared" si="4"/>
        <v>0.78713121666666708</v>
      </c>
      <c r="O35" s="58">
        <f t="shared" si="5"/>
        <v>1.5742624333333342</v>
      </c>
      <c r="P35" s="56">
        <f t="shared" si="6"/>
        <v>0.15742624333333341</v>
      </c>
      <c r="Q35" s="57"/>
      <c r="R35" s="56"/>
      <c r="S35" s="58"/>
      <c r="T35" s="63">
        <f>D51</f>
        <v>9</v>
      </c>
      <c r="U35" s="64">
        <f>Q51</f>
        <v>5.1686903333333471E-2</v>
      </c>
    </row>
    <row r="36" spans="1:21" ht="14.45" customHeight="1" x14ac:dyDescent="0.25">
      <c r="A36" s="18">
        <v>10</v>
      </c>
      <c r="B36" s="30">
        <v>10</v>
      </c>
      <c r="D36" s="76">
        <f>A30</f>
        <v>4</v>
      </c>
      <c r="E36" s="12" t="s">
        <v>60</v>
      </c>
      <c r="F36" s="12">
        <f>B30</f>
        <v>10</v>
      </c>
      <c r="G36" s="54">
        <v>3.8699999999999998E-2</v>
      </c>
      <c r="H36" s="55">
        <v>3.5999999999999997E-2</v>
      </c>
      <c r="I36" s="56"/>
      <c r="J36" s="57">
        <f t="shared" si="1"/>
        <v>8.8333333333334013E-4</v>
      </c>
      <c r="K36" s="58">
        <f t="shared" si="2"/>
        <v>-9.3333333333334156E-4</v>
      </c>
      <c r="L36" s="56"/>
      <c r="M36" s="62">
        <f t="shared" si="3"/>
        <v>1.1166666666666755E-3</v>
      </c>
      <c r="N36" s="56">
        <f t="shared" si="4"/>
        <v>7.9245366666667288E-2</v>
      </c>
      <c r="O36" s="58">
        <f t="shared" si="5"/>
        <v>0.15849073333333458</v>
      </c>
      <c r="P36" s="56">
        <f t="shared" si="6"/>
        <v>1.5849073333333456E-2</v>
      </c>
      <c r="Q36" s="57">
        <f>AVERAGE(P36:P38)</f>
        <v>1.5257690000000157E-2</v>
      </c>
      <c r="R36" s="56">
        <f>STDEV(P36:P38)</f>
        <v>5.4201177794703493E-4</v>
      </c>
      <c r="S36" s="58">
        <f>R36/Q36*100</f>
        <v>3.5523842596554873</v>
      </c>
      <c r="T36" s="63">
        <f>D54</f>
        <v>10</v>
      </c>
      <c r="U36" s="64">
        <f>Q54</f>
        <v>0.95047129333333347</v>
      </c>
    </row>
    <row r="37" spans="1:21" ht="14.45" customHeight="1" x14ac:dyDescent="0.25">
      <c r="A37" s="18">
        <v>11</v>
      </c>
      <c r="B37" s="30">
        <v>10</v>
      </c>
      <c r="D37" s="77"/>
      <c r="E37" s="17" t="s">
        <v>61</v>
      </c>
      <c r="F37" s="17">
        <f t="shared" ref="F37" si="11">F36</f>
        <v>10</v>
      </c>
      <c r="G37" s="57">
        <v>3.8600000000000002E-2</v>
      </c>
      <c r="H37" s="58">
        <v>3.5900000000000001E-2</v>
      </c>
      <c r="I37" s="56"/>
      <c r="J37" s="57">
        <f t="shared" si="1"/>
        <v>7.8333333333334421E-4</v>
      </c>
      <c r="K37" s="58">
        <f t="shared" si="2"/>
        <v>-1.0333333333333375E-3</v>
      </c>
      <c r="L37" s="56"/>
      <c r="M37" s="62">
        <f t="shared" si="3"/>
        <v>1.0416666666666786E-3</v>
      </c>
      <c r="N37" s="56">
        <f t="shared" si="4"/>
        <v>7.3922916666667504E-2</v>
      </c>
      <c r="O37" s="58">
        <f t="shared" si="5"/>
        <v>0.14784583333333501</v>
      </c>
      <c r="P37" s="56">
        <f t="shared" si="6"/>
        <v>1.47845833333335E-2</v>
      </c>
      <c r="Q37" s="57"/>
      <c r="R37" s="56"/>
      <c r="S37" s="58"/>
      <c r="T37" s="63">
        <f>D57</f>
        <v>11</v>
      </c>
      <c r="U37" s="64">
        <f>Q57</f>
        <v>0.82261421666666668</v>
      </c>
    </row>
    <row r="38" spans="1:21" ht="14.45" customHeight="1" x14ac:dyDescent="0.25">
      <c r="A38" s="18">
        <v>12</v>
      </c>
      <c r="B38" s="30">
        <v>10</v>
      </c>
      <c r="D38" s="78"/>
      <c r="E38" s="22" t="s">
        <v>62</v>
      </c>
      <c r="F38" s="22">
        <f t="shared" ref="F38" si="12">F36</f>
        <v>10</v>
      </c>
      <c r="G38" s="65">
        <v>3.8600000000000002E-2</v>
      </c>
      <c r="H38" s="66">
        <v>3.5799999999999998E-2</v>
      </c>
      <c r="I38" s="56"/>
      <c r="J38" s="57">
        <f t="shared" si="1"/>
        <v>7.8333333333334421E-4</v>
      </c>
      <c r="K38" s="58">
        <f t="shared" si="2"/>
        <v>-1.1333333333333404E-3</v>
      </c>
      <c r="L38" s="56"/>
      <c r="M38" s="62">
        <f t="shared" si="3"/>
        <v>1.0666666666666793E-3</v>
      </c>
      <c r="N38" s="56">
        <f t="shared" si="4"/>
        <v>7.5697066666667562E-2</v>
      </c>
      <c r="O38" s="58">
        <f t="shared" si="5"/>
        <v>0.15139413333333512</v>
      </c>
      <c r="P38" s="56">
        <f t="shared" si="6"/>
        <v>1.5139413333333513E-2</v>
      </c>
      <c r="Q38" s="57"/>
      <c r="R38" s="56"/>
      <c r="S38" s="58"/>
      <c r="T38" s="63">
        <f>D60</f>
        <v>12</v>
      </c>
      <c r="U38" s="64">
        <f>Q60</f>
        <v>1.1236283333333479E-2</v>
      </c>
    </row>
    <row r="39" spans="1:21" ht="14.45" customHeight="1" x14ac:dyDescent="0.25">
      <c r="A39" s="18">
        <v>13</v>
      </c>
      <c r="B39" s="30">
        <v>10</v>
      </c>
      <c r="D39" s="76">
        <f>A31</f>
        <v>5</v>
      </c>
      <c r="E39" s="12" t="s">
        <v>63</v>
      </c>
      <c r="F39" s="12">
        <f>B31</f>
        <v>10</v>
      </c>
      <c r="G39" s="54">
        <v>3.78E-2</v>
      </c>
      <c r="H39" s="55">
        <v>3.7199999999999997E-2</v>
      </c>
      <c r="I39" s="56"/>
      <c r="J39" s="57">
        <f t="shared" si="1"/>
        <v>-1.6666666666657892E-5</v>
      </c>
      <c r="K39" s="58">
        <f t="shared" si="2"/>
        <v>2.6666666666665811E-4</v>
      </c>
      <c r="L39" s="56"/>
      <c r="M39" s="62">
        <f t="shared" si="3"/>
        <v>-8.3333333333322421E-5</v>
      </c>
      <c r="N39" s="56">
        <f t="shared" si="4"/>
        <v>-5.913833333332558E-3</v>
      </c>
      <c r="O39" s="58">
        <f t="shared" si="5"/>
        <v>-1.1827666666665116E-2</v>
      </c>
      <c r="P39" s="56">
        <f t="shared" si="6"/>
        <v>-1.1827666666665115E-3</v>
      </c>
      <c r="Q39" s="57">
        <f>AVERAGE(P39:P41)</f>
        <v>4.2579600000001543E-3</v>
      </c>
      <c r="R39" s="56">
        <f>STDEV(P39:P41)</f>
        <v>4.7118075083807621E-3</v>
      </c>
      <c r="S39" s="58">
        <f>R39/Q39*100</f>
        <v>110.65880159467424</v>
      </c>
      <c r="T39" s="63">
        <f>D63</f>
        <v>13</v>
      </c>
      <c r="U39" s="64">
        <f>Q63</f>
        <v>2.2827396666666794E-2</v>
      </c>
    </row>
    <row r="40" spans="1:21" ht="14.45" customHeight="1" x14ac:dyDescent="0.25">
      <c r="A40" s="18">
        <v>14</v>
      </c>
      <c r="B40" s="30">
        <v>10</v>
      </c>
      <c r="D40" s="77"/>
      <c r="E40" s="17" t="s">
        <v>64</v>
      </c>
      <c r="F40" s="17">
        <f t="shared" ref="F40" si="13">F39</f>
        <v>10</v>
      </c>
      <c r="G40" s="57">
        <v>3.8600000000000002E-2</v>
      </c>
      <c r="H40" s="58">
        <v>3.8100000000000002E-2</v>
      </c>
      <c r="I40" s="56"/>
      <c r="J40" s="57">
        <f t="shared" si="1"/>
        <v>7.8333333333334421E-4</v>
      </c>
      <c r="K40" s="58">
        <f t="shared" si="2"/>
        <v>1.1666666666666631E-3</v>
      </c>
      <c r="L40" s="56"/>
      <c r="M40" s="62">
        <f t="shared" si="3"/>
        <v>4.9166666666667844E-4</v>
      </c>
      <c r="N40" s="56">
        <f t="shared" si="4"/>
        <v>3.4891616666667499E-2</v>
      </c>
      <c r="O40" s="58">
        <f t="shared" si="5"/>
        <v>6.9783233333334999E-2</v>
      </c>
      <c r="P40" s="56">
        <f t="shared" si="6"/>
        <v>6.9783233333334995E-3</v>
      </c>
      <c r="Q40" s="57"/>
      <c r="R40" s="56"/>
      <c r="S40" s="58"/>
      <c r="T40" s="63">
        <f>D66</f>
        <v>14</v>
      </c>
      <c r="U40" s="64">
        <f>Q66</f>
        <v>0.18439332333333347</v>
      </c>
    </row>
    <row r="41" spans="1:21" ht="14.45" customHeight="1" x14ac:dyDescent="0.25">
      <c r="A41" s="18">
        <v>15</v>
      </c>
      <c r="B41" s="30">
        <v>10</v>
      </c>
      <c r="D41" s="78"/>
      <c r="E41" s="22" t="s">
        <v>65</v>
      </c>
      <c r="F41" s="22">
        <f t="shared" ref="F41" si="14">F39</f>
        <v>10</v>
      </c>
      <c r="G41" s="65">
        <v>3.85E-2</v>
      </c>
      <c r="H41" s="66">
        <v>3.7699999999999997E-2</v>
      </c>
      <c r="I41" s="56"/>
      <c r="J41" s="57">
        <f t="shared" si="1"/>
        <v>6.8333333333334134E-4</v>
      </c>
      <c r="K41" s="58">
        <f t="shared" si="2"/>
        <v>7.6666666666665856E-4</v>
      </c>
      <c r="L41" s="56"/>
      <c r="M41" s="62">
        <f t="shared" si="3"/>
        <v>4.916666666666767E-4</v>
      </c>
      <c r="N41" s="56">
        <f t="shared" si="4"/>
        <v>3.4891616666667374E-2</v>
      </c>
      <c r="O41" s="58">
        <f t="shared" si="5"/>
        <v>6.9783233333334749E-2</v>
      </c>
      <c r="P41" s="56">
        <f t="shared" si="6"/>
        <v>6.9783233333334752E-3</v>
      </c>
      <c r="Q41" s="57"/>
      <c r="R41" s="56"/>
      <c r="S41" s="58"/>
      <c r="T41" s="63">
        <f>D69</f>
        <v>15</v>
      </c>
      <c r="U41" s="64">
        <f>Q69</f>
        <v>0.11248111000000012</v>
      </c>
    </row>
    <row r="42" spans="1:21" ht="14.45" customHeight="1" x14ac:dyDescent="0.25">
      <c r="A42" s="18">
        <v>16</v>
      </c>
      <c r="B42" s="30">
        <v>10</v>
      </c>
      <c r="D42" s="76">
        <f>A32</f>
        <v>6</v>
      </c>
      <c r="E42" s="12" t="s">
        <v>66</v>
      </c>
      <c r="F42" s="12">
        <f>B32</f>
        <v>10</v>
      </c>
      <c r="G42" s="54">
        <v>3.9699999999999999E-2</v>
      </c>
      <c r="H42" s="55">
        <v>3.8399999999999997E-2</v>
      </c>
      <c r="I42" s="56"/>
      <c r="J42" s="57">
        <f t="shared" si="1"/>
        <v>1.883333333333341E-3</v>
      </c>
      <c r="K42" s="58">
        <f t="shared" si="2"/>
        <v>1.4666666666666578E-3</v>
      </c>
      <c r="L42" s="56"/>
      <c r="M42" s="62">
        <f t="shared" si="3"/>
        <v>1.5166666666666766E-3</v>
      </c>
      <c r="N42" s="56">
        <f t="shared" si="4"/>
        <v>0.10763176666666736</v>
      </c>
      <c r="O42" s="58">
        <f t="shared" si="5"/>
        <v>0.21526353333333473</v>
      </c>
      <c r="P42" s="56">
        <f t="shared" si="6"/>
        <v>2.1526353333333473E-2</v>
      </c>
      <c r="Q42" s="57">
        <f>AVERAGE(P42:P44)</f>
        <v>2.2354290000000138E-2</v>
      </c>
      <c r="R42" s="56">
        <f>STDEV(P42:P44)</f>
        <v>2.4152778802930979E-3</v>
      </c>
      <c r="S42" s="58">
        <f>R42/Q42*100</f>
        <v>10.804538548498222</v>
      </c>
      <c r="T42" s="63">
        <f>D72</f>
        <v>16</v>
      </c>
      <c r="U42" s="64">
        <f>Q72</f>
        <v>0.5809749866666668</v>
      </c>
    </row>
    <row r="43" spans="1:21" ht="14.45" customHeight="1" x14ac:dyDescent="0.25">
      <c r="A43" s="18">
        <v>17</v>
      </c>
      <c r="B43" s="30">
        <v>10</v>
      </c>
      <c r="D43" s="77"/>
      <c r="E43" s="17" t="s">
        <v>67</v>
      </c>
      <c r="F43" s="17">
        <f t="shared" ref="F43" si="15">F42</f>
        <v>10</v>
      </c>
      <c r="G43" s="57">
        <v>4.0099999999999997E-2</v>
      </c>
      <c r="H43" s="58">
        <v>3.9E-2</v>
      </c>
      <c r="I43" s="56"/>
      <c r="J43" s="57">
        <f t="shared" si="1"/>
        <v>2.2833333333333386E-3</v>
      </c>
      <c r="K43" s="58">
        <f t="shared" si="2"/>
        <v>2.0666666666666611E-3</v>
      </c>
      <c r="L43" s="56"/>
      <c r="M43" s="62">
        <f t="shared" si="3"/>
        <v>1.7666666666666733E-3</v>
      </c>
      <c r="N43" s="56">
        <f t="shared" si="4"/>
        <v>0.12537326666666712</v>
      </c>
      <c r="O43" s="58">
        <f t="shared" si="5"/>
        <v>0.25074653333333424</v>
      </c>
      <c r="P43" s="56">
        <f t="shared" si="6"/>
        <v>2.5074653333333426E-2</v>
      </c>
      <c r="Q43" s="57"/>
      <c r="R43" s="56"/>
      <c r="S43" s="58"/>
      <c r="T43" s="63">
        <f>D75</f>
        <v>17</v>
      </c>
      <c r="U43" s="64">
        <f>Q75</f>
        <v>0.50799828333333341</v>
      </c>
    </row>
    <row r="44" spans="1:21" ht="14.45" customHeight="1" x14ac:dyDescent="0.25">
      <c r="A44" s="18">
        <v>18</v>
      </c>
      <c r="B44" s="30">
        <v>10</v>
      </c>
      <c r="D44" s="78"/>
      <c r="E44" s="22" t="s">
        <v>68</v>
      </c>
      <c r="F44" s="22">
        <f t="shared" ref="F44" si="16">F42</f>
        <v>10</v>
      </c>
      <c r="G44" s="65">
        <v>3.9600000000000003E-2</v>
      </c>
      <c r="H44" s="66">
        <v>3.8300000000000001E-2</v>
      </c>
      <c r="I44" s="56"/>
      <c r="J44" s="57">
        <f t="shared" si="1"/>
        <v>1.7833333333333451E-3</v>
      </c>
      <c r="K44" s="58">
        <f t="shared" si="2"/>
        <v>1.3666666666666619E-3</v>
      </c>
      <c r="L44" s="56"/>
      <c r="M44" s="62">
        <f t="shared" si="3"/>
        <v>1.4416666666666796E-3</v>
      </c>
      <c r="N44" s="56">
        <f t="shared" si="4"/>
        <v>0.10230931666666758</v>
      </c>
      <c r="O44" s="58">
        <f t="shared" si="5"/>
        <v>0.20461863333333516</v>
      </c>
      <c r="P44" s="56">
        <f t="shared" si="6"/>
        <v>2.0461863333333517E-2</v>
      </c>
      <c r="Q44" s="57"/>
      <c r="R44" s="56"/>
      <c r="S44" s="58"/>
      <c r="T44" s="63">
        <f>D78</f>
        <v>18</v>
      </c>
      <c r="U44" s="64">
        <f>Q78</f>
        <v>1.537596666666809E-3</v>
      </c>
    </row>
    <row r="45" spans="1:21" ht="14.45" customHeight="1" x14ac:dyDescent="0.25">
      <c r="A45" s="18">
        <v>19</v>
      </c>
      <c r="B45" s="30">
        <v>10</v>
      </c>
      <c r="D45" s="76">
        <f>A33</f>
        <v>7</v>
      </c>
      <c r="E45" s="12" t="s">
        <v>69</v>
      </c>
      <c r="F45" s="12">
        <f>B33</f>
        <v>10</v>
      </c>
      <c r="G45" s="54">
        <v>3.9899999999999998E-2</v>
      </c>
      <c r="H45" s="55">
        <v>3.7699999999999997E-2</v>
      </c>
      <c r="I45" s="56"/>
      <c r="J45" s="57">
        <f t="shared" si="1"/>
        <v>2.0833333333333398E-3</v>
      </c>
      <c r="K45" s="58">
        <f t="shared" si="2"/>
        <v>7.6666666666665856E-4</v>
      </c>
      <c r="L45" s="56"/>
      <c r="M45" s="62">
        <f t="shared" si="3"/>
        <v>1.8916666666666752E-3</v>
      </c>
      <c r="N45" s="56">
        <f t="shared" si="4"/>
        <v>0.13424401666666727</v>
      </c>
      <c r="O45" s="58">
        <f t="shared" si="5"/>
        <v>0.26848803333333454</v>
      </c>
      <c r="P45" s="56">
        <f t="shared" si="6"/>
        <v>2.6848803333333456E-2</v>
      </c>
      <c r="Q45" s="57">
        <f>AVERAGE(P45:P47)</f>
        <v>4.3644090000000114E-2</v>
      </c>
      <c r="R45" s="56">
        <f>STDEV(P45:P47)</f>
        <v>1.465294676452945E-2</v>
      </c>
      <c r="S45" s="58">
        <f>R45/Q45*100</f>
        <v>33.573725021026704</v>
      </c>
      <c r="T45" s="63">
        <f>D81</f>
        <v>19</v>
      </c>
      <c r="U45" s="64">
        <f>Q81</f>
        <v>0.1375557633333335</v>
      </c>
    </row>
    <row r="46" spans="1:21" ht="14.45" customHeight="1" x14ac:dyDescent="0.25">
      <c r="A46" s="18">
        <v>20</v>
      </c>
      <c r="B46" s="30">
        <v>10</v>
      </c>
      <c r="D46" s="77"/>
      <c r="E46" s="17" t="s">
        <v>70</v>
      </c>
      <c r="F46" s="17">
        <f t="shared" ref="F46" si="17">F45</f>
        <v>10</v>
      </c>
      <c r="G46" s="57">
        <v>4.1200000000000001E-2</v>
      </c>
      <c r="H46" s="58">
        <v>3.6299999999999999E-2</v>
      </c>
      <c r="I46" s="56"/>
      <c r="J46" s="57">
        <f t="shared" si="1"/>
        <v>3.3833333333333424E-3</v>
      </c>
      <c r="K46" s="58">
        <f t="shared" si="2"/>
        <v>-6.3333333333333991E-4</v>
      </c>
      <c r="L46" s="56"/>
      <c r="M46" s="62">
        <f t="shared" si="3"/>
        <v>3.5416666666666773E-3</v>
      </c>
      <c r="N46" s="56">
        <f t="shared" si="4"/>
        <v>0.25133791666666738</v>
      </c>
      <c r="O46" s="58">
        <f t="shared" si="5"/>
        <v>0.50267583333333477</v>
      </c>
      <c r="P46" s="56">
        <f t="shared" si="6"/>
        <v>5.0267583333333477E-2</v>
      </c>
      <c r="Q46" s="57"/>
      <c r="R46" s="56"/>
      <c r="S46" s="58"/>
      <c r="T46" s="63">
        <f>D84</f>
        <v>20</v>
      </c>
      <c r="U46" s="64">
        <f>Q84</f>
        <v>2.0107033333334654E-3</v>
      </c>
    </row>
    <row r="47" spans="1:21" ht="14.45" customHeight="1" x14ac:dyDescent="0.25">
      <c r="A47" s="18">
        <v>21</v>
      </c>
      <c r="B47" s="30">
        <v>10</v>
      </c>
      <c r="D47" s="78"/>
      <c r="E47" s="22" t="s">
        <v>71</v>
      </c>
      <c r="F47" s="22">
        <f t="shared" ref="F47" si="18">F45</f>
        <v>10</v>
      </c>
      <c r="G47" s="65">
        <v>4.1599999999999998E-2</v>
      </c>
      <c r="H47" s="66">
        <v>3.6900000000000002E-2</v>
      </c>
      <c r="I47" s="56"/>
      <c r="J47" s="57">
        <f t="shared" si="1"/>
        <v>3.7833333333333399E-3</v>
      </c>
      <c r="K47" s="58">
        <f t="shared" si="2"/>
        <v>-3.3333333333336601E-5</v>
      </c>
      <c r="L47" s="56"/>
      <c r="M47" s="62">
        <f t="shared" si="3"/>
        <v>3.7916666666666741E-3</v>
      </c>
      <c r="N47" s="56">
        <f t="shared" si="4"/>
        <v>0.26907941666666718</v>
      </c>
      <c r="O47" s="58">
        <f t="shared" si="5"/>
        <v>0.53815883333333436</v>
      </c>
      <c r="P47" s="56">
        <f t="shared" si="6"/>
        <v>5.3815883333333439E-2</v>
      </c>
      <c r="Q47" s="57"/>
      <c r="R47" s="56"/>
      <c r="S47" s="58"/>
      <c r="T47" s="63">
        <f>D87</f>
        <v>21</v>
      </c>
      <c r="U47" s="64">
        <f>Q87</f>
        <v>1.1649068899999999</v>
      </c>
    </row>
    <row r="48" spans="1:21" ht="14.45" customHeight="1" x14ac:dyDescent="0.25">
      <c r="A48" s="18">
        <v>22</v>
      </c>
      <c r="B48" s="30">
        <v>10</v>
      </c>
      <c r="D48" s="76">
        <f>A34</f>
        <v>8</v>
      </c>
      <c r="E48" s="12" t="s">
        <v>72</v>
      </c>
      <c r="F48" s="12">
        <f>B34</f>
        <v>10</v>
      </c>
      <c r="G48" s="54">
        <v>3.7199999999999997E-2</v>
      </c>
      <c r="H48" s="55">
        <v>3.85E-2</v>
      </c>
      <c r="I48" s="56"/>
      <c r="J48" s="57">
        <f t="shared" si="1"/>
        <v>-6.166666666666612E-4</v>
      </c>
      <c r="K48" s="58">
        <f t="shared" si="2"/>
        <v>1.5666666666666607E-3</v>
      </c>
      <c r="L48" s="56"/>
      <c r="M48" s="62">
        <f t="shared" si="3"/>
        <v>-1.0083333333333264E-3</v>
      </c>
      <c r="N48" s="56">
        <f t="shared" si="4"/>
        <v>-7.1557383333332836E-2</v>
      </c>
      <c r="O48" s="58">
        <f t="shared" si="5"/>
        <v>-0.14311476666666567</v>
      </c>
      <c r="P48" s="56">
        <f t="shared" si="6"/>
        <v>-1.4311476666666567E-2</v>
      </c>
      <c r="Q48" s="57">
        <f>AVERAGE(P48:P50)</f>
        <v>-9.1073033333332158E-3</v>
      </c>
      <c r="R48" s="56">
        <f>STDEV(P48:P50)</f>
        <v>7.2487290790133451E-3</v>
      </c>
      <c r="S48" s="58">
        <f>R48/Q48*100</f>
        <v>-79.592485433998988</v>
      </c>
      <c r="T48" s="63">
        <f>D90</f>
        <v>22</v>
      </c>
      <c r="U48" s="64">
        <f>Q90</f>
        <v>0.13554506000000013</v>
      </c>
    </row>
    <row r="49" spans="1:22" ht="14.45" customHeight="1" x14ac:dyDescent="0.25">
      <c r="A49" s="18">
        <v>23</v>
      </c>
      <c r="B49" s="30">
        <v>10</v>
      </c>
      <c r="D49" s="77"/>
      <c r="E49" s="17" t="s">
        <v>73</v>
      </c>
      <c r="F49" s="17">
        <f t="shared" ref="F49" si="19">F48</f>
        <v>10</v>
      </c>
      <c r="G49" s="57">
        <v>3.85E-2</v>
      </c>
      <c r="H49" s="58">
        <v>3.9899999999999998E-2</v>
      </c>
      <c r="I49" s="56"/>
      <c r="J49" s="57">
        <f t="shared" si="1"/>
        <v>6.8333333333334134E-4</v>
      </c>
      <c r="K49" s="58">
        <f t="shared" si="2"/>
        <v>2.9666666666666591E-3</v>
      </c>
      <c r="L49" s="56"/>
      <c r="M49" s="62">
        <f t="shared" si="3"/>
        <v>-5.8333333333323439E-5</v>
      </c>
      <c r="N49" s="56">
        <f t="shared" si="4"/>
        <v>-4.1396833333326305E-3</v>
      </c>
      <c r="O49" s="58">
        <f t="shared" si="5"/>
        <v>-8.279366666665261E-3</v>
      </c>
      <c r="P49" s="56">
        <f t="shared" si="6"/>
        <v>-8.2793666666652606E-4</v>
      </c>
      <c r="Q49" s="57"/>
      <c r="R49" s="56"/>
      <c r="S49" s="58"/>
      <c r="T49" s="63">
        <f>D93</f>
        <v>23</v>
      </c>
      <c r="U49" s="64">
        <f>Q93</f>
        <v>7.061117000000014E-2</v>
      </c>
    </row>
    <row r="50" spans="1:22" ht="14.45" customHeight="1" x14ac:dyDescent="0.25">
      <c r="A50" s="23">
        <v>24</v>
      </c>
      <c r="B50" s="30">
        <v>10</v>
      </c>
      <c r="D50" s="78"/>
      <c r="E50" s="22" t="s">
        <v>74</v>
      </c>
      <c r="F50" s="22">
        <f t="shared" ref="F50" si="20">F48</f>
        <v>10</v>
      </c>
      <c r="G50" s="65">
        <v>3.7499999999999999E-2</v>
      </c>
      <c r="H50" s="66">
        <v>3.9100000000000003E-2</v>
      </c>
      <c r="I50" s="56"/>
      <c r="J50" s="57">
        <f t="shared" si="1"/>
        <v>-3.1666666666665955E-4</v>
      </c>
      <c r="K50" s="58">
        <f t="shared" si="2"/>
        <v>2.166666666666664E-3</v>
      </c>
      <c r="L50" s="56"/>
      <c r="M50" s="62">
        <f t="shared" si="3"/>
        <v>-8.5833333333332554E-4</v>
      </c>
      <c r="N50" s="56">
        <f t="shared" si="4"/>
        <v>-6.0912483333332774E-2</v>
      </c>
      <c r="O50" s="58">
        <f t="shared" si="5"/>
        <v>-0.12182496666666555</v>
      </c>
      <c r="P50" s="56">
        <f t="shared" si="6"/>
        <v>-1.2182496666666555E-2</v>
      </c>
      <c r="Q50" s="57"/>
      <c r="R50" s="56"/>
      <c r="S50" s="58"/>
      <c r="T50" s="67">
        <f>D96</f>
        <v>24</v>
      </c>
      <c r="U50" s="68">
        <f>Q96</f>
        <v>3.7730256666666781E-2</v>
      </c>
    </row>
    <row r="51" spans="1:22" ht="14.45" customHeight="1" x14ac:dyDescent="0.25">
      <c r="D51" s="76">
        <f>A35</f>
        <v>9</v>
      </c>
      <c r="E51" s="12" t="s">
        <v>75</v>
      </c>
      <c r="F51" s="12">
        <f>B35</f>
        <v>10</v>
      </c>
      <c r="G51" s="54">
        <v>4.0899999999999999E-2</v>
      </c>
      <c r="H51" s="55">
        <v>3.7499999999999999E-2</v>
      </c>
      <c r="I51" s="56"/>
      <c r="J51" s="57">
        <f t="shared" si="1"/>
        <v>3.0833333333333407E-3</v>
      </c>
      <c r="K51" s="58">
        <f t="shared" si="2"/>
        <v>5.6666666666665977E-4</v>
      </c>
      <c r="L51" s="56"/>
      <c r="M51" s="62">
        <f t="shared" si="3"/>
        <v>2.9416666666666758E-3</v>
      </c>
      <c r="N51" s="56">
        <f t="shared" si="4"/>
        <v>0.2087583166666673</v>
      </c>
      <c r="O51" s="58">
        <f t="shared" si="5"/>
        <v>0.41751663333333461</v>
      </c>
      <c r="P51" s="56">
        <f t="shared" si="6"/>
        <v>4.1751663333333459E-2</v>
      </c>
      <c r="Q51" s="57">
        <f>AVERAGE(P51:P53)</f>
        <v>5.1686903333333471E-2</v>
      </c>
      <c r="R51" s="56">
        <f>STDEV(P51:P53)</f>
        <v>1.1382247336888245E-2</v>
      </c>
      <c r="S51" s="58">
        <f>R51/Q51*100</f>
        <v>22.021530799558857</v>
      </c>
      <c r="T51" s="56"/>
      <c r="U51" s="56"/>
      <c r="V51" s="56"/>
    </row>
    <row r="52" spans="1:22" ht="14.45" customHeight="1" x14ac:dyDescent="0.25">
      <c r="D52" s="77"/>
      <c r="E52" s="17" t="s">
        <v>76</v>
      </c>
      <c r="F52" s="17">
        <f t="shared" ref="F52" si="21">F51</f>
        <v>10</v>
      </c>
      <c r="G52" s="57">
        <v>4.2799999999999998E-2</v>
      </c>
      <c r="H52" s="58">
        <v>3.8800000000000001E-2</v>
      </c>
      <c r="I52" s="56"/>
      <c r="J52" s="57">
        <f t="shared" si="1"/>
        <v>4.9833333333333396E-3</v>
      </c>
      <c r="K52" s="58">
        <f t="shared" si="2"/>
        <v>1.8666666666666623E-3</v>
      </c>
      <c r="L52" s="56"/>
      <c r="M52" s="62">
        <f t="shared" si="3"/>
        <v>4.516666666666674E-3</v>
      </c>
      <c r="N52" s="56">
        <f t="shared" si="4"/>
        <v>0.32052976666666716</v>
      </c>
      <c r="O52" s="58">
        <f t="shared" si="5"/>
        <v>0.64105953333333432</v>
      </c>
      <c r="P52" s="56">
        <f t="shared" si="6"/>
        <v>6.4105953333333437E-2</v>
      </c>
      <c r="Q52" s="57"/>
      <c r="R52" s="56"/>
      <c r="S52" s="58"/>
      <c r="T52" s="56"/>
    </row>
    <row r="53" spans="1:22" ht="14.45" customHeight="1" x14ac:dyDescent="0.25">
      <c r="D53" s="78"/>
      <c r="E53" s="22" t="s">
        <v>77</v>
      </c>
      <c r="F53" s="22">
        <f t="shared" ref="F53" si="22">F51</f>
        <v>10</v>
      </c>
      <c r="G53" s="65">
        <v>4.1500000000000002E-2</v>
      </c>
      <c r="H53" s="66">
        <v>3.78E-2</v>
      </c>
      <c r="I53" s="56"/>
      <c r="J53" s="57">
        <f t="shared" si="1"/>
        <v>3.683333333333344E-3</v>
      </c>
      <c r="K53" s="58">
        <f t="shared" si="2"/>
        <v>8.6666666666666142E-4</v>
      </c>
      <c r="L53" s="56"/>
      <c r="M53" s="62">
        <f t="shared" si="3"/>
        <v>3.4666666666666787E-3</v>
      </c>
      <c r="N53" s="56">
        <f t="shared" si="4"/>
        <v>0.24601546666666749</v>
      </c>
      <c r="O53" s="58">
        <f t="shared" si="5"/>
        <v>0.49203093333333497</v>
      </c>
      <c r="P53" s="56">
        <f t="shared" si="6"/>
        <v>4.9203093333333496E-2</v>
      </c>
      <c r="Q53" s="57"/>
      <c r="R53" s="56"/>
      <c r="S53" s="58"/>
      <c r="T53" s="56"/>
    </row>
    <row r="54" spans="1:22" ht="14.45" customHeight="1" x14ac:dyDescent="0.25">
      <c r="D54" s="76">
        <f>A36</f>
        <v>10</v>
      </c>
      <c r="E54" s="12" t="s">
        <v>78</v>
      </c>
      <c r="F54" s="12">
        <f>B36</f>
        <v>10</v>
      </c>
      <c r="G54" s="54">
        <v>0.1011</v>
      </c>
      <c r="H54" s="55">
        <v>3.9800000000000002E-2</v>
      </c>
      <c r="I54" s="56"/>
      <c r="J54" s="57">
        <f t="shared" si="1"/>
        <v>6.328333333333333E-2</v>
      </c>
      <c r="K54" s="58">
        <f t="shared" si="2"/>
        <v>2.8666666666666632E-3</v>
      </c>
      <c r="L54" s="56"/>
      <c r="M54" s="62">
        <f t="shared" si="3"/>
        <v>6.2566666666666659E-2</v>
      </c>
      <c r="N54" s="56">
        <f t="shared" si="4"/>
        <v>4.4401060666666661</v>
      </c>
      <c r="O54" s="58">
        <f t="shared" si="5"/>
        <v>8.8802121333333321</v>
      </c>
      <c r="P54" s="56">
        <f t="shared" si="6"/>
        <v>0.88802121333333317</v>
      </c>
      <c r="Q54" s="57">
        <f>AVERAGE(P54:P56)</f>
        <v>0.95047129333333347</v>
      </c>
      <c r="R54" s="56">
        <f>STDEV(P54:P56)</f>
        <v>5.412524295414501E-2</v>
      </c>
      <c r="S54" s="58">
        <f>R54/Q54*100</f>
        <v>5.694568929517696</v>
      </c>
      <c r="T54" s="56"/>
    </row>
    <row r="55" spans="1:22" ht="14.45" customHeight="1" x14ac:dyDescent="0.25">
      <c r="D55" s="77"/>
      <c r="E55" s="17" t="s">
        <v>79</v>
      </c>
      <c r="F55" s="17">
        <f t="shared" ref="F55" si="23">F54</f>
        <v>10</v>
      </c>
      <c r="G55" s="57">
        <v>0.107</v>
      </c>
      <c r="H55" s="58">
        <v>3.7600000000000001E-2</v>
      </c>
      <c r="I55" s="56"/>
      <c r="J55" s="57">
        <f t="shared" si="1"/>
        <v>6.9183333333333347E-2</v>
      </c>
      <c r="K55" s="58">
        <f t="shared" si="2"/>
        <v>6.6666666666666263E-4</v>
      </c>
      <c r="L55" s="56"/>
      <c r="M55" s="62">
        <f t="shared" si="3"/>
        <v>6.9016666666666684E-2</v>
      </c>
      <c r="N55" s="56">
        <f t="shared" si="4"/>
        <v>4.8978367666666678</v>
      </c>
      <c r="O55" s="58">
        <f t="shared" si="5"/>
        <v>9.7956735333333356</v>
      </c>
      <c r="P55" s="56">
        <f t="shared" si="6"/>
        <v>0.97956735333333356</v>
      </c>
      <c r="Q55" s="57"/>
      <c r="R55" s="56"/>
      <c r="S55" s="58"/>
      <c r="T55" s="56"/>
    </row>
    <row r="56" spans="1:22" ht="14.45" customHeight="1" x14ac:dyDescent="0.25">
      <c r="D56" s="78"/>
      <c r="E56" s="22" t="s">
        <v>80</v>
      </c>
      <c r="F56" s="22">
        <f t="shared" ref="F56" si="24">F54</f>
        <v>10</v>
      </c>
      <c r="G56" s="65">
        <v>0.1072</v>
      </c>
      <c r="H56" s="66">
        <v>3.7199999999999997E-2</v>
      </c>
      <c r="I56" s="56"/>
      <c r="J56" s="57">
        <f t="shared" si="1"/>
        <v>6.9383333333333352E-2</v>
      </c>
      <c r="K56" s="58">
        <f t="shared" si="2"/>
        <v>2.6666666666665811E-4</v>
      </c>
      <c r="L56" s="56"/>
      <c r="M56" s="62">
        <f t="shared" si="3"/>
        <v>6.9316666666666693E-2</v>
      </c>
      <c r="N56" s="56">
        <f t="shared" si="4"/>
        <v>4.9191265666666677</v>
      </c>
      <c r="O56" s="58">
        <f t="shared" si="5"/>
        <v>9.8382531333333354</v>
      </c>
      <c r="P56" s="56">
        <f t="shared" si="6"/>
        <v>0.98382531333333356</v>
      </c>
      <c r="Q56" s="57"/>
      <c r="R56" s="56"/>
      <c r="S56" s="58"/>
      <c r="T56" s="56"/>
    </row>
    <row r="57" spans="1:22" ht="14.45" customHeight="1" x14ac:dyDescent="0.25">
      <c r="D57" s="76">
        <f>A37</f>
        <v>11</v>
      </c>
      <c r="E57" s="12" t="s">
        <v>81</v>
      </c>
      <c r="F57" s="12">
        <f>B37</f>
        <v>10</v>
      </c>
      <c r="G57" s="54">
        <v>9.1399999999999995E-2</v>
      </c>
      <c r="H57" s="55">
        <v>3.7400000000000003E-2</v>
      </c>
      <c r="I57" s="56"/>
      <c r="J57" s="57">
        <f t="shared" si="1"/>
        <v>5.3583333333333337E-2</v>
      </c>
      <c r="K57" s="58">
        <f t="shared" si="2"/>
        <v>4.6666666666666384E-4</v>
      </c>
      <c r="L57" s="56"/>
      <c r="M57" s="62">
        <f t="shared" si="3"/>
        <v>5.3466666666666669E-2</v>
      </c>
      <c r="N57" s="56">
        <f t="shared" si="4"/>
        <v>3.7943154666666667</v>
      </c>
      <c r="O57" s="58">
        <f t="shared" si="5"/>
        <v>7.5886309333333335</v>
      </c>
      <c r="P57" s="56">
        <f t="shared" si="6"/>
        <v>0.75886309333333335</v>
      </c>
      <c r="Q57" s="57">
        <f>AVERAGE(P57:P59)</f>
        <v>0.82261421666666668</v>
      </c>
      <c r="R57" s="56">
        <f>STDEV(P57:P59)</f>
        <v>5.5387966618093469E-2</v>
      </c>
      <c r="S57" s="58">
        <f>R57/Q57*100</f>
        <v>6.7331642823451654</v>
      </c>
      <c r="T57" s="56"/>
    </row>
    <row r="58" spans="1:22" ht="14.45" customHeight="1" x14ac:dyDescent="0.25">
      <c r="D58" s="77"/>
      <c r="E58" s="17" t="s">
        <v>82</v>
      </c>
      <c r="F58" s="17">
        <f t="shared" ref="F58" si="25">F57</f>
        <v>10</v>
      </c>
      <c r="G58" s="57">
        <v>9.8299999999999998E-2</v>
      </c>
      <c r="H58" s="58">
        <v>3.9300000000000002E-2</v>
      </c>
      <c r="I58" s="56"/>
      <c r="J58" s="57">
        <f t="shared" si="1"/>
        <v>6.048333333333334E-2</v>
      </c>
      <c r="K58" s="58">
        <f t="shared" si="2"/>
        <v>2.3666666666666628E-3</v>
      </c>
      <c r="L58" s="56"/>
      <c r="M58" s="62">
        <f t="shared" si="3"/>
        <v>5.9891666666666676E-2</v>
      </c>
      <c r="N58" s="56">
        <f t="shared" si="4"/>
        <v>4.250272016666667</v>
      </c>
      <c r="O58" s="58">
        <f t="shared" si="5"/>
        <v>8.500544033333334</v>
      </c>
      <c r="P58" s="56">
        <f t="shared" si="6"/>
        <v>0.85005440333333337</v>
      </c>
      <c r="Q58" s="57"/>
      <c r="R58" s="56"/>
      <c r="S58" s="58"/>
      <c r="T58" s="56"/>
    </row>
    <row r="59" spans="1:22" ht="14.45" customHeight="1" x14ac:dyDescent="0.25">
      <c r="D59" s="78"/>
      <c r="E59" s="22" t="s">
        <v>83</v>
      </c>
      <c r="F59" s="22">
        <f t="shared" ref="F59" si="26">F57</f>
        <v>10</v>
      </c>
      <c r="G59" s="65">
        <v>9.8699999999999996E-2</v>
      </c>
      <c r="H59" s="66">
        <v>3.8399999999999997E-2</v>
      </c>
      <c r="I59" s="56"/>
      <c r="J59" s="57">
        <f t="shared" si="1"/>
        <v>6.0883333333333338E-2</v>
      </c>
      <c r="K59" s="58">
        <f t="shared" si="2"/>
        <v>1.4666666666666578E-3</v>
      </c>
      <c r="L59" s="56"/>
      <c r="M59" s="62">
        <f t="shared" si="3"/>
        <v>6.0516666666666677E-2</v>
      </c>
      <c r="N59" s="56">
        <f t="shared" si="4"/>
        <v>4.294625766666667</v>
      </c>
      <c r="O59" s="58">
        <f t="shared" si="5"/>
        <v>8.5892515333333339</v>
      </c>
      <c r="P59" s="56">
        <f t="shared" si="6"/>
        <v>0.85892515333333341</v>
      </c>
      <c r="Q59" s="57"/>
      <c r="R59" s="56"/>
      <c r="S59" s="58"/>
      <c r="T59" s="56"/>
    </row>
    <row r="60" spans="1:22" ht="14.45" customHeight="1" x14ac:dyDescent="0.25">
      <c r="D60" s="76">
        <f>A38</f>
        <v>12</v>
      </c>
      <c r="E60" s="12" t="s">
        <v>84</v>
      </c>
      <c r="F60" s="12">
        <f>B38</f>
        <v>10</v>
      </c>
      <c r="G60" s="54">
        <v>3.7900000000000003E-2</v>
      </c>
      <c r="H60" s="55">
        <v>3.7499999999999999E-2</v>
      </c>
      <c r="I60" s="56"/>
      <c r="J60" s="57">
        <f t="shared" si="1"/>
        <v>8.3333333333344972E-5</v>
      </c>
      <c r="K60" s="58">
        <f t="shared" si="2"/>
        <v>5.6666666666665977E-4</v>
      </c>
      <c r="L60" s="56"/>
      <c r="M60" s="62">
        <f t="shared" si="3"/>
        <v>-5.833333333331997E-5</v>
      </c>
      <c r="N60" s="56">
        <f t="shared" si="4"/>
        <v>-4.139683333332385E-3</v>
      </c>
      <c r="O60" s="58">
        <f t="shared" si="5"/>
        <v>-8.2793666666647701E-3</v>
      </c>
      <c r="P60" s="56">
        <f t="shared" si="6"/>
        <v>-8.2793666666647705E-4</v>
      </c>
      <c r="Q60" s="57">
        <f>AVERAGE(P60:P62)</f>
        <v>1.1236283333333479E-2</v>
      </c>
      <c r="R60" s="56">
        <f>STDEV(P60:P62)</f>
        <v>2.3397265268770149E-2</v>
      </c>
      <c r="S60" s="58">
        <f>R60/Q60*100</f>
        <v>208.22957711790684</v>
      </c>
      <c r="T60" s="56"/>
    </row>
    <row r="61" spans="1:22" ht="14.45" customHeight="1" x14ac:dyDescent="0.25">
      <c r="D61" s="77"/>
      <c r="E61" s="17" t="s">
        <v>85</v>
      </c>
      <c r="F61" s="17">
        <f t="shared" ref="F61" si="27">F60</f>
        <v>10</v>
      </c>
      <c r="G61" s="57">
        <v>4.0599999999999997E-2</v>
      </c>
      <c r="H61" s="58">
        <v>3.73E-2</v>
      </c>
      <c r="I61" s="56"/>
      <c r="J61" s="57">
        <f t="shared" si="1"/>
        <v>2.783333333333339E-3</v>
      </c>
      <c r="K61" s="58">
        <f t="shared" si="2"/>
        <v>3.6666666666666098E-4</v>
      </c>
      <c r="L61" s="56"/>
      <c r="M61" s="62">
        <f t="shared" si="3"/>
        <v>2.6916666666666738E-3</v>
      </c>
      <c r="N61" s="56">
        <f t="shared" si="4"/>
        <v>0.19101681666666714</v>
      </c>
      <c r="O61" s="58">
        <f t="shared" si="5"/>
        <v>0.38203363333333429</v>
      </c>
      <c r="P61" s="56">
        <f t="shared" si="6"/>
        <v>3.8203363333333427E-2</v>
      </c>
      <c r="Q61" s="57"/>
      <c r="R61" s="56"/>
      <c r="S61" s="58"/>
      <c r="T61" s="56"/>
    </row>
    <row r="62" spans="1:22" ht="14.45" customHeight="1" x14ac:dyDescent="0.25">
      <c r="D62" s="78"/>
      <c r="E62" s="22" t="s">
        <v>86</v>
      </c>
      <c r="F62" s="22">
        <f t="shared" ref="F62" si="28">F60</f>
        <v>10</v>
      </c>
      <c r="G62" s="65">
        <v>3.7600000000000001E-2</v>
      </c>
      <c r="H62" s="66">
        <v>3.7100000000000001E-2</v>
      </c>
      <c r="I62" s="56"/>
      <c r="J62" s="57">
        <f t="shared" si="1"/>
        <v>-2.1666666666665668E-4</v>
      </c>
      <c r="K62" s="58">
        <f t="shared" si="2"/>
        <v>1.6666666666666219E-4</v>
      </c>
      <c r="L62" s="56"/>
      <c r="M62" s="62">
        <f t="shared" si="3"/>
        <v>-2.5833333333332223E-4</v>
      </c>
      <c r="N62" s="56">
        <f t="shared" si="4"/>
        <v>-1.8332883333332543E-2</v>
      </c>
      <c r="O62" s="58">
        <f t="shared" si="5"/>
        <v>-3.6665766666665087E-2</v>
      </c>
      <c r="P62" s="56">
        <f t="shared" si="6"/>
        <v>-3.6665766666665088E-3</v>
      </c>
      <c r="Q62" s="57"/>
      <c r="R62" s="56"/>
      <c r="S62" s="58"/>
      <c r="T62" s="56"/>
    </row>
    <row r="63" spans="1:22" ht="14.45" customHeight="1" x14ac:dyDescent="0.25">
      <c r="D63" s="76">
        <f>A39</f>
        <v>13</v>
      </c>
      <c r="E63" s="12" t="s">
        <v>87</v>
      </c>
      <c r="F63" s="12">
        <f>B39</f>
        <v>10</v>
      </c>
      <c r="G63" s="54">
        <v>4.0599999999999997E-2</v>
      </c>
      <c r="H63" s="55">
        <v>3.8199999999999998E-2</v>
      </c>
      <c r="I63" s="56"/>
      <c r="J63" s="57">
        <f t="shared" si="1"/>
        <v>2.783333333333339E-3</v>
      </c>
      <c r="K63" s="58">
        <f t="shared" si="2"/>
        <v>1.266666666666659E-3</v>
      </c>
      <c r="L63" s="56"/>
      <c r="M63" s="62">
        <f t="shared" si="3"/>
        <v>2.4666666666666743E-3</v>
      </c>
      <c r="N63" s="56">
        <f t="shared" si="4"/>
        <v>0.17504946666666718</v>
      </c>
      <c r="O63" s="58">
        <f t="shared" si="5"/>
        <v>0.35009893333333436</v>
      </c>
      <c r="P63" s="56">
        <f t="shared" si="6"/>
        <v>3.5009893333333438E-2</v>
      </c>
      <c r="Q63" s="57">
        <f>AVERAGE(P63:P65)</f>
        <v>2.2827396666666794E-2</v>
      </c>
      <c r="R63" s="56">
        <f>STDEV(P63:P65)</f>
        <v>1.0670495838302593E-2</v>
      </c>
      <c r="S63" s="58">
        <f>R63/Q63*100</f>
        <v>46.744252067446439</v>
      </c>
      <c r="T63" s="56"/>
    </row>
    <row r="64" spans="1:22" ht="14.45" customHeight="1" x14ac:dyDescent="0.25">
      <c r="D64" s="77"/>
      <c r="E64" s="17" t="s">
        <v>88</v>
      </c>
      <c r="F64" s="17">
        <f t="shared" ref="F64" si="29">F63</f>
        <v>10</v>
      </c>
      <c r="G64" s="57">
        <v>3.8899999999999997E-2</v>
      </c>
      <c r="H64" s="58">
        <v>3.6999999999999998E-2</v>
      </c>
      <c r="I64" s="56"/>
      <c r="J64" s="57">
        <f t="shared" si="1"/>
        <v>1.0833333333333389E-3</v>
      </c>
      <c r="K64" s="58">
        <f t="shared" si="2"/>
        <v>6.6666666666659324E-5</v>
      </c>
      <c r="L64" s="56"/>
      <c r="M64" s="62">
        <f t="shared" si="3"/>
        <v>1.0666666666666741E-3</v>
      </c>
      <c r="N64" s="56">
        <f t="shared" si="4"/>
        <v>7.5697066666667187E-2</v>
      </c>
      <c r="O64" s="58">
        <f t="shared" si="5"/>
        <v>0.15139413333333437</v>
      </c>
      <c r="P64" s="56">
        <f t="shared" si="6"/>
        <v>1.5139413333333438E-2</v>
      </c>
      <c r="Q64" s="57"/>
      <c r="R64" s="56"/>
      <c r="S64" s="58"/>
      <c r="T64" s="56"/>
    </row>
    <row r="65" spans="4:20" ht="14.45" customHeight="1" x14ac:dyDescent="0.25">
      <c r="D65" s="78"/>
      <c r="E65" s="22" t="s">
        <v>89</v>
      </c>
      <c r="F65" s="22">
        <f t="shared" ref="F65" si="30">F63</f>
        <v>10</v>
      </c>
      <c r="G65" s="65">
        <v>3.9100000000000003E-2</v>
      </c>
      <c r="H65" s="66">
        <v>3.6900000000000002E-2</v>
      </c>
      <c r="I65" s="56"/>
      <c r="J65" s="57">
        <f t="shared" si="1"/>
        <v>1.2833333333333447E-3</v>
      </c>
      <c r="K65" s="58">
        <f t="shared" si="2"/>
        <v>-3.3333333333336601E-5</v>
      </c>
      <c r="L65" s="56"/>
      <c r="M65" s="62">
        <f t="shared" si="3"/>
        <v>1.2916666666666788E-3</v>
      </c>
      <c r="N65" s="56">
        <f t="shared" si="4"/>
        <v>9.1664416666667525E-2</v>
      </c>
      <c r="O65" s="58">
        <f t="shared" si="5"/>
        <v>0.18332883333333505</v>
      </c>
      <c r="P65" s="56">
        <f t="shared" si="6"/>
        <v>1.8332883333333504E-2</v>
      </c>
      <c r="Q65" s="57"/>
      <c r="R65" s="56"/>
      <c r="S65" s="58"/>
      <c r="T65" s="56"/>
    </row>
    <row r="66" spans="4:20" ht="14.45" customHeight="1" x14ac:dyDescent="0.25">
      <c r="D66" s="76">
        <f>A40</f>
        <v>14</v>
      </c>
      <c r="E66" s="12" t="s">
        <v>90</v>
      </c>
      <c r="F66" s="12">
        <f>B40</f>
        <v>10</v>
      </c>
      <c r="G66" s="54">
        <v>4.9700000000000001E-2</v>
      </c>
      <c r="H66" s="55">
        <v>3.6900000000000002E-2</v>
      </c>
      <c r="I66" s="56"/>
      <c r="J66" s="57">
        <f t="shared" si="1"/>
        <v>1.1883333333333343E-2</v>
      </c>
      <c r="K66" s="58">
        <f t="shared" si="2"/>
        <v>-3.3333333333336601E-5</v>
      </c>
      <c r="L66" s="56"/>
      <c r="M66" s="62">
        <f t="shared" si="3"/>
        <v>1.1891666666666677E-2</v>
      </c>
      <c r="N66" s="56">
        <f t="shared" si="4"/>
        <v>0.84390401666666737</v>
      </c>
      <c r="O66" s="58">
        <f t="shared" si="5"/>
        <v>1.6878080333333347</v>
      </c>
      <c r="P66" s="56">
        <f t="shared" si="6"/>
        <v>0.16878080333333348</v>
      </c>
      <c r="Q66" s="57">
        <f>AVERAGE(P66:P68)</f>
        <v>0.18439332333333347</v>
      </c>
      <c r="R66" s="56">
        <f>STDEV(P66:P68)</f>
        <v>1.3687426398092501E-2</v>
      </c>
      <c r="S66" s="58">
        <f>R66/Q66*100</f>
        <v>7.4229511951196407</v>
      </c>
      <c r="T66" s="56"/>
    </row>
    <row r="67" spans="4:20" ht="14.45" customHeight="1" x14ac:dyDescent="0.25">
      <c r="D67" s="77"/>
      <c r="E67" s="17" t="s">
        <v>91</v>
      </c>
      <c r="F67" s="17">
        <f t="shared" ref="F67" si="31">F66</f>
        <v>10</v>
      </c>
      <c r="G67" s="57">
        <v>5.16E-2</v>
      </c>
      <c r="H67" s="58">
        <v>3.73E-2</v>
      </c>
      <c r="I67" s="56"/>
      <c r="J67" s="57">
        <f t="shared" si="1"/>
        <v>1.3783333333333342E-2</v>
      </c>
      <c r="K67" s="58">
        <f t="shared" si="2"/>
        <v>3.6666666666666098E-4</v>
      </c>
      <c r="L67" s="56"/>
      <c r="M67" s="62">
        <f t="shared" si="3"/>
        <v>1.3691666666666677E-2</v>
      </c>
      <c r="N67" s="56">
        <f t="shared" si="4"/>
        <v>0.9716428166666673</v>
      </c>
      <c r="O67" s="58">
        <f t="shared" si="5"/>
        <v>1.9432856333333346</v>
      </c>
      <c r="P67" s="56">
        <f t="shared" si="6"/>
        <v>0.19432856333333345</v>
      </c>
      <c r="Q67" s="57"/>
      <c r="R67" s="56"/>
      <c r="S67" s="58"/>
      <c r="T67" s="56"/>
    </row>
    <row r="68" spans="4:20" ht="14.45" customHeight="1" x14ac:dyDescent="0.25">
      <c r="D68" s="78"/>
      <c r="E68" s="22" t="s">
        <v>92</v>
      </c>
      <c r="F68" s="22">
        <f t="shared" ref="F68" si="32">F66</f>
        <v>10</v>
      </c>
      <c r="G68" s="65">
        <v>5.1299999999999998E-2</v>
      </c>
      <c r="H68" s="66">
        <v>3.73E-2</v>
      </c>
      <c r="I68" s="56"/>
      <c r="J68" s="57">
        <f t="shared" si="1"/>
        <v>1.348333333333334E-2</v>
      </c>
      <c r="K68" s="58">
        <f t="shared" si="2"/>
        <v>3.6666666666666098E-4</v>
      </c>
      <c r="L68" s="56"/>
      <c r="M68" s="62">
        <f t="shared" si="3"/>
        <v>1.3391666666666675E-2</v>
      </c>
      <c r="N68" s="56">
        <f t="shared" si="4"/>
        <v>0.95035301666666716</v>
      </c>
      <c r="O68" s="58">
        <f t="shared" si="5"/>
        <v>1.9007060333333343</v>
      </c>
      <c r="P68" s="56">
        <f t="shared" si="6"/>
        <v>0.19007060333333342</v>
      </c>
      <c r="Q68" s="57"/>
      <c r="R68" s="56"/>
      <c r="S68" s="58"/>
      <c r="T68" s="56"/>
    </row>
    <row r="69" spans="4:20" ht="14.45" customHeight="1" x14ac:dyDescent="0.25">
      <c r="D69" s="76">
        <f>A41</f>
        <v>15</v>
      </c>
      <c r="E69" s="12" t="s">
        <v>93</v>
      </c>
      <c r="F69" s="12">
        <f>B41</f>
        <v>10</v>
      </c>
      <c r="G69" s="54">
        <v>4.5199999999999997E-2</v>
      </c>
      <c r="H69" s="55">
        <v>3.7499999999999999E-2</v>
      </c>
      <c r="I69" s="56"/>
      <c r="J69" s="57">
        <f t="shared" si="1"/>
        <v>7.383333333333339E-3</v>
      </c>
      <c r="K69" s="58">
        <f t="shared" si="2"/>
        <v>5.6666666666665977E-4</v>
      </c>
      <c r="L69" s="56"/>
      <c r="M69" s="62">
        <f t="shared" si="3"/>
        <v>7.241666666666674E-3</v>
      </c>
      <c r="N69" s="56">
        <f t="shared" si="4"/>
        <v>0.51391211666666714</v>
      </c>
      <c r="O69" s="58">
        <f t="shared" si="5"/>
        <v>1.0278242333333343</v>
      </c>
      <c r="P69" s="56">
        <f t="shared" si="6"/>
        <v>0.10278242333333343</v>
      </c>
      <c r="Q69" s="57">
        <f>AVERAGE(P69:P71)</f>
        <v>0.11248111000000012</v>
      </c>
      <c r="R69" s="56">
        <f>STDEV(P69:P71)</f>
        <v>1.1228187802959741E-2</v>
      </c>
      <c r="S69" s="58">
        <f>R69/Q69*100</f>
        <v>9.9822875173971237</v>
      </c>
      <c r="T69" s="56"/>
    </row>
    <row r="70" spans="4:20" ht="14.45" customHeight="1" x14ac:dyDescent="0.25">
      <c r="D70" s="77"/>
      <c r="E70" s="17" t="s">
        <v>94</v>
      </c>
      <c r="F70" s="17">
        <f t="shared" ref="F70" si="33">F69</f>
        <v>10</v>
      </c>
      <c r="G70" s="57">
        <v>4.58E-2</v>
      </c>
      <c r="H70" s="58">
        <v>3.7900000000000003E-2</v>
      </c>
      <c r="I70" s="56"/>
      <c r="J70" s="57">
        <f t="shared" si="1"/>
        <v>7.9833333333333423E-3</v>
      </c>
      <c r="K70" s="58">
        <f t="shared" si="2"/>
        <v>9.6666666666666429E-4</v>
      </c>
      <c r="L70" s="56"/>
      <c r="M70" s="62">
        <f t="shared" si="3"/>
        <v>7.7416666666666762E-3</v>
      </c>
      <c r="N70" s="56">
        <f t="shared" si="4"/>
        <v>0.54939511666666729</v>
      </c>
      <c r="O70" s="58">
        <f t="shared" si="5"/>
        <v>1.0987902333333346</v>
      </c>
      <c r="P70" s="56">
        <f t="shared" si="6"/>
        <v>0.10987902333333346</v>
      </c>
      <c r="Q70" s="57"/>
      <c r="R70" s="56"/>
      <c r="S70" s="58"/>
      <c r="T70" s="56"/>
    </row>
    <row r="71" spans="4:20" ht="14.45" customHeight="1" x14ac:dyDescent="0.25">
      <c r="D71" s="78"/>
      <c r="E71" s="22" t="s">
        <v>95</v>
      </c>
      <c r="F71" s="22">
        <f t="shared" ref="F71" si="34">F69</f>
        <v>10</v>
      </c>
      <c r="G71" s="65">
        <v>4.6800000000000001E-2</v>
      </c>
      <c r="H71" s="66">
        <v>3.7699999999999997E-2</v>
      </c>
      <c r="I71" s="56"/>
      <c r="J71" s="57">
        <f t="shared" si="1"/>
        <v>8.9833333333333432E-3</v>
      </c>
      <c r="K71" s="58">
        <f t="shared" si="2"/>
        <v>7.6666666666665856E-4</v>
      </c>
      <c r="L71" s="56"/>
      <c r="M71" s="62">
        <f t="shared" si="3"/>
        <v>8.7916666666666785E-3</v>
      </c>
      <c r="N71" s="56">
        <f t="shared" si="4"/>
        <v>0.62390941666666744</v>
      </c>
      <c r="O71" s="58">
        <f t="shared" si="5"/>
        <v>1.2478188333333349</v>
      </c>
      <c r="P71" s="56">
        <f t="shared" si="6"/>
        <v>0.12478188333333348</v>
      </c>
      <c r="Q71" s="57"/>
      <c r="R71" s="56"/>
      <c r="S71" s="58"/>
      <c r="T71" s="56"/>
    </row>
    <row r="72" spans="4:20" ht="14.45" customHeight="1" x14ac:dyDescent="0.25">
      <c r="D72" s="76">
        <f>A42</f>
        <v>16</v>
      </c>
      <c r="E72" s="12" t="s">
        <v>96</v>
      </c>
      <c r="F72" s="12">
        <f>B42</f>
        <v>10</v>
      </c>
      <c r="G72" s="54">
        <v>7.5300000000000006E-2</v>
      </c>
      <c r="H72" s="55">
        <v>3.6499999999999998E-2</v>
      </c>
      <c r="I72" s="56"/>
      <c r="J72" s="57">
        <f t="shared" si="1"/>
        <v>3.7483333333333348E-2</v>
      </c>
      <c r="K72" s="58">
        <f t="shared" si="2"/>
        <v>-4.3333333333334112E-4</v>
      </c>
      <c r="L72" s="56"/>
      <c r="M72" s="62">
        <f t="shared" si="3"/>
        <v>3.7591666666666683E-2</v>
      </c>
      <c r="N72" s="56">
        <f t="shared" si="4"/>
        <v>2.6677302166666674</v>
      </c>
      <c r="O72" s="58">
        <f t="shared" si="5"/>
        <v>5.3354604333333349</v>
      </c>
      <c r="P72" s="56">
        <f t="shared" si="6"/>
        <v>0.53354604333333344</v>
      </c>
      <c r="Q72" s="57">
        <f>AVERAGE(P72:P74)</f>
        <v>0.5809749866666668</v>
      </c>
      <c r="R72" s="56">
        <f>STDEV(P72:P74)</f>
        <v>4.1313448787023734E-2</v>
      </c>
      <c r="S72" s="58">
        <f>R72/Q72*100</f>
        <v>7.111054646958018</v>
      </c>
      <c r="T72" s="56"/>
    </row>
    <row r="73" spans="4:20" ht="14.45" customHeight="1" x14ac:dyDescent="0.25">
      <c r="D73" s="77"/>
      <c r="E73" s="17" t="s">
        <v>97</v>
      </c>
      <c r="F73" s="17">
        <f t="shared" ref="F73" si="35">F72</f>
        <v>10</v>
      </c>
      <c r="G73" s="57">
        <v>8.0500000000000002E-2</v>
      </c>
      <c r="H73" s="58">
        <v>3.85E-2</v>
      </c>
      <c r="I73" s="56"/>
      <c r="J73" s="57">
        <f t="shared" si="1"/>
        <v>4.2683333333333344E-2</v>
      </c>
      <c r="K73" s="58">
        <f t="shared" si="2"/>
        <v>1.5666666666666607E-3</v>
      </c>
      <c r="L73" s="56"/>
      <c r="M73" s="62">
        <f t="shared" si="3"/>
        <v>4.2291666666666679E-2</v>
      </c>
      <c r="N73" s="56">
        <f t="shared" si="4"/>
        <v>3.0012704166666673</v>
      </c>
      <c r="O73" s="58">
        <f t="shared" si="5"/>
        <v>6.0025408333333345</v>
      </c>
      <c r="P73" s="56">
        <f t="shared" si="6"/>
        <v>0.60025408333333341</v>
      </c>
      <c r="Q73" s="57"/>
      <c r="R73" s="56"/>
      <c r="S73" s="58"/>
      <c r="T73" s="56"/>
    </row>
    <row r="74" spans="4:20" ht="14.45" customHeight="1" x14ac:dyDescent="0.25">
      <c r="D74" s="78"/>
      <c r="E74" s="22" t="s">
        <v>98</v>
      </c>
      <c r="F74" s="22">
        <f t="shared" ref="F74" si="36">F72</f>
        <v>10</v>
      </c>
      <c r="G74" s="65">
        <v>8.0600000000000005E-2</v>
      </c>
      <c r="H74" s="66">
        <v>3.6400000000000002E-2</v>
      </c>
      <c r="I74" s="56"/>
      <c r="J74" s="57">
        <f t="shared" si="1"/>
        <v>4.2783333333333347E-2</v>
      </c>
      <c r="K74" s="58">
        <f t="shared" si="2"/>
        <v>-5.3333333333333705E-4</v>
      </c>
      <c r="L74" s="56"/>
      <c r="M74" s="62">
        <f t="shared" si="3"/>
        <v>4.2916666666666679E-2</v>
      </c>
      <c r="N74" s="56">
        <f t="shared" si="4"/>
        <v>3.0456241666666672</v>
      </c>
      <c r="O74" s="58">
        <f t="shared" si="5"/>
        <v>6.0912483333333345</v>
      </c>
      <c r="P74" s="56">
        <f t="shared" si="6"/>
        <v>0.60912483333333345</v>
      </c>
      <c r="Q74" s="57"/>
      <c r="R74" s="56"/>
      <c r="S74" s="58"/>
      <c r="T74" s="56"/>
    </row>
    <row r="75" spans="4:20" ht="14.45" customHeight="1" x14ac:dyDescent="0.25">
      <c r="D75" s="76">
        <f>A43</f>
        <v>17</v>
      </c>
      <c r="E75" s="12" t="s">
        <v>99</v>
      </c>
      <c r="F75" s="12">
        <f>B43</f>
        <v>10</v>
      </c>
      <c r="G75" s="54">
        <v>7.17E-2</v>
      </c>
      <c r="H75" s="55">
        <v>3.73E-2</v>
      </c>
      <c r="I75" s="56"/>
      <c r="J75" s="57">
        <f t="shared" si="1"/>
        <v>3.3883333333333342E-2</v>
      </c>
      <c r="K75" s="58">
        <f t="shared" si="2"/>
        <v>3.6666666666666098E-4</v>
      </c>
      <c r="L75" s="56"/>
      <c r="M75" s="62">
        <f t="shared" si="3"/>
        <v>3.3791666666666678E-2</v>
      </c>
      <c r="N75" s="56">
        <f t="shared" si="4"/>
        <v>2.3980594166666673</v>
      </c>
      <c r="O75" s="58">
        <f t="shared" si="5"/>
        <v>4.7961188333333347</v>
      </c>
      <c r="P75" s="56">
        <f t="shared" si="6"/>
        <v>0.47961188333333349</v>
      </c>
      <c r="Q75" s="57">
        <f>AVERAGE(P75:P77)</f>
        <v>0.50799828333333341</v>
      </c>
      <c r="R75" s="56">
        <f>STDEV(P75:P77)</f>
        <v>2.4746689794184522E-2</v>
      </c>
      <c r="S75" s="58">
        <f>R75/Q75*100</f>
        <v>4.8714120905693052</v>
      </c>
      <c r="T75" s="56"/>
    </row>
    <row r="76" spans="4:20" ht="14.45" customHeight="1" x14ac:dyDescent="0.25">
      <c r="D76" s="77"/>
      <c r="E76" s="17" t="s">
        <v>100</v>
      </c>
      <c r="F76" s="17">
        <f t="shared" ref="F76" si="37">F75</f>
        <v>10</v>
      </c>
      <c r="G76" s="57">
        <v>7.4499999999999997E-2</v>
      </c>
      <c r="H76" s="58">
        <v>3.73E-2</v>
      </c>
      <c r="I76" s="56"/>
      <c r="J76" s="57">
        <f t="shared" si="1"/>
        <v>3.6683333333333339E-2</v>
      </c>
      <c r="K76" s="58">
        <f t="shared" si="2"/>
        <v>3.6666666666666098E-4</v>
      </c>
      <c r="L76" s="56"/>
      <c r="M76" s="62">
        <f t="shared" si="3"/>
        <v>3.6591666666666675E-2</v>
      </c>
      <c r="N76" s="56">
        <f t="shared" si="4"/>
        <v>2.5967642166666671</v>
      </c>
      <c r="O76" s="58">
        <f t="shared" si="5"/>
        <v>5.1935284333333342</v>
      </c>
      <c r="P76" s="56">
        <f t="shared" si="6"/>
        <v>0.51935284333333342</v>
      </c>
      <c r="Q76" s="57"/>
      <c r="R76" s="56"/>
      <c r="S76" s="58"/>
      <c r="T76" s="56"/>
    </row>
    <row r="77" spans="4:20" ht="14.45" customHeight="1" x14ac:dyDescent="0.25">
      <c r="D77" s="78"/>
      <c r="E77" s="22" t="s">
        <v>101</v>
      </c>
      <c r="F77" s="22">
        <f t="shared" ref="F77" si="38">F75</f>
        <v>10</v>
      </c>
      <c r="G77" s="65">
        <v>7.4999999999999997E-2</v>
      </c>
      <c r="H77" s="66">
        <v>3.7699999999999997E-2</v>
      </c>
      <c r="I77" s="56"/>
      <c r="J77" s="57">
        <f t="shared" si="1"/>
        <v>3.7183333333333339E-2</v>
      </c>
      <c r="K77" s="58">
        <f t="shared" si="2"/>
        <v>7.6666666666665856E-4</v>
      </c>
      <c r="L77" s="56"/>
      <c r="M77" s="62">
        <f t="shared" si="3"/>
        <v>3.6991666666666673E-2</v>
      </c>
      <c r="N77" s="56">
        <f t="shared" si="4"/>
        <v>2.6251506166666667</v>
      </c>
      <c r="O77" s="58">
        <f t="shared" si="5"/>
        <v>5.2503012333333334</v>
      </c>
      <c r="P77" s="56">
        <f t="shared" si="6"/>
        <v>0.52503012333333332</v>
      </c>
      <c r="Q77" s="57"/>
      <c r="R77" s="56"/>
      <c r="S77" s="58"/>
      <c r="T77" s="56"/>
    </row>
    <row r="78" spans="4:20" ht="14.45" customHeight="1" x14ac:dyDescent="0.25">
      <c r="D78" s="76">
        <f>A44</f>
        <v>18</v>
      </c>
      <c r="E78" s="12" t="s">
        <v>102</v>
      </c>
      <c r="F78" s="12">
        <f>B44</f>
        <v>10</v>
      </c>
      <c r="G78" s="54">
        <v>3.78E-2</v>
      </c>
      <c r="H78" s="55">
        <v>3.6600000000000001E-2</v>
      </c>
      <c r="I78" s="56"/>
      <c r="J78" s="57">
        <f t="shared" si="1"/>
        <v>-1.6666666666657892E-5</v>
      </c>
      <c r="K78" s="58">
        <f t="shared" si="2"/>
        <v>-3.3333333333333826E-4</v>
      </c>
      <c r="L78" s="56"/>
      <c r="M78" s="62">
        <f t="shared" si="3"/>
        <v>6.6666666666676672E-5</v>
      </c>
      <c r="N78" s="56">
        <f t="shared" si="4"/>
        <v>4.7310666666673766E-3</v>
      </c>
      <c r="O78" s="58">
        <f t="shared" si="5"/>
        <v>9.4621333333347532E-3</v>
      </c>
      <c r="P78" s="56">
        <f t="shared" si="6"/>
        <v>9.462133333334753E-4</v>
      </c>
      <c r="Q78" s="57">
        <f>AVERAGE(P78:P80)</f>
        <v>1.537596666666809E-3</v>
      </c>
      <c r="R78" s="56">
        <f>STDEV(P78:P80)</f>
        <v>1.0243059800827754E-3</v>
      </c>
      <c r="S78" s="58">
        <f>R78/Q78*100</f>
        <v>66.617338752643022</v>
      </c>
      <c r="T78" s="56"/>
    </row>
    <row r="79" spans="4:20" ht="14.45" customHeight="1" x14ac:dyDescent="0.25">
      <c r="D79" s="77"/>
      <c r="E79" s="17" t="s">
        <v>103</v>
      </c>
      <c r="F79" s="17">
        <f t="shared" ref="F79" si="39">F78</f>
        <v>10</v>
      </c>
      <c r="G79" s="57">
        <v>3.78E-2</v>
      </c>
      <c r="H79" s="58">
        <v>3.6600000000000001E-2</v>
      </c>
      <c r="I79" s="56"/>
      <c r="J79" s="57">
        <f t="shared" si="1"/>
        <v>-1.6666666666657892E-5</v>
      </c>
      <c r="K79" s="58">
        <f t="shared" si="2"/>
        <v>-3.3333333333333826E-4</v>
      </c>
      <c r="L79" s="56"/>
      <c r="M79" s="62">
        <f t="shared" si="3"/>
        <v>6.6666666666676672E-5</v>
      </c>
      <c r="N79" s="56">
        <f t="shared" si="4"/>
        <v>4.7310666666673766E-3</v>
      </c>
      <c r="O79" s="58">
        <f t="shared" si="5"/>
        <v>9.4621333333347532E-3</v>
      </c>
      <c r="P79" s="56">
        <f t="shared" si="6"/>
        <v>9.462133333334753E-4</v>
      </c>
      <c r="Q79" s="57"/>
      <c r="R79" s="56"/>
      <c r="S79" s="58"/>
      <c r="T79" s="56"/>
    </row>
    <row r="80" spans="4:20" ht="14.45" customHeight="1" x14ac:dyDescent="0.25">
      <c r="D80" s="78"/>
      <c r="E80" s="22" t="s">
        <v>104</v>
      </c>
      <c r="F80" s="22">
        <f t="shared" ref="F80" si="40">F78</f>
        <v>10</v>
      </c>
      <c r="G80" s="65">
        <v>3.8300000000000001E-2</v>
      </c>
      <c r="H80" s="66">
        <v>3.8100000000000002E-2</v>
      </c>
      <c r="I80" s="56"/>
      <c r="J80" s="57">
        <f t="shared" si="1"/>
        <v>4.8333333333334255E-4</v>
      </c>
      <c r="K80" s="58">
        <f t="shared" si="2"/>
        <v>1.1666666666666631E-3</v>
      </c>
      <c r="L80" s="56"/>
      <c r="M80" s="62">
        <f t="shared" si="3"/>
        <v>1.9166666666667678E-4</v>
      </c>
      <c r="N80" s="56">
        <f t="shared" si="4"/>
        <v>1.3601816666667384E-2</v>
      </c>
      <c r="O80" s="58">
        <f t="shared" si="5"/>
        <v>2.7203633333334767E-2</v>
      </c>
      <c r="P80" s="56">
        <f t="shared" si="6"/>
        <v>2.7203633333334767E-3</v>
      </c>
      <c r="Q80" s="57"/>
      <c r="R80" s="56"/>
      <c r="S80" s="58"/>
      <c r="T80" s="56"/>
    </row>
    <row r="81" spans="4:20" ht="14.45" customHeight="1" x14ac:dyDescent="0.25">
      <c r="D81" s="76">
        <f>A45</f>
        <v>19</v>
      </c>
      <c r="E81" s="12" t="s">
        <v>105</v>
      </c>
      <c r="F81" s="12">
        <f>B45</f>
        <v>10</v>
      </c>
      <c r="G81" s="54">
        <v>4.7E-2</v>
      </c>
      <c r="H81" s="55">
        <v>3.6499999999999998E-2</v>
      </c>
      <c r="I81" s="56"/>
      <c r="J81" s="57">
        <f t="shared" si="1"/>
        <v>9.183333333333342E-3</v>
      </c>
      <c r="K81" s="58">
        <f t="shared" si="2"/>
        <v>-4.3333333333334112E-4</v>
      </c>
      <c r="L81" s="56"/>
      <c r="M81" s="62">
        <f t="shared" si="3"/>
        <v>9.2916666666666772E-3</v>
      </c>
      <c r="N81" s="56">
        <f t="shared" si="4"/>
        <v>0.65939241666666737</v>
      </c>
      <c r="O81" s="58">
        <f t="shared" si="5"/>
        <v>1.3187848333333347</v>
      </c>
      <c r="P81" s="56">
        <f t="shared" si="6"/>
        <v>0.13187848333333346</v>
      </c>
      <c r="Q81" s="57">
        <f>AVERAGE(P81:P83)</f>
        <v>0.1375557633333335</v>
      </c>
      <c r="R81" s="56">
        <f>STDEV(P81:P83)</f>
        <v>5.0305834759896608E-3</v>
      </c>
      <c r="S81" s="58">
        <f>R81/Q81*100</f>
        <v>3.6571230125772667</v>
      </c>
      <c r="T81" s="56"/>
    </row>
    <row r="82" spans="4:20" ht="14.45" customHeight="1" x14ac:dyDescent="0.25">
      <c r="D82" s="77"/>
      <c r="E82" s="17" t="s">
        <v>106</v>
      </c>
      <c r="F82" s="17">
        <f t="shared" ref="F82" si="41">F81</f>
        <v>10</v>
      </c>
      <c r="G82" s="57">
        <v>4.7600000000000003E-2</v>
      </c>
      <c r="H82" s="58">
        <v>3.6200000000000003E-2</v>
      </c>
      <c r="I82" s="56"/>
      <c r="J82" s="57">
        <f t="shared" si="1"/>
        <v>9.7833333333333453E-3</v>
      </c>
      <c r="K82" s="58">
        <f t="shared" si="2"/>
        <v>-7.3333333333333584E-4</v>
      </c>
      <c r="L82" s="56"/>
      <c r="M82" s="62">
        <f t="shared" si="3"/>
        <v>9.9666666666666792E-3</v>
      </c>
      <c r="N82" s="56">
        <f t="shared" si="4"/>
        <v>0.70729446666666751</v>
      </c>
      <c r="O82" s="58">
        <f t="shared" si="5"/>
        <v>1.414588933333335</v>
      </c>
      <c r="P82" s="56">
        <f t="shared" si="6"/>
        <v>0.1414588933333335</v>
      </c>
      <c r="Q82" s="57"/>
      <c r="R82" s="56"/>
      <c r="S82" s="58"/>
      <c r="T82" s="56"/>
    </row>
    <row r="83" spans="4:20" ht="14.45" customHeight="1" x14ac:dyDescent="0.25">
      <c r="D83" s="78"/>
      <c r="E83" s="22" t="s">
        <v>107</v>
      </c>
      <c r="F83" s="22">
        <f t="shared" ref="F83" si="42">F81</f>
        <v>10</v>
      </c>
      <c r="G83" s="65">
        <v>4.7300000000000002E-2</v>
      </c>
      <c r="H83" s="66">
        <v>3.56E-2</v>
      </c>
      <c r="I83" s="56"/>
      <c r="J83" s="57">
        <f t="shared" si="1"/>
        <v>9.4833333333333436E-3</v>
      </c>
      <c r="K83" s="58">
        <f t="shared" si="2"/>
        <v>-1.3333333333333391E-3</v>
      </c>
      <c r="L83" s="56"/>
      <c r="M83" s="62">
        <f t="shared" si="3"/>
        <v>9.8166666666666784E-3</v>
      </c>
      <c r="N83" s="56">
        <f t="shared" si="4"/>
        <v>0.69664956666666744</v>
      </c>
      <c r="O83" s="58">
        <f t="shared" si="5"/>
        <v>1.3932991333333349</v>
      </c>
      <c r="P83" s="56">
        <f t="shared" si="6"/>
        <v>0.1393299133333335</v>
      </c>
      <c r="Q83" s="57"/>
      <c r="R83" s="56"/>
      <c r="S83" s="58"/>
      <c r="T83" s="56"/>
    </row>
    <row r="84" spans="4:20" ht="14.45" customHeight="1" x14ac:dyDescent="0.25">
      <c r="D84" s="76">
        <f>A46</f>
        <v>20</v>
      </c>
      <c r="E84" s="12" t="s">
        <v>108</v>
      </c>
      <c r="F84" s="12">
        <f>B46</f>
        <v>10</v>
      </c>
      <c r="G84" s="54">
        <v>3.7499999999999999E-2</v>
      </c>
      <c r="H84" s="55">
        <v>3.7900000000000003E-2</v>
      </c>
      <c r="I84" s="56"/>
      <c r="J84" s="57">
        <f t="shared" si="1"/>
        <v>-3.1666666666665955E-4</v>
      </c>
      <c r="K84" s="58">
        <f t="shared" si="2"/>
        <v>9.6666666666666429E-4</v>
      </c>
      <c r="L84" s="56"/>
      <c r="M84" s="62">
        <f t="shared" si="3"/>
        <v>-5.5833333333332562E-4</v>
      </c>
      <c r="N84" s="56">
        <f t="shared" si="4"/>
        <v>-3.9622683333332784E-2</v>
      </c>
      <c r="O84" s="58">
        <f t="shared" si="5"/>
        <v>-7.9245366666665568E-2</v>
      </c>
      <c r="P84" s="56">
        <f t="shared" si="6"/>
        <v>-7.9245366666665564E-3</v>
      </c>
      <c r="Q84" s="57">
        <f>AVERAGE(P84:P86)</f>
        <v>2.0107033333334654E-3</v>
      </c>
      <c r="R84" s="56">
        <f>STDEV(P84:P86)</f>
        <v>1.341332494194116E-2</v>
      </c>
      <c r="S84" s="58">
        <f>R84/Q84*100</f>
        <v>667.09617075651533</v>
      </c>
      <c r="T84" s="56"/>
    </row>
    <row r="85" spans="4:20" ht="14.45" customHeight="1" x14ac:dyDescent="0.25">
      <c r="D85" s="77"/>
      <c r="E85" s="17" t="s">
        <v>109</v>
      </c>
      <c r="F85" s="17">
        <f t="shared" ref="F85" si="43">F84</f>
        <v>10</v>
      </c>
      <c r="G85" s="57">
        <v>3.8199999999999998E-2</v>
      </c>
      <c r="H85" s="58">
        <v>3.9399999999999998E-2</v>
      </c>
      <c r="I85" s="56"/>
      <c r="J85" s="57">
        <f t="shared" si="1"/>
        <v>3.8333333333333969E-4</v>
      </c>
      <c r="K85" s="58">
        <f t="shared" si="2"/>
        <v>2.4666666666666587E-3</v>
      </c>
      <c r="L85" s="56"/>
      <c r="M85" s="62">
        <f t="shared" si="3"/>
        <v>-2.3333333333332498E-4</v>
      </c>
      <c r="N85" s="56">
        <f t="shared" si="4"/>
        <v>-1.6558733333332739E-2</v>
      </c>
      <c r="O85" s="58">
        <f t="shared" si="5"/>
        <v>-3.3117466666665478E-2</v>
      </c>
      <c r="P85" s="56">
        <f t="shared" si="6"/>
        <v>-3.3117466666665479E-3</v>
      </c>
      <c r="Q85" s="57"/>
      <c r="R85" s="56"/>
      <c r="S85" s="58"/>
      <c r="T85" s="56"/>
    </row>
    <row r="86" spans="4:20" ht="14.45" customHeight="1" x14ac:dyDescent="0.25">
      <c r="D86" s="78"/>
      <c r="E86" s="22" t="s">
        <v>110</v>
      </c>
      <c r="F86" s="22">
        <f t="shared" ref="F86" si="44">F84</f>
        <v>10</v>
      </c>
      <c r="G86" s="65">
        <v>3.9800000000000002E-2</v>
      </c>
      <c r="H86" s="66">
        <v>0.04</v>
      </c>
      <c r="I86" s="56"/>
      <c r="J86" s="57">
        <f t="shared" si="1"/>
        <v>1.9833333333333439E-3</v>
      </c>
      <c r="K86" s="58">
        <f t="shared" si="2"/>
        <v>3.066666666666662E-3</v>
      </c>
      <c r="L86" s="56"/>
      <c r="M86" s="62">
        <f t="shared" si="3"/>
        <v>1.2166666666666784E-3</v>
      </c>
      <c r="N86" s="56">
        <f t="shared" si="4"/>
        <v>8.6341966666667491E-2</v>
      </c>
      <c r="O86" s="58">
        <f t="shared" si="5"/>
        <v>0.17268393333333498</v>
      </c>
      <c r="P86" s="56">
        <f t="shared" si="6"/>
        <v>1.72683933333335E-2</v>
      </c>
      <c r="Q86" s="57"/>
      <c r="R86" s="56"/>
      <c r="S86" s="58"/>
      <c r="T86" s="56"/>
    </row>
    <row r="87" spans="4:20" ht="14.45" customHeight="1" x14ac:dyDescent="0.25">
      <c r="D87" s="76">
        <f>A47</f>
        <v>21</v>
      </c>
      <c r="E87" s="12" t="s">
        <v>111</v>
      </c>
      <c r="F87" s="12">
        <f>B47</f>
        <v>10</v>
      </c>
      <c r="G87" s="54">
        <v>0.26819999999999999</v>
      </c>
      <c r="H87" s="55">
        <v>8.2699999999999996E-2</v>
      </c>
      <c r="I87" s="56"/>
      <c r="J87" s="57">
        <f t="shared" si="1"/>
        <v>0.23038333333333333</v>
      </c>
      <c r="K87" s="58">
        <f t="shared" si="2"/>
        <v>4.5766666666666657E-2</v>
      </c>
      <c r="L87" s="56"/>
      <c r="M87" s="62">
        <f t="shared" si="3"/>
        <v>0.21894166666666667</v>
      </c>
      <c r="N87" s="56">
        <f t="shared" si="4"/>
        <v>15.537414316666666</v>
      </c>
      <c r="O87" s="58">
        <f t="shared" si="5"/>
        <v>31.074828633333333</v>
      </c>
      <c r="P87" s="56">
        <f t="shared" si="6"/>
        <v>3.1074828633333333</v>
      </c>
      <c r="Q87" s="57">
        <f>AVERAGE(P87:P89)</f>
        <v>1.1649068899999999</v>
      </c>
      <c r="R87" s="56">
        <f>STDEV(P87:P89)</f>
        <v>1.6823297211418338</v>
      </c>
      <c r="S87" s="58">
        <f>R87/Q87*100</f>
        <v>144.41752689280031</v>
      </c>
      <c r="T87" s="56"/>
    </row>
    <row r="88" spans="4:20" ht="14.45" customHeight="1" x14ac:dyDescent="0.25">
      <c r="D88" s="77"/>
      <c r="E88" s="17" t="s">
        <v>112</v>
      </c>
      <c r="F88" s="17">
        <f t="shared" ref="F88:F97" si="45">F87</f>
        <v>10</v>
      </c>
      <c r="G88" s="57">
        <v>5.21E-2</v>
      </c>
      <c r="H88" s="58">
        <v>4.1099999999999998E-2</v>
      </c>
      <c r="I88" s="56"/>
      <c r="J88" s="57">
        <f t="shared" si="1"/>
        <v>1.4283333333333342E-2</v>
      </c>
      <c r="K88" s="58">
        <f t="shared" si="2"/>
        <v>4.1666666666666588E-3</v>
      </c>
      <c r="L88" s="56"/>
      <c r="M88" s="62">
        <f t="shared" si="3"/>
        <v>1.3241666666666678E-2</v>
      </c>
      <c r="N88" s="56">
        <f t="shared" si="4"/>
        <v>0.93970811666666731</v>
      </c>
      <c r="O88" s="58">
        <f t="shared" si="5"/>
        <v>1.8794162333333346</v>
      </c>
      <c r="P88" s="56">
        <f t="shared" si="6"/>
        <v>0.18794162333333347</v>
      </c>
      <c r="Q88" s="57"/>
      <c r="R88" s="56"/>
      <c r="S88" s="58"/>
      <c r="T88" s="56"/>
    </row>
    <row r="89" spans="4:20" ht="14.45" customHeight="1" x14ac:dyDescent="0.25">
      <c r="D89" s="78"/>
      <c r="E89" s="22" t="s">
        <v>113</v>
      </c>
      <c r="F89" s="22">
        <f t="shared" ref="F89:F98" si="46">F87</f>
        <v>10</v>
      </c>
      <c r="G89" s="65">
        <v>5.3100000000000001E-2</v>
      </c>
      <c r="H89" s="66">
        <v>4.19E-2</v>
      </c>
      <c r="I89" s="56"/>
      <c r="J89" s="57">
        <f t="shared" si="1"/>
        <v>1.5283333333333343E-2</v>
      </c>
      <c r="K89" s="58">
        <f t="shared" si="2"/>
        <v>4.9666666666666609E-3</v>
      </c>
      <c r="L89" s="56"/>
      <c r="M89" s="62">
        <f t="shared" si="3"/>
        <v>1.4041666666666678E-2</v>
      </c>
      <c r="N89" s="56">
        <f t="shared" si="4"/>
        <v>0.99648091666666738</v>
      </c>
      <c r="O89" s="58">
        <f t="shared" si="5"/>
        <v>1.9929618333333348</v>
      </c>
      <c r="P89" s="56">
        <f t="shared" si="6"/>
        <v>0.19929618333333349</v>
      </c>
      <c r="Q89" s="57"/>
      <c r="R89" s="56"/>
      <c r="S89" s="58"/>
      <c r="T89" s="56"/>
    </row>
    <row r="90" spans="4:20" ht="14.45" customHeight="1" x14ac:dyDescent="0.25">
      <c r="D90" s="76">
        <f>A48</f>
        <v>22</v>
      </c>
      <c r="E90" s="12" t="s">
        <v>114</v>
      </c>
      <c r="F90" s="12">
        <f>B48</f>
        <v>10</v>
      </c>
      <c r="G90" s="54">
        <v>4.82E-2</v>
      </c>
      <c r="H90" s="55">
        <v>4.07E-2</v>
      </c>
      <c r="I90" s="56"/>
      <c r="J90" s="57">
        <f t="shared" si="1"/>
        <v>1.0383333333333342E-2</v>
      </c>
      <c r="K90" s="58">
        <f t="shared" si="2"/>
        <v>3.7666666666666612E-3</v>
      </c>
      <c r="L90" s="56"/>
      <c r="M90" s="62">
        <f t="shared" si="3"/>
        <v>9.4416666666666763E-3</v>
      </c>
      <c r="N90" s="56">
        <f t="shared" si="4"/>
        <v>0.67003731666666733</v>
      </c>
      <c r="O90" s="58">
        <f t="shared" si="5"/>
        <v>1.3400746333333347</v>
      </c>
      <c r="P90" s="56">
        <f t="shared" si="6"/>
        <v>0.13400746333333347</v>
      </c>
      <c r="Q90" s="57">
        <f>AVERAGE(P90:P92)</f>
        <v>0.13554506000000013</v>
      </c>
      <c r="R90" s="56">
        <f>STDEV(P90:P92)</f>
        <v>3.2969289338766689E-3</v>
      </c>
      <c r="S90" s="58">
        <f>R90/Q90*100</f>
        <v>2.4323490165386077</v>
      </c>
      <c r="T90" s="56"/>
    </row>
    <row r="91" spans="4:20" ht="14.45" customHeight="1" x14ac:dyDescent="0.25">
      <c r="D91" s="77"/>
      <c r="E91" s="17" t="s">
        <v>115</v>
      </c>
      <c r="F91" s="17">
        <f t="shared" si="45"/>
        <v>10</v>
      </c>
      <c r="G91" s="57">
        <v>4.8599999999999997E-2</v>
      </c>
      <c r="H91" s="58">
        <v>4.0800000000000003E-2</v>
      </c>
      <c r="I91" s="56"/>
      <c r="J91" s="57">
        <f t="shared" ref="J91:J98" si="47">G91-$J$14</f>
        <v>1.0783333333333339E-2</v>
      </c>
      <c r="K91" s="58">
        <f t="shared" ref="K91:K98" si="48">H91-$K$14</f>
        <v>3.8666666666666641E-3</v>
      </c>
      <c r="L91" s="56"/>
      <c r="M91" s="62">
        <f t="shared" si="3"/>
        <v>9.8166666666666732E-3</v>
      </c>
      <c r="N91" s="56">
        <f t="shared" si="4"/>
        <v>0.69664956666666711</v>
      </c>
      <c r="O91" s="58">
        <f t="shared" si="5"/>
        <v>1.3932991333333342</v>
      </c>
      <c r="P91" s="56">
        <f t="shared" si="6"/>
        <v>0.13932991333333342</v>
      </c>
      <c r="Q91" s="57"/>
      <c r="R91" s="56"/>
      <c r="S91" s="58"/>
      <c r="T91" s="56"/>
    </row>
    <row r="92" spans="4:20" ht="14.45" customHeight="1" x14ac:dyDescent="0.25">
      <c r="D92" s="78"/>
      <c r="E92" s="22" t="s">
        <v>116</v>
      </c>
      <c r="F92" s="22">
        <f t="shared" si="46"/>
        <v>10</v>
      </c>
      <c r="G92" s="65">
        <v>4.82E-2</v>
      </c>
      <c r="H92" s="66">
        <v>4.0899999999999999E-2</v>
      </c>
      <c r="I92" s="56"/>
      <c r="J92" s="57">
        <f t="shared" si="47"/>
        <v>1.0383333333333342E-2</v>
      </c>
      <c r="K92" s="58">
        <f t="shared" si="48"/>
        <v>3.96666666666666E-3</v>
      </c>
      <c r="L92" s="56"/>
      <c r="M92" s="62">
        <f t="shared" ref="M92:M98" si="49">J92-(0.25*K92)</f>
        <v>9.3916666666666766E-3</v>
      </c>
      <c r="N92" s="56">
        <f t="shared" ref="N92:N98" si="50">M92*70.966</f>
        <v>0.66648901666666727</v>
      </c>
      <c r="O92" s="58">
        <f t="shared" ref="O92:O98" si="51">N92*2</f>
        <v>1.3329780333333345</v>
      </c>
      <c r="P92" s="56">
        <f t="shared" ref="P92:P98" si="52">O92/F92</f>
        <v>0.13329780333333346</v>
      </c>
      <c r="Q92" s="57"/>
      <c r="R92" s="56"/>
      <c r="S92" s="58"/>
      <c r="T92" s="56"/>
    </row>
    <row r="93" spans="4:20" ht="14.45" customHeight="1" x14ac:dyDescent="0.25">
      <c r="D93" s="76">
        <f>A49</f>
        <v>23</v>
      </c>
      <c r="E93" s="12" t="s">
        <v>117</v>
      </c>
      <c r="F93" s="12">
        <f>B49</f>
        <v>10</v>
      </c>
      <c r="G93" s="54">
        <v>4.2299999999999997E-2</v>
      </c>
      <c r="H93" s="55">
        <v>3.85E-2</v>
      </c>
      <c r="I93" s="56"/>
      <c r="J93" s="57">
        <f t="shared" si="47"/>
        <v>4.4833333333333392E-3</v>
      </c>
      <c r="K93" s="58">
        <f t="shared" si="48"/>
        <v>1.5666666666666607E-3</v>
      </c>
      <c r="L93" s="56"/>
      <c r="M93" s="62">
        <f t="shared" si="49"/>
        <v>4.091666666666674E-3</v>
      </c>
      <c r="N93" s="56">
        <f t="shared" si="50"/>
        <v>0.29036921666666715</v>
      </c>
      <c r="O93" s="58">
        <f t="shared" si="51"/>
        <v>0.5807384333333343</v>
      </c>
      <c r="P93" s="56">
        <f t="shared" si="52"/>
        <v>5.807384333333343E-2</v>
      </c>
      <c r="Q93" s="57">
        <f>AVERAGE(P93:P95)</f>
        <v>7.061117000000014E-2</v>
      </c>
      <c r="R93" s="56">
        <f>STDEV(P93:P95)</f>
        <v>1.1537887317743021E-2</v>
      </c>
      <c r="S93" s="58">
        <f>R93/Q93*100</f>
        <v>16.340031354448591</v>
      </c>
      <c r="T93" s="56"/>
    </row>
    <row r="94" spans="4:20" ht="14.45" customHeight="1" x14ac:dyDescent="0.25">
      <c r="D94" s="77"/>
      <c r="E94" s="17" t="s">
        <v>118</v>
      </c>
      <c r="F94" s="17">
        <f t="shared" si="45"/>
        <v>10</v>
      </c>
      <c r="G94" s="57">
        <v>4.4200000000000003E-2</v>
      </c>
      <c r="H94" s="58">
        <v>4.19E-2</v>
      </c>
      <c r="I94" s="56"/>
      <c r="J94" s="57">
        <f t="shared" si="47"/>
        <v>6.383333333333345E-3</v>
      </c>
      <c r="K94" s="58">
        <f t="shared" si="48"/>
        <v>4.9666666666666609E-3</v>
      </c>
      <c r="L94" s="56"/>
      <c r="M94" s="62">
        <f t="shared" si="49"/>
        <v>5.1416666666666798E-3</v>
      </c>
      <c r="N94" s="56">
        <f t="shared" si="50"/>
        <v>0.36488351666666757</v>
      </c>
      <c r="O94" s="58">
        <f t="shared" si="51"/>
        <v>0.72976703333333515</v>
      </c>
      <c r="P94" s="56">
        <f t="shared" si="52"/>
        <v>7.2976703333333517E-2</v>
      </c>
      <c r="Q94" s="57"/>
      <c r="R94" s="56"/>
      <c r="S94" s="58"/>
      <c r="T94" s="56"/>
    </row>
    <row r="95" spans="4:20" ht="14.45" customHeight="1" x14ac:dyDescent="0.25">
      <c r="D95" s="78"/>
      <c r="E95" s="22" t="s">
        <v>119</v>
      </c>
      <c r="F95" s="22">
        <f t="shared" si="46"/>
        <v>10</v>
      </c>
      <c r="G95" s="65">
        <v>4.4400000000000002E-2</v>
      </c>
      <c r="H95" s="66">
        <v>4.0500000000000001E-2</v>
      </c>
      <c r="I95" s="56"/>
      <c r="J95" s="57">
        <f t="shared" si="47"/>
        <v>6.5833333333333438E-3</v>
      </c>
      <c r="K95" s="58">
        <f t="shared" si="48"/>
        <v>3.5666666666666624E-3</v>
      </c>
      <c r="L95" s="56"/>
      <c r="M95" s="62">
        <f t="shared" si="49"/>
        <v>5.6916666666666782E-3</v>
      </c>
      <c r="N95" s="56">
        <f t="shared" si="50"/>
        <v>0.40391481666666745</v>
      </c>
      <c r="O95" s="58">
        <f t="shared" si="51"/>
        <v>0.80782963333333491</v>
      </c>
      <c r="P95" s="56">
        <f t="shared" si="52"/>
        <v>8.0782963333333485E-2</v>
      </c>
      <c r="Q95" s="57"/>
      <c r="R95" s="56"/>
      <c r="S95" s="58"/>
      <c r="T95" s="56"/>
    </row>
    <row r="96" spans="4:20" ht="14.45" customHeight="1" x14ac:dyDescent="0.25">
      <c r="D96" s="76">
        <f>A50</f>
        <v>24</v>
      </c>
      <c r="E96" s="12" t="s">
        <v>120</v>
      </c>
      <c r="F96" s="12">
        <f>B50</f>
        <v>10</v>
      </c>
      <c r="G96" s="54">
        <v>4.0300000000000002E-2</v>
      </c>
      <c r="H96" s="55">
        <v>3.7900000000000003E-2</v>
      </c>
      <c r="I96" s="56"/>
      <c r="J96" s="57">
        <f t="shared" si="47"/>
        <v>2.4833333333333443E-3</v>
      </c>
      <c r="K96" s="58">
        <f t="shared" si="48"/>
        <v>9.6666666666666429E-4</v>
      </c>
      <c r="L96" s="56"/>
      <c r="M96" s="62">
        <f t="shared" si="49"/>
        <v>2.2416666666666783E-3</v>
      </c>
      <c r="N96" s="56">
        <f t="shared" si="50"/>
        <v>0.15908211666666747</v>
      </c>
      <c r="O96" s="58">
        <f t="shared" si="51"/>
        <v>0.31816423333333493</v>
      </c>
      <c r="P96" s="56">
        <f t="shared" si="52"/>
        <v>3.1816423333333496E-2</v>
      </c>
      <c r="Q96" s="57">
        <f>AVERAGE(P96:P98)</f>
        <v>3.7730256666666781E-2</v>
      </c>
      <c r="R96" s="56">
        <f>STDEV(P96:P98)</f>
        <v>7.3863754659056723E-3</v>
      </c>
      <c r="S96" s="58">
        <f>R96/Q96*100</f>
        <v>19.576796233223742</v>
      </c>
      <c r="T96" s="56"/>
    </row>
    <row r="97" spans="4:20" ht="14.45" customHeight="1" x14ac:dyDescent="0.25">
      <c r="D97" s="77"/>
      <c r="E97" s="17" t="s">
        <v>121</v>
      </c>
      <c r="F97" s="17">
        <f t="shared" si="45"/>
        <v>10</v>
      </c>
      <c r="G97" s="57">
        <v>4.0599999999999997E-2</v>
      </c>
      <c r="H97" s="58">
        <v>3.8100000000000002E-2</v>
      </c>
      <c r="I97" s="56"/>
      <c r="J97" s="57">
        <f t="shared" si="47"/>
        <v>2.783333333333339E-3</v>
      </c>
      <c r="K97" s="58">
        <f t="shared" si="48"/>
        <v>1.1666666666666631E-3</v>
      </c>
      <c r="L97" s="56"/>
      <c r="M97" s="62">
        <f t="shared" si="49"/>
        <v>2.4916666666666733E-3</v>
      </c>
      <c r="N97" s="56">
        <f t="shared" si="50"/>
        <v>0.17682361666666713</v>
      </c>
      <c r="O97" s="58">
        <f t="shared" si="51"/>
        <v>0.35364723333333425</v>
      </c>
      <c r="P97" s="56">
        <f t="shared" si="52"/>
        <v>3.5364723333333424E-2</v>
      </c>
      <c r="Q97" s="57"/>
      <c r="R97" s="56"/>
      <c r="S97" s="58"/>
      <c r="T97" s="56"/>
    </row>
    <row r="98" spans="4:20" ht="14.45" customHeight="1" x14ac:dyDescent="0.25">
      <c r="D98" s="78"/>
      <c r="E98" s="22" t="s">
        <v>122</v>
      </c>
      <c r="F98" s="22">
        <f t="shared" si="46"/>
        <v>10</v>
      </c>
      <c r="G98" s="65">
        <v>4.1599999999999998E-2</v>
      </c>
      <c r="H98" s="66">
        <v>3.9100000000000003E-2</v>
      </c>
      <c r="I98" s="56"/>
      <c r="J98" s="65">
        <f t="shared" si="47"/>
        <v>3.7833333333333399E-3</v>
      </c>
      <c r="K98" s="58">
        <f t="shared" si="48"/>
        <v>2.166666666666664E-3</v>
      </c>
      <c r="L98" s="56"/>
      <c r="M98" s="69">
        <f t="shared" si="49"/>
        <v>3.2416666666666739E-3</v>
      </c>
      <c r="N98" s="56">
        <f t="shared" si="50"/>
        <v>0.23004811666666716</v>
      </c>
      <c r="O98" s="58">
        <f t="shared" si="51"/>
        <v>0.46009623333333433</v>
      </c>
      <c r="P98" s="70">
        <f t="shared" si="52"/>
        <v>4.600962333333343E-2</v>
      </c>
      <c r="Q98" s="65"/>
      <c r="R98" s="70"/>
      <c r="S98" s="66"/>
      <c r="T98" s="56"/>
    </row>
    <row r="99" spans="4:20" x14ac:dyDescent="0.25">
      <c r="N99" s="35"/>
    </row>
  </sheetData>
  <mergeCells count="31">
    <mergeCell ref="D39:D41"/>
    <mergeCell ref="E1:G2"/>
    <mergeCell ref="F4:G4"/>
    <mergeCell ref="J4:K4"/>
    <mergeCell ref="P4:Q4"/>
    <mergeCell ref="P5:Q5"/>
    <mergeCell ref="I18:K18"/>
    <mergeCell ref="A25:B25"/>
    <mergeCell ref="D27:D29"/>
    <mergeCell ref="D30:D32"/>
    <mergeCell ref="D33:D35"/>
    <mergeCell ref="D36:D38"/>
    <mergeCell ref="D75:D77"/>
    <mergeCell ref="D42:D44"/>
    <mergeCell ref="D45:D47"/>
    <mergeCell ref="D48:D50"/>
    <mergeCell ref="D51:D53"/>
    <mergeCell ref="D54:D56"/>
    <mergeCell ref="D57:D59"/>
    <mergeCell ref="D60:D62"/>
    <mergeCell ref="D63:D65"/>
    <mergeCell ref="D66:D68"/>
    <mergeCell ref="D69:D71"/>
    <mergeCell ref="D72:D74"/>
    <mergeCell ref="D96:D98"/>
    <mergeCell ref="D78:D80"/>
    <mergeCell ref="D81:D83"/>
    <mergeCell ref="D84:D86"/>
    <mergeCell ref="D87:D89"/>
    <mergeCell ref="D90:D92"/>
    <mergeCell ref="D93:D95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472B3-4245-4441-B9E4-D4D4F9F956E6}">
  <dimension ref="A1:X99"/>
  <sheetViews>
    <sheetView zoomScale="90" zoomScaleNormal="90" workbookViewId="0">
      <selection activeCell="T27" sqref="T27:U50"/>
    </sheetView>
  </sheetViews>
  <sheetFormatPr defaultColWidth="8.85546875" defaultRowHeight="15" x14ac:dyDescent="0.25"/>
  <cols>
    <col min="1" max="1" width="10.5703125" bestFit="1" customWidth="1"/>
    <col min="2" max="2" width="9.140625" bestFit="1" customWidth="1"/>
    <col min="4" max="4" width="9.42578125" customWidth="1"/>
    <col min="5" max="5" width="10" customWidth="1"/>
    <col min="6" max="6" width="11.7109375" customWidth="1"/>
    <col min="7" max="7" width="12.5703125" customWidth="1"/>
    <col min="8" max="8" width="12.7109375" customWidth="1"/>
    <col min="10" max="11" width="9" customWidth="1"/>
    <col min="12" max="12" width="11.7109375" customWidth="1"/>
    <col min="13" max="13" width="9" customWidth="1"/>
    <col min="14" max="14" width="11.7109375" bestFit="1" customWidth="1"/>
    <col min="15" max="15" width="9" customWidth="1"/>
    <col min="16" max="16" width="9" bestFit="1" customWidth="1"/>
    <col min="17" max="17" width="10.85546875" customWidth="1"/>
    <col min="18" max="18" width="10.7109375" customWidth="1"/>
    <col min="19" max="19" width="9" bestFit="1" customWidth="1"/>
    <col min="20" max="20" width="9.5703125" bestFit="1" customWidth="1"/>
    <col min="21" max="21" width="9.5703125" customWidth="1"/>
  </cols>
  <sheetData>
    <row r="1" spans="1:17" x14ac:dyDescent="0.25">
      <c r="E1" s="79" t="s">
        <v>0</v>
      </c>
      <c r="F1" s="79"/>
      <c r="G1" s="79"/>
    </row>
    <row r="2" spans="1:17" x14ac:dyDescent="0.25">
      <c r="E2" s="79"/>
      <c r="F2" s="79"/>
      <c r="G2" s="79"/>
    </row>
    <row r="4" spans="1:17" ht="28.5" customHeight="1" x14ac:dyDescent="0.25">
      <c r="B4" t="s">
        <v>1</v>
      </c>
      <c r="E4" s="1"/>
      <c r="F4" s="80" t="s">
        <v>1</v>
      </c>
      <c r="G4" s="81"/>
      <c r="I4" s="1"/>
      <c r="J4" s="80" t="s">
        <v>1</v>
      </c>
      <c r="K4" s="81"/>
      <c r="L4" s="2"/>
      <c r="M4" s="71" t="s">
        <v>2</v>
      </c>
      <c r="N4" s="72"/>
      <c r="O4" s="2"/>
      <c r="P4" s="82" t="s">
        <v>3</v>
      </c>
      <c r="Q4" s="83"/>
    </row>
    <row r="5" spans="1:17" ht="17.25" customHeight="1" x14ac:dyDescent="0.25">
      <c r="A5" t="s">
        <v>4</v>
      </c>
      <c r="B5" t="s">
        <v>5</v>
      </c>
      <c r="C5" t="s">
        <v>6</v>
      </c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2" t="s">
        <v>1</v>
      </c>
      <c r="Q5" s="83"/>
    </row>
    <row r="6" spans="1:17" x14ac:dyDescent="0.25">
      <c r="A6" t="s">
        <v>125</v>
      </c>
      <c r="B6">
        <v>4.1700000000000001E-2</v>
      </c>
      <c r="C6">
        <v>4.0500000000000001E-2</v>
      </c>
      <c r="E6" s="11" t="s">
        <v>8</v>
      </c>
      <c r="F6">
        <v>3.44E-2</v>
      </c>
      <c r="G6">
        <v>3.39E-2</v>
      </c>
      <c r="I6" s="13">
        <v>12.5</v>
      </c>
      <c r="J6" s="14">
        <f>AVERAGE(F9:F11, B9)</f>
        <v>0.28389999999999999</v>
      </c>
      <c r="K6" s="15">
        <f>AVERAGE(G9:G11, C9)</f>
        <v>3.6375000000000005E-2</v>
      </c>
      <c r="M6" s="14">
        <f>J6-$J$14</f>
        <v>0.24628333333333333</v>
      </c>
      <c r="N6" s="15">
        <f>K6-$K$14</f>
        <v>-4.4166666666665966E-4</v>
      </c>
      <c r="P6" s="1" t="s">
        <v>5</v>
      </c>
      <c r="Q6" s="7" t="s">
        <v>7</v>
      </c>
    </row>
    <row r="7" spans="1:17" x14ac:dyDescent="0.25">
      <c r="A7" t="s">
        <v>126</v>
      </c>
      <c r="B7">
        <v>3.6999999999999998E-2</v>
      </c>
      <c r="C7">
        <v>3.6600000000000001E-2</v>
      </c>
      <c r="E7" s="16" t="s">
        <v>9</v>
      </c>
      <c r="F7">
        <v>3.5700000000000003E-2</v>
      </c>
      <c r="G7">
        <v>3.49E-2</v>
      </c>
      <c r="I7" s="18">
        <v>25</v>
      </c>
      <c r="J7" s="19">
        <f>AVERAGE(F12:F14)</f>
        <v>0.47239999999999999</v>
      </c>
      <c r="K7" s="20">
        <f>AVERAGE(G12:G14)</f>
        <v>3.5533333333333333E-2</v>
      </c>
      <c r="M7" s="19">
        <f>J7-$J$14</f>
        <v>0.4347833333333333</v>
      </c>
      <c r="N7" s="20">
        <f>K7-$K$14</f>
        <v>-1.2833333333333308E-3</v>
      </c>
      <c r="P7" s="17">
        <f>M6</f>
        <v>0.24628333333333333</v>
      </c>
      <c r="Q7" s="12">
        <v>12.5</v>
      </c>
    </row>
    <row r="8" spans="1:17" x14ac:dyDescent="0.25">
      <c r="A8" t="s">
        <v>127</v>
      </c>
      <c r="B8">
        <v>4.0800000000000003E-2</v>
      </c>
      <c r="C8">
        <v>3.9899999999999998E-2</v>
      </c>
      <c r="E8" s="21" t="s">
        <v>10</v>
      </c>
      <c r="F8">
        <v>3.61E-2</v>
      </c>
      <c r="G8">
        <v>3.5099999999999999E-2</v>
      </c>
      <c r="I8" s="18">
        <v>50</v>
      </c>
      <c r="J8" s="19">
        <f>AVERAGE(F15:F17, B10)</f>
        <v>0.94752499999999995</v>
      </c>
      <c r="K8" s="20">
        <f>AVERAGE(G15:G17, C10)</f>
        <v>3.5949999999999996E-2</v>
      </c>
      <c r="M8" s="19">
        <f>J8-$J$14</f>
        <v>0.90990833333333332</v>
      </c>
      <c r="N8" s="20">
        <f>K8-$K$14</f>
        <v>-8.6666666666666836E-4</v>
      </c>
      <c r="P8" s="17">
        <f>M7</f>
        <v>0.4347833333333333</v>
      </c>
      <c r="Q8" s="17">
        <v>25</v>
      </c>
    </row>
    <row r="9" spans="1:17" x14ac:dyDescent="0.25">
      <c r="A9" t="s">
        <v>128</v>
      </c>
      <c r="B9">
        <v>0.31969999999999998</v>
      </c>
      <c r="C9">
        <v>4.0399999999999998E-2</v>
      </c>
      <c r="E9" s="11" t="s">
        <v>11</v>
      </c>
      <c r="F9">
        <v>0.2394</v>
      </c>
      <c r="G9">
        <v>3.5000000000000003E-2</v>
      </c>
      <c r="I9" s="18">
        <v>100</v>
      </c>
      <c r="J9" s="19">
        <f>AVERAGE(F18:F20, B11)</f>
        <v>1.88625</v>
      </c>
      <c r="K9" s="20">
        <f>AVERAGE(G18:G20, C11)</f>
        <v>3.4974999999999999E-2</v>
      </c>
      <c r="M9" s="19">
        <f>J9-$J$14</f>
        <v>1.8486333333333334</v>
      </c>
      <c r="N9" s="20">
        <f>K9-$K$14</f>
        <v>-1.8416666666666651E-3</v>
      </c>
      <c r="P9" s="17">
        <f>M8</f>
        <v>0.90990833333333332</v>
      </c>
      <c r="Q9" s="17">
        <v>50</v>
      </c>
    </row>
    <row r="10" spans="1:17" x14ac:dyDescent="0.25">
      <c r="A10" t="s">
        <v>129</v>
      </c>
      <c r="B10">
        <v>0.98519999999999996</v>
      </c>
      <c r="C10">
        <v>3.56E-2</v>
      </c>
      <c r="E10" s="16" t="s">
        <v>12</v>
      </c>
      <c r="F10">
        <v>0.28699999999999998</v>
      </c>
      <c r="G10">
        <v>3.4200000000000001E-2</v>
      </c>
      <c r="I10" s="23">
        <v>250</v>
      </c>
      <c r="J10" s="24">
        <f>AVERAGE(F21:F23)</f>
        <v>3.9302999999999999</v>
      </c>
      <c r="K10" s="25">
        <f>AVERAGE(G21:G23)</f>
        <v>3.4866666666666664E-2</v>
      </c>
      <c r="M10" s="19">
        <f>J10-$J$14</f>
        <v>3.8926833333333333</v>
      </c>
      <c r="N10" s="20">
        <f>K10-$K$14</f>
        <v>-1.9500000000000003E-3</v>
      </c>
      <c r="P10" s="17">
        <f>M9</f>
        <v>1.8486333333333334</v>
      </c>
      <c r="Q10" s="17">
        <v>100</v>
      </c>
    </row>
    <row r="11" spans="1:17" x14ac:dyDescent="0.25">
      <c r="A11" t="s">
        <v>130</v>
      </c>
      <c r="B11">
        <v>1.7561</v>
      </c>
      <c r="C11">
        <v>3.5999999999999997E-2</v>
      </c>
      <c r="E11" s="21" t="s">
        <v>13</v>
      </c>
      <c r="F11">
        <v>0.28949999999999998</v>
      </c>
      <c r="G11">
        <v>3.5900000000000001E-2</v>
      </c>
      <c r="I11" s="26" t="s">
        <v>14</v>
      </c>
      <c r="J11" s="13">
        <f t="shared" ref="J11:K13" si="0">F6</f>
        <v>3.44E-2</v>
      </c>
      <c r="K11" s="27">
        <f t="shared" si="0"/>
        <v>3.39E-2</v>
      </c>
      <c r="M11" s="23"/>
      <c r="N11" s="28"/>
      <c r="P11" s="22">
        <f>M10</f>
        <v>3.8926833333333333</v>
      </c>
      <c r="Q11" s="22">
        <v>250</v>
      </c>
    </row>
    <row r="12" spans="1:17" x14ac:dyDescent="0.25">
      <c r="E12" s="11" t="s">
        <v>15</v>
      </c>
      <c r="F12">
        <v>0.43120000000000003</v>
      </c>
      <c r="G12">
        <v>3.5200000000000002E-2</v>
      </c>
      <c r="I12" s="29" t="s">
        <v>14</v>
      </c>
      <c r="J12" s="18">
        <f t="shared" si="0"/>
        <v>3.5700000000000003E-2</v>
      </c>
      <c r="K12" s="30">
        <f t="shared" si="0"/>
        <v>3.49E-2</v>
      </c>
    </row>
    <row r="13" spans="1:17" x14ac:dyDescent="0.25">
      <c r="E13" s="16" t="s">
        <v>16</v>
      </c>
      <c r="F13">
        <v>0.49909999999999999</v>
      </c>
      <c r="G13">
        <v>3.5700000000000003E-2</v>
      </c>
      <c r="I13" s="31" t="s">
        <v>14</v>
      </c>
      <c r="J13" s="23">
        <f t="shared" si="0"/>
        <v>3.61E-2</v>
      </c>
      <c r="K13" s="28">
        <f t="shared" si="0"/>
        <v>3.5099999999999999E-2</v>
      </c>
    </row>
    <row r="14" spans="1:17" x14ac:dyDescent="0.25">
      <c r="E14" s="21" t="s">
        <v>17</v>
      </c>
      <c r="F14">
        <v>0.4869</v>
      </c>
      <c r="G14">
        <v>3.5700000000000003E-2</v>
      </c>
      <c r="I14" s="32" t="s">
        <v>18</v>
      </c>
      <c r="J14" s="33">
        <f>AVERAGE(J11:J13, B6:B8)</f>
        <v>3.7616666666666666E-2</v>
      </c>
      <c r="K14" s="34">
        <f>AVERAGE(K11:K13, C6:C8)</f>
        <v>3.6816666666666664E-2</v>
      </c>
    </row>
    <row r="15" spans="1:17" x14ac:dyDescent="0.25">
      <c r="E15" s="11" t="s">
        <v>19</v>
      </c>
      <c r="F15">
        <v>0.88319999999999999</v>
      </c>
      <c r="G15">
        <v>3.6799999999999999E-2</v>
      </c>
      <c r="M15" s="13" t="s">
        <v>20</v>
      </c>
      <c r="N15" s="35"/>
      <c r="O15" s="27"/>
    </row>
    <row r="16" spans="1:17" x14ac:dyDescent="0.25">
      <c r="E16" s="16" t="s">
        <v>21</v>
      </c>
      <c r="F16">
        <v>0.97709999999999997</v>
      </c>
      <c r="G16">
        <v>3.5799999999999998E-2</v>
      </c>
      <c r="M16" s="18" t="s">
        <v>22</v>
      </c>
      <c r="O16" s="30"/>
    </row>
    <row r="17" spans="1:24" x14ac:dyDescent="0.25">
      <c r="E17" s="21" t="s">
        <v>23</v>
      </c>
      <c r="F17">
        <v>0.9446</v>
      </c>
      <c r="G17">
        <v>3.56E-2</v>
      </c>
      <c r="M17" s="23" t="s">
        <v>24</v>
      </c>
      <c r="N17" s="36"/>
      <c r="O17" s="28"/>
    </row>
    <row r="18" spans="1:24" x14ac:dyDescent="0.25">
      <c r="E18" s="11" t="s">
        <v>25</v>
      </c>
      <c r="F18">
        <v>1.8395999999999999</v>
      </c>
      <c r="G18">
        <v>3.4099999999999998E-2</v>
      </c>
      <c r="I18" s="82" t="s">
        <v>26</v>
      </c>
      <c r="J18" s="84"/>
      <c r="K18" s="83"/>
      <c r="W18" s="37"/>
      <c r="X18" s="37"/>
    </row>
    <row r="19" spans="1:24" ht="18" x14ac:dyDescent="0.25">
      <c r="E19" s="16" t="s">
        <v>27</v>
      </c>
      <c r="F19">
        <v>1.9682999999999999</v>
      </c>
      <c r="G19">
        <v>3.4299999999999997E-2</v>
      </c>
      <c r="I19" s="38" t="s">
        <v>28</v>
      </c>
      <c r="J19" s="36"/>
      <c r="K19" s="28"/>
    </row>
    <row r="20" spans="1:24" x14ac:dyDescent="0.25">
      <c r="E20" s="21" t="s">
        <v>29</v>
      </c>
      <c r="F20">
        <v>1.9810000000000001</v>
      </c>
      <c r="G20">
        <v>3.5499999999999997E-2</v>
      </c>
      <c r="U20" s="37"/>
      <c r="V20" s="37"/>
    </row>
    <row r="21" spans="1:24" x14ac:dyDescent="0.25">
      <c r="E21" s="11" t="s">
        <v>30</v>
      </c>
      <c r="F21">
        <v>3.9283999999999999</v>
      </c>
      <c r="G21">
        <v>3.4599999999999999E-2</v>
      </c>
      <c r="U21" s="37"/>
      <c r="V21" s="37"/>
    </row>
    <row r="22" spans="1:24" x14ac:dyDescent="0.25">
      <c r="E22" s="16" t="s">
        <v>31</v>
      </c>
      <c r="F22" s="39" t="s">
        <v>123</v>
      </c>
      <c r="G22">
        <v>3.4599999999999999E-2</v>
      </c>
      <c r="U22" s="37"/>
      <c r="V22" s="37"/>
    </row>
    <row r="23" spans="1:24" x14ac:dyDescent="0.25">
      <c r="E23" s="21" t="s">
        <v>32</v>
      </c>
      <c r="F23">
        <v>3.9321999999999999</v>
      </c>
      <c r="G23">
        <v>3.5400000000000001E-2</v>
      </c>
      <c r="U23" s="37"/>
      <c r="V23" s="37"/>
    </row>
    <row r="24" spans="1:24" x14ac:dyDescent="0.25">
      <c r="E24" s="39"/>
      <c r="V24" s="37"/>
      <c r="W24" s="37"/>
    </row>
    <row r="25" spans="1:24" ht="31.5" customHeight="1" x14ac:dyDescent="0.25">
      <c r="A25" s="85" t="s">
        <v>33</v>
      </c>
      <c r="B25" s="86"/>
      <c r="J25" s="36"/>
      <c r="K25" s="36"/>
      <c r="M25" s="73"/>
      <c r="N25" s="41" t="s">
        <v>34</v>
      </c>
      <c r="O25" s="42" t="s">
        <v>124</v>
      </c>
      <c r="P25" s="75" t="s">
        <v>35</v>
      </c>
      <c r="Q25" s="71" t="s">
        <v>36</v>
      </c>
      <c r="R25" s="75" t="s">
        <v>37</v>
      </c>
      <c r="S25" s="74" t="s">
        <v>37</v>
      </c>
      <c r="T25" s="72" t="s">
        <v>38</v>
      </c>
      <c r="U25" s="6" t="s">
        <v>36</v>
      </c>
      <c r="V25" s="37"/>
    </row>
    <row r="26" spans="1:24" ht="30.75" customHeight="1" x14ac:dyDescent="0.25">
      <c r="A26" s="45" t="s">
        <v>39</v>
      </c>
      <c r="B26" s="1" t="s">
        <v>40</v>
      </c>
      <c r="D26" s="46" t="s">
        <v>38</v>
      </c>
      <c r="E26" s="46" t="s">
        <v>41</v>
      </c>
      <c r="F26" s="47" t="s">
        <v>42</v>
      </c>
      <c r="G26" s="47" t="s">
        <v>5</v>
      </c>
      <c r="H26" s="47" t="s">
        <v>6</v>
      </c>
      <c r="I26" s="48"/>
      <c r="J26" s="49" t="s">
        <v>43</v>
      </c>
      <c r="K26" s="50" t="s">
        <v>44</v>
      </c>
      <c r="M26" s="47" t="s">
        <v>45</v>
      </c>
      <c r="N26" s="51" t="s">
        <v>46</v>
      </c>
      <c r="O26" s="52" t="s">
        <v>47</v>
      </c>
      <c r="P26" s="53" t="s">
        <v>48</v>
      </c>
      <c r="Q26" s="71" t="s">
        <v>49</v>
      </c>
      <c r="R26" s="41" t="s">
        <v>49</v>
      </c>
      <c r="S26" s="74" t="s">
        <v>50</v>
      </c>
      <c r="T26" s="74"/>
      <c r="U26" s="6" t="s">
        <v>49</v>
      </c>
      <c r="V26" s="37"/>
    </row>
    <row r="27" spans="1:24" ht="15" customHeight="1" x14ac:dyDescent="0.25">
      <c r="A27" s="18">
        <v>1</v>
      </c>
      <c r="B27" s="30">
        <v>10</v>
      </c>
      <c r="D27" s="76">
        <f>A27</f>
        <v>1</v>
      </c>
      <c r="E27" s="12" t="s">
        <v>51</v>
      </c>
      <c r="F27" s="12">
        <f>B27</f>
        <v>10</v>
      </c>
      <c r="G27" s="54">
        <v>4.36E-2</v>
      </c>
      <c r="H27" s="55">
        <v>3.6999999999999998E-2</v>
      </c>
      <c r="I27" s="56"/>
      <c r="J27" s="57">
        <f t="shared" ref="J27:J90" si="1">G27-$J$14</f>
        <v>5.9833333333333336E-3</v>
      </c>
      <c r="K27" s="58">
        <f t="shared" ref="K27:K90" si="2">H27-$K$14</f>
        <v>1.8333333333333396E-4</v>
      </c>
      <c r="L27" s="56"/>
      <c r="M27" s="59">
        <f>J27-(0.25*K27)</f>
        <v>5.9375000000000001E-3</v>
      </c>
      <c r="N27" s="56">
        <f>M27*70.966</f>
        <v>0.42136062499999999</v>
      </c>
      <c r="O27" s="58">
        <f>N27*2</f>
        <v>0.84272124999999998</v>
      </c>
      <c r="P27" s="56">
        <f>O27/F27</f>
        <v>8.4272125000000003E-2</v>
      </c>
      <c r="Q27" s="57">
        <f>AVERAGE(P27:P29)</f>
        <v>9.6927728333333338E-2</v>
      </c>
      <c r="R27" s="56">
        <f>STDEV(P27:P29)</f>
        <v>1.2262615415001519E-2</v>
      </c>
      <c r="S27" s="58">
        <f>R27/Q27*100</f>
        <v>12.651297648110072</v>
      </c>
      <c r="T27" s="60">
        <f>D27</f>
        <v>1</v>
      </c>
      <c r="U27" s="61">
        <f>Q27</f>
        <v>9.6927728333333338E-2</v>
      </c>
      <c r="V27" s="37"/>
    </row>
    <row r="28" spans="1:24" ht="14.45" customHeight="1" x14ac:dyDescent="0.25">
      <c r="A28" s="18">
        <v>2</v>
      </c>
      <c r="B28" s="30">
        <v>10</v>
      </c>
      <c r="D28" s="77"/>
      <c r="E28" s="17" t="s">
        <v>52</v>
      </c>
      <c r="F28" s="17">
        <f>F27</f>
        <v>10</v>
      </c>
      <c r="G28" s="57">
        <v>4.4499999999999998E-2</v>
      </c>
      <c r="H28" s="58">
        <v>3.6799999999999999E-2</v>
      </c>
      <c r="I28" s="56"/>
      <c r="J28" s="57">
        <f t="shared" si="1"/>
        <v>6.8833333333333316E-3</v>
      </c>
      <c r="K28" s="58">
        <f t="shared" si="2"/>
        <v>-1.6666666666664831E-5</v>
      </c>
      <c r="L28" s="56"/>
      <c r="M28" s="62">
        <f t="shared" ref="M28:M91" si="3">J28-(0.25*K28)</f>
        <v>6.8874999999999978E-3</v>
      </c>
      <c r="N28" s="56">
        <f t="shared" ref="N28:N91" si="4">M28*70.966</f>
        <v>0.48877832499999979</v>
      </c>
      <c r="O28" s="58">
        <f t="shared" ref="O28:O91" si="5">N28*2</f>
        <v>0.97755664999999958</v>
      </c>
      <c r="P28" s="56">
        <f t="shared" ref="P28:P91" si="6">O28/F28</f>
        <v>9.7755664999999964E-2</v>
      </c>
      <c r="Q28" s="57"/>
      <c r="R28" s="56"/>
      <c r="S28" s="58"/>
      <c r="T28" s="63">
        <f>D30</f>
        <v>2</v>
      </c>
      <c r="U28" s="64">
        <f>Q30</f>
        <v>1.8633897449999999</v>
      </c>
    </row>
    <row r="29" spans="1:24" ht="14.45" customHeight="1" x14ac:dyDescent="0.25">
      <c r="A29" s="18">
        <v>3</v>
      </c>
      <c r="B29" s="30">
        <v>10</v>
      </c>
      <c r="D29" s="78"/>
      <c r="E29" s="22" t="s">
        <v>53</v>
      </c>
      <c r="F29" s="22">
        <f>F27</f>
        <v>10</v>
      </c>
      <c r="G29" s="65">
        <v>4.5400000000000003E-2</v>
      </c>
      <c r="H29" s="66">
        <v>3.73E-2</v>
      </c>
      <c r="I29" s="56"/>
      <c r="J29" s="57">
        <f t="shared" si="1"/>
        <v>7.7833333333333365E-3</v>
      </c>
      <c r="K29" s="58">
        <f t="shared" si="2"/>
        <v>4.8333333333333561E-4</v>
      </c>
      <c r="L29" s="56"/>
      <c r="M29" s="62">
        <f t="shared" si="3"/>
        <v>7.6625000000000026E-3</v>
      </c>
      <c r="N29" s="56">
        <f t="shared" si="4"/>
        <v>0.54377697500000011</v>
      </c>
      <c r="O29" s="58">
        <f t="shared" si="5"/>
        <v>1.0875539500000002</v>
      </c>
      <c r="P29" s="56">
        <f t="shared" si="6"/>
        <v>0.10875539500000002</v>
      </c>
      <c r="Q29" s="57"/>
      <c r="R29" s="56"/>
      <c r="S29" s="58"/>
      <c r="T29" s="63">
        <f>D33</f>
        <v>3</v>
      </c>
      <c r="U29" s="64">
        <f>Q33</f>
        <v>1.0053516666666707E-3</v>
      </c>
    </row>
    <row r="30" spans="1:24" ht="14.45" customHeight="1" x14ac:dyDescent="0.25">
      <c r="A30" s="18">
        <v>4</v>
      </c>
      <c r="B30" s="30">
        <v>10</v>
      </c>
      <c r="D30" s="76">
        <f>A28</f>
        <v>2</v>
      </c>
      <c r="E30" s="12" t="s">
        <v>54</v>
      </c>
      <c r="F30" s="12">
        <f>B28</f>
        <v>10</v>
      </c>
      <c r="G30" s="54">
        <v>0.15989999999999999</v>
      </c>
      <c r="H30" s="55">
        <v>3.6400000000000002E-2</v>
      </c>
      <c r="I30" s="56"/>
      <c r="J30" s="57">
        <f t="shared" si="1"/>
        <v>0.12228333333333333</v>
      </c>
      <c r="K30" s="58">
        <f t="shared" si="2"/>
        <v>-4.1666666666666241E-4</v>
      </c>
      <c r="L30" s="56"/>
      <c r="M30" s="62">
        <f t="shared" si="3"/>
        <v>0.1223875</v>
      </c>
      <c r="N30" s="56">
        <f t="shared" si="4"/>
        <v>8.6853513249999992</v>
      </c>
      <c r="O30" s="58">
        <f t="shared" si="5"/>
        <v>17.370702649999998</v>
      </c>
      <c r="P30" s="56">
        <f t="shared" si="6"/>
        <v>1.7370702649999998</v>
      </c>
      <c r="Q30" s="57">
        <f>AVERAGE(P30:P32)</f>
        <v>1.8633897449999999</v>
      </c>
      <c r="R30" s="56">
        <f>STDEV(P30:P32)</f>
        <v>0.1094424804234795</v>
      </c>
      <c r="S30" s="58">
        <f>R30/Q30*100</f>
        <v>5.873300565120342</v>
      </c>
      <c r="T30" s="63">
        <f>D36</f>
        <v>4</v>
      </c>
      <c r="U30" s="64">
        <f>Q36</f>
        <v>2.9036921666666677E-2</v>
      </c>
    </row>
    <row r="31" spans="1:24" ht="14.45" customHeight="1" x14ac:dyDescent="0.25">
      <c r="A31" s="18">
        <v>5</v>
      </c>
      <c r="B31" s="30">
        <v>10</v>
      </c>
      <c r="D31" s="77"/>
      <c r="E31" s="17" t="s">
        <v>55</v>
      </c>
      <c r="F31" s="17">
        <f t="shared" ref="F31" si="7">F30</f>
        <v>10</v>
      </c>
      <c r="G31" s="57">
        <v>0.17330000000000001</v>
      </c>
      <c r="H31" s="58">
        <v>3.7499999999999999E-2</v>
      </c>
      <c r="I31" s="56"/>
      <c r="J31" s="57">
        <f t="shared" si="1"/>
        <v>0.13568333333333335</v>
      </c>
      <c r="K31" s="58">
        <f t="shared" si="2"/>
        <v>6.833333333333344E-4</v>
      </c>
      <c r="L31" s="56"/>
      <c r="M31" s="62">
        <f t="shared" si="3"/>
        <v>0.13551250000000001</v>
      </c>
      <c r="N31" s="56">
        <f t="shared" si="4"/>
        <v>9.6167800749999994</v>
      </c>
      <c r="O31" s="58">
        <f t="shared" si="5"/>
        <v>19.233560149999999</v>
      </c>
      <c r="P31" s="56">
        <f t="shared" si="6"/>
        <v>1.923356015</v>
      </c>
      <c r="Q31" s="57"/>
      <c r="R31" s="56"/>
      <c r="S31" s="58"/>
      <c r="T31" s="63">
        <f>D39</f>
        <v>5</v>
      </c>
      <c r="U31" s="64">
        <f>Q39</f>
        <v>0.10402432833333329</v>
      </c>
    </row>
    <row r="32" spans="1:24" ht="14.45" customHeight="1" x14ac:dyDescent="0.25">
      <c r="A32" s="18">
        <v>6</v>
      </c>
      <c r="B32" s="30">
        <v>10</v>
      </c>
      <c r="D32" s="78"/>
      <c r="E32" s="22" t="s">
        <v>56</v>
      </c>
      <c r="F32" s="22">
        <f t="shared" ref="F32" si="8">F30</f>
        <v>10</v>
      </c>
      <c r="G32" s="65">
        <v>0.17349999999999999</v>
      </c>
      <c r="H32" s="66">
        <v>3.6499999999999998E-2</v>
      </c>
      <c r="I32" s="56"/>
      <c r="J32" s="57">
        <f t="shared" si="1"/>
        <v>0.13588333333333333</v>
      </c>
      <c r="K32" s="58">
        <f t="shared" si="2"/>
        <v>-3.1666666666666649E-4</v>
      </c>
      <c r="L32" s="56"/>
      <c r="M32" s="62">
        <f t="shared" si="3"/>
        <v>0.13596249999999999</v>
      </c>
      <c r="N32" s="56">
        <f t="shared" si="4"/>
        <v>9.6487147749999984</v>
      </c>
      <c r="O32" s="58">
        <f t="shared" si="5"/>
        <v>19.297429549999997</v>
      </c>
      <c r="P32" s="56">
        <f t="shared" si="6"/>
        <v>1.9297429549999996</v>
      </c>
      <c r="Q32" s="57"/>
      <c r="R32" s="56"/>
      <c r="S32" s="58"/>
      <c r="T32" s="63">
        <f>D42</f>
        <v>6</v>
      </c>
      <c r="U32" s="64">
        <f>Q42</f>
        <v>8.3385049999999839E-3</v>
      </c>
    </row>
    <row r="33" spans="1:21" ht="14.45" customHeight="1" x14ac:dyDescent="0.25">
      <c r="A33" s="18">
        <v>7</v>
      </c>
      <c r="B33" s="30">
        <v>10</v>
      </c>
      <c r="D33" s="76">
        <f>A29</f>
        <v>3</v>
      </c>
      <c r="E33" s="12" t="s">
        <v>57</v>
      </c>
      <c r="F33" s="12">
        <f>B29</f>
        <v>10</v>
      </c>
      <c r="G33" s="54">
        <v>3.7699999999999997E-2</v>
      </c>
      <c r="H33" s="55">
        <v>3.7900000000000003E-2</v>
      </c>
      <c r="I33" s="56"/>
      <c r="J33" s="57">
        <f t="shared" si="1"/>
        <v>8.3333333333331094E-5</v>
      </c>
      <c r="K33" s="58">
        <f t="shared" si="2"/>
        <v>1.0833333333333389E-3</v>
      </c>
      <c r="L33" s="56"/>
      <c r="M33" s="62">
        <f t="shared" si="3"/>
        <v>-1.8750000000000364E-4</v>
      </c>
      <c r="N33" s="56">
        <f t="shared" si="4"/>
        <v>-1.3306125000000257E-2</v>
      </c>
      <c r="O33" s="58">
        <f t="shared" si="5"/>
        <v>-2.6612250000000514E-2</v>
      </c>
      <c r="P33" s="56">
        <f t="shared" si="6"/>
        <v>-2.6612250000000513E-3</v>
      </c>
      <c r="Q33" s="57">
        <f>AVERAGE(P33:P35)</f>
        <v>1.0053516666666707E-3</v>
      </c>
      <c r="R33" s="56">
        <f>STDEV(P33:P35)</f>
        <v>5.1704628261339987E-3</v>
      </c>
      <c r="S33" s="58">
        <f>R33/Q33*100</f>
        <v>514.2939528092802</v>
      </c>
      <c r="T33" s="63">
        <f>D45</f>
        <v>7</v>
      </c>
      <c r="U33" s="64">
        <f>Q45</f>
        <v>2.3004811666666652E-2</v>
      </c>
    </row>
    <row r="34" spans="1:21" ht="14.45" customHeight="1" x14ac:dyDescent="0.25">
      <c r="A34" s="18">
        <v>8</v>
      </c>
      <c r="B34" s="30">
        <v>10</v>
      </c>
      <c r="D34" s="77"/>
      <c r="E34" s="17" t="s">
        <v>58</v>
      </c>
      <c r="F34" s="17">
        <f t="shared" ref="F34" si="9">F33</f>
        <v>10</v>
      </c>
      <c r="G34" s="57">
        <v>3.8600000000000002E-2</v>
      </c>
      <c r="H34" s="58">
        <v>3.8800000000000001E-2</v>
      </c>
      <c r="I34" s="56"/>
      <c r="J34" s="57">
        <f t="shared" si="1"/>
        <v>9.8333333333333606E-4</v>
      </c>
      <c r="K34" s="58">
        <f t="shared" si="2"/>
        <v>1.9833333333333369E-3</v>
      </c>
      <c r="L34" s="56"/>
      <c r="M34" s="62">
        <f t="shared" si="3"/>
        <v>4.8750000000000182E-4</v>
      </c>
      <c r="N34" s="56">
        <f t="shared" si="4"/>
        <v>3.4595925000000124E-2</v>
      </c>
      <c r="O34" s="58">
        <f t="shared" si="5"/>
        <v>6.9191850000000249E-2</v>
      </c>
      <c r="P34" s="56">
        <f t="shared" si="6"/>
        <v>6.9191850000000247E-3</v>
      </c>
      <c r="Q34" s="57"/>
      <c r="R34" s="56"/>
      <c r="S34" s="58"/>
      <c r="T34" s="63">
        <f>D48</f>
        <v>8</v>
      </c>
      <c r="U34" s="64">
        <f>Q48</f>
        <v>6.8304774999999984E-2</v>
      </c>
    </row>
    <row r="35" spans="1:21" ht="14.45" customHeight="1" x14ac:dyDescent="0.25">
      <c r="A35" s="18">
        <v>9</v>
      </c>
      <c r="B35" s="30">
        <v>10</v>
      </c>
      <c r="D35" s="78"/>
      <c r="E35" s="22" t="s">
        <v>59</v>
      </c>
      <c r="F35" s="22">
        <f t="shared" ref="F35" si="10">F33</f>
        <v>10</v>
      </c>
      <c r="G35" s="65">
        <v>3.7900000000000003E-2</v>
      </c>
      <c r="H35" s="66">
        <v>3.8300000000000001E-2</v>
      </c>
      <c r="I35" s="56"/>
      <c r="J35" s="57">
        <f t="shared" si="1"/>
        <v>2.8333333333333682E-4</v>
      </c>
      <c r="K35" s="58">
        <f t="shared" si="2"/>
        <v>1.4833333333333365E-3</v>
      </c>
      <c r="L35" s="56"/>
      <c r="M35" s="62">
        <f t="shared" si="3"/>
        <v>-8.7499999999997302E-5</v>
      </c>
      <c r="N35" s="56">
        <f t="shared" si="4"/>
        <v>-6.2095249999998079E-3</v>
      </c>
      <c r="O35" s="58">
        <f t="shared" si="5"/>
        <v>-1.2419049999999616E-2</v>
      </c>
      <c r="P35" s="56">
        <f t="shared" si="6"/>
        <v>-1.2419049999999616E-3</v>
      </c>
      <c r="Q35" s="57"/>
      <c r="R35" s="56"/>
      <c r="S35" s="58"/>
      <c r="T35" s="63">
        <f>D51</f>
        <v>9</v>
      </c>
      <c r="U35" s="64">
        <f>Q51</f>
        <v>0.43425278166666653</v>
      </c>
    </row>
    <row r="36" spans="1:21" ht="14.45" customHeight="1" x14ac:dyDescent="0.25">
      <c r="A36" s="18">
        <v>10</v>
      </c>
      <c r="B36" s="30">
        <v>10</v>
      </c>
      <c r="D36" s="76">
        <f>A30</f>
        <v>4</v>
      </c>
      <c r="E36" s="12" t="s">
        <v>60</v>
      </c>
      <c r="F36" s="12">
        <f>B30</f>
        <v>10</v>
      </c>
      <c r="G36" s="54">
        <v>3.8600000000000002E-2</v>
      </c>
      <c r="H36" s="55">
        <v>3.56E-2</v>
      </c>
      <c r="I36" s="56"/>
      <c r="J36" s="57">
        <f t="shared" si="1"/>
        <v>9.8333333333333606E-4</v>
      </c>
      <c r="K36" s="58">
        <f t="shared" si="2"/>
        <v>-1.2166666666666645E-3</v>
      </c>
      <c r="L36" s="56"/>
      <c r="M36" s="62">
        <f t="shared" si="3"/>
        <v>1.2875000000000022E-3</v>
      </c>
      <c r="N36" s="56">
        <f t="shared" si="4"/>
        <v>9.1368725000000151E-2</v>
      </c>
      <c r="O36" s="58">
        <f t="shared" si="5"/>
        <v>0.1827374500000003</v>
      </c>
      <c r="P36" s="56">
        <f t="shared" si="6"/>
        <v>1.8273745000000029E-2</v>
      </c>
      <c r="Q36" s="57">
        <f>AVERAGE(P36:P38)</f>
        <v>2.9036921666666677E-2</v>
      </c>
      <c r="R36" s="56">
        <f>STDEV(P36:P38)</f>
        <v>1.8031276863534434E-2</v>
      </c>
      <c r="S36" s="58">
        <f>R36/Q36*100</f>
        <v>62.097756334252466</v>
      </c>
      <c r="T36" s="63">
        <f>D54</f>
        <v>10</v>
      </c>
      <c r="U36" s="64">
        <f>Q54</f>
        <v>0.70628911500000002</v>
      </c>
    </row>
    <row r="37" spans="1:21" ht="14.45" customHeight="1" x14ac:dyDescent="0.25">
      <c r="A37" s="18">
        <v>11</v>
      </c>
      <c r="B37" s="30">
        <v>10</v>
      </c>
      <c r="D37" s="77"/>
      <c r="E37" s="17" t="s">
        <v>61</v>
      </c>
      <c r="F37" s="17">
        <f t="shared" ref="F37" si="11">F36</f>
        <v>10</v>
      </c>
      <c r="G37" s="57">
        <v>3.8600000000000002E-2</v>
      </c>
      <c r="H37" s="58">
        <v>3.5400000000000001E-2</v>
      </c>
      <c r="I37" s="56"/>
      <c r="J37" s="57">
        <f t="shared" si="1"/>
        <v>9.8333333333333606E-4</v>
      </c>
      <c r="K37" s="58">
        <f t="shared" si="2"/>
        <v>-1.4166666666666633E-3</v>
      </c>
      <c r="L37" s="56"/>
      <c r="M37" s="62">
        <f t="shared" si="3"/>
        <v>1.3375000000000019E-3</v>
      </c>
      <c r="N37" s="56">
        <f t="shared" si="4"/>
        <v>9.4917025000000127E-2</v>
      </c>
      <c r="O37" s="58">
        <f t="shared" si="5"/>
        <v>0.18983405000000025</v>
      </c>
      <c r="P37" s="56">
        <f t="shared" si="6"/>
        <v>1.8983405000000026E-2</v>
      </c>
      <c r="Q37" s="57"/>
      <c r="R37" s="56"/>
      <c r="S37" s="58"/>
      <c r="T37" s="63">
        <f>D57</f>
        <v>11</v>
      </c>
      <c r="U37" s="64">
        <f>Q57</f>
        <v>4.9380508333333323E-2</v>
      </c>
    </row>
    <row r="38" spans="1:21" ht="14.45" customHeight="1" x14ac:dyDescent="0.25">
      <c r="A38" s="18">
        <v>12</v>
      </c>
      <c r="B38" s="30">
        <v>10</v>
      </c>
      <c r="D38" s="78"/>
      <c r="E38" s="22" t="s">
        <v>62</v>
      </c>
      <c r="F38" s="22">
        <f t="shared" ref="F38" si="12">F36</f>
        <v>10</v>
      </c>
      <c r="G38" s="65">
        <v>4.1399999999999999E-2</v>
      </c>
      <c r="H38" s="66">
        <v>3.7900000000000003E-2</v>
      </c>
      <c r="I38" s="56"/>
      <c r="J38" s="57">
        <f t="shared" si="1"/>
        <v>3.783333333333333E-3</v>
      </c>
      <c r="K38" s="58">
        <f t="shared" si="2"/>
        <v>1.0833333333333389E-3</v>
      </c>
      <c r="L38" s="56"/>
      <c r="M38" s="62">
        <f t="shared" si="3"/>
        <v>3.5124999999999983E-3</v>
      </c>
      <c r="N38" s="56">
        <f t="shared" si="4"/>
        <v>0.24926807499999987</v>
      </c>
      <c r="O38" s="58">
        <f t="shared" si="5"/>
        <v>0.49853614999999973</v>
      </c>
      <c r="P38" s="56">
        <f t="shared" si="6"/>
        <v>4.9853614999999976E-2</v>
      </c>
      <c r="Q38" s="57"/>
      <c r="R38" s="56"/>
      <c r="S38" s="58"/>
      <c r="T38" s="63">
        <f>D60</f>
        <v>12</v>
      </c>
      <c r="U38" s="64">
        <f>Q60</f>
        <v>0.3050946616666666</v>
      </c>
    </row>
    <row r="39" spans="1:21" ht="14.45" customHeight="1" x14ac:dyDescent="0.25">
      <c r="A39" s="18">
        <v>13</v>
      </c>
      <c r="B39" s="30">
        <v>10</v>
      </c>
      <c r="D39" s="76">
        <f>A31</f>
        <v>5</v>
      </c>
      <c r="E39" s="12" t="s">
        <v>63</v>
      </c>
      <c r="F39" s="12">
        <f>B31</f>
        <v>10</v>
      </c>
      <c r="G39" s="54">
        <v>4.48E-2</v>
      </c>
      <c r="H39" s="55">
        <v>3.9199999999999999E-2</v>
      </c>
      <c r="I39" s="56"/>
      <c r="J39" s="57">
        <f t="shared" si="1"/>
        <v>7.1833333333333332E-3</v>
      </c>
      <c r="K39" s="58">
        <f t="shared" si="2"/>
        <v>2.3833333333333345E-3</v>
      </c>
      <c r="L39" s="56"/>
      <c r="M39" s="62">
        <f t="shared" si="3"/>
        <v>6.5874999999999996E-3</v>
      </c>
      <c r="N39" s="56">
        <f t="shared" si="4"/>
        <v>0.46748852499999993</v>
      </c>
      <c r="O39" s="58">
        <f t="shared" si="5"/>
        <v>0.93497704999999987</v>
      </c>
      <c r="P39" s="56">
        <f t="shared" si="6"/>
        <v>9.3497704999999987E-2</v>
      </c>
      <c r="Q39" s="57">
        <f>AVERAGE(P39:P41)</f>
        <v>0.10402432833333329</v>
      </c>
      <c r="R39" s="56">
        <f>STDEV(P39:P41)</f>
        <v>1.3615180507449594E-2</v>
      </c>
      <c r="S39" s="58">
        <f>R39/Q39*100</f>
        <v>13.088457984387466</v>
      </c>
      <c r="T39" s="63">
        <f>D63</f>
        <v>13</v>
      </c>
      <c r="U39" s="64">
        <f>Q63</f>
        <v>4.1219418333333355E-2</v>
      </c>
    </row>
    <row r="40" spans="1:21" ht="14.45" customHeight="1" x14ac:dyDescent="0.25">
      <c r="A40" s="18">
        <v>14</v>
      </c>
      <c r="B40" s="30">
        <v>10</v>
      </c>
      <c r="D40" s="77"/>
      <c r="E40" s="17" t="s">
        <v>64</v>
      </c>
      <c r="F40" s="17">
        <f t="shared" ref="F40" si="13">F39</f>
        <v>10</v>
      </c>
      <c r="G40" s="57">
        <v>4.6899999999999997E-2</v>
      </c>
      <c r="H40" s="58">
        <v>4.0300000000000002E-2</v>
      </c>
      <c r="I40" s="56"/>
      <c r="J40" s="57">
        <f t="shared" si="1"/>
        <v>9.2833333333333309E-3</v>
      </c>
      <c r="K40" s="58">
        <f t="shared" si="2"/>
        <v>3.4833333333333383E-3</v>
      </c>
      <c r="L40" s="56"/>
      <c r="M40" s="62">
        <f t="shared" si="3"/>
        <v>8.4124999999999964E-3</v>
      </c>
      <c r="N40" s="56">
        <f t="shared" si="4"/>
        <v>0.59700147499999967</v>
      </c>
      <c r="O40" s="58">
        <f t="shared" si="5"/>
        <v>1.1940029499999993</v>
      </c>
      <c r="P40" s="56">
        <f t="shared" si="6"/>
        <v>0.11940029499999993</v>
      </c>
      <c r="Q40" s="57"/>
      <c r="R40" s="56"/>
      <c r="S40" s="58"/>
      <c r="T40" s="63">
        <f>D66</f>
        <v>14</v>
      </c>
      <c r="U40" s="64">
        <f>Q66</f>
        <v>0.25648295166666663</v>
      </c>
    </row>
    <row r="41" spans="1:21" ht="14.45" customHeight="1" x14ac:dyDescent="0.25">
      <c r="A41" s="18">
        <v>15</v>
      </c>
      <c r="B41" s="30">
        <v>10</v>
      </c>
      <c r="D41" s="78"/>
      <c r="E41" s="22" t="s">
        <v>65</v>
      </c>
      <c r="F41" s="22">
        <f t="shared" ref="F41" si="14">F39</f>
        <v>10</v>
      </c>
      <c r="G41" s="65">
        <v>4.5199999999999997E-2</v>
      </c>
      <c r="H41" s="66">
        <v>3.9199999999999999E-2</v>
      </c>
      <c r="I41" s="56"/>
      <c r="J41" s="57">
        <f t="shared" si="1"/>
        <v>7.5833333333333308E-3</v>
      </c>
      <c r="K41" s="58">
        <f t="shared" si="2"/>
        <v>2.3833333333333345E-3</v>
      </c>
      <c r="L41" s="56"/>
      <c r="M41" s="62">
        <f t="shared" si="3"/>
        <v>6.9874999999999972E-3</v>
      </c>
      <c r="N41" s="56">
        <f t="shared" si="4"/>
        <v>0.49587492499999974</v>
      </c>
      <c r="O41" s="58">
        <f t="shared" si="5"/>
        <v>0.99174984999999949</v>
      </c>
      <c r="P41" s="56">
        <f t="shared" si="6"/>
        <v>9.9174984999999952E-2</v>
      </c>
      <c r="Q41" s="57"/>
      <c r="R41" s="56"/>
      <c r="S41" s="58"/>
      <c r="T41" s="63">
        <f>D69</f>
        <v>15</v>
      </c>
      <c r="U41" s="64">
        <f>Q69</f>
        <v>2.9617068716666659</v>
      </c>
    </row>
    <row r="42" spans="1:21" ht="14.45" customHeight="1" x14ac:dyDescent="0.25">
      <c r="A42" s="18">
        <v>16</v>
      </c>
      <c r="B42" s="30">
        <v>10</v>
      </c>
      <c r="D42" s="76">
        <f>A32</f>
        <v>6</v>
      </c>
      <c r="E42" s="12" t="s">
        <v>66</v>
      </c>
      <c r="F42" s="12">
        <f>B32</f>
        <v>10</v>
      </c>
      <c r="G42" s="54">
        <v>3.8399999999999997E-2</v>
      </c>
      <c r="H42" s="55">
        <v>3.9100000000000003E-2</v>
      </c>
      <c r="I42" s="56"/>
      <c r="J42" s="57">
        <f t="shared" si="1"/>
        <v>7.8333333333333033E-4</v>
      </c>
      <c r="K42" s="58">
        <f t="shared" si="2"/>
        <v>2.2833333333333386E-3</v>
      </c>
      <c r="L42" s="56"/>
      <c r="M42" s="62">
        <f t="shared" si="3"/>
        <v>2.1249999999999568E-4</v>
      </c>
      <c r="N42" s="56">
        <f t="shared" si="4"/>
        <v>1.5080274999999692E-2</v>
      </c>
      <c r="O42" s="58">
        <f t="shared" si="5"/>
        <v>3.0160549999999384E-2</v>
      </c>
      <c r="P42" s="56">
        <f t="shared" si="6"/>
        <v>3.0160549999999385E-3</v>
      </c>
      <c r="Q42" s="57">
        <f>AVERAGE(P42:P44)</f>
        <v>8.3385049999999839E-3</v>
      </c>
      <c r="R42" s="56">
        <f>STDEV(P42:P44)</f>
        <v>5.5084429074739776E-3</v>
      </c>
      <c r="S42" s="58">
        <f>R42/Q42*100</f>
        <v>66.060317856426167</v>
      </c>
      <c r="T42" s="63">
        <f>D72</f>
        <v>16</v>
      </c>
      <c r="U42" s="64">
        <f>Q72</f>
        <v>4.7724634999999967E-2</v>
      </c>
    </row>
    <row r="43" spans="1:21" ht="14.45" customHeight="1" x14ac:dyDescent="0.25">
      <c r="A43" s="18">
        <v>17</v>
      </c>
      <c r="B43" s="30">
        <v>10</v>
      </c>
      <c r="D43" s="77"/>
      <c r="E43" s="17" t="s">
        <v>67</v>
      </c>
      <c r="F43" s="17">
        <f t="shared" ref="F43" si="15">F42</f>
        <v>10</v>
      </c>
      <c r="G43" s="57">
        <v>3.95E-2</v>
      </c>
      <c r="H43" s="58">
        <v>4.0399999999999998E-2</v>
      </c>
      <c r="I43" s="56"/>
      <c r="J43" s="57">
        <f t="shared" si="1"/>
        <v>1.8833333333333341E-3</v>
      </c>
      <c r="K43" s="58">
        <f t="shared" si="2"/>
        <v>3.5833333333333342E-3</v>
      </c>
      <c r="L43" s="56"/>
      <c r="M43" s="62">
        <f t="shared" si="3"/>
        <v>9.8750000000000053E-4</v>
      </c>
      <c r="N43" s="56">
        <f t="shared" si="4"/>
        <v>7.0078925000000028E-2</v>
      </c>
      <c r="O43" s="58">
        <f t="shared" si="5"/>
        <v>0.14015785000000006</v>
      </c>
      <c r="P43" s="56">
        <f t="shared" si="6"/>
        <v>1.4015785000000006E-2</v>
      </c>
      <c r="Q43" s="57"/>
      <c r="R43" s="56"/>
      <c r="S43" s="58"/>
      <c r="T43" s="63">
        <f>D75</f>
        <v>17</v>
      </c>
      <c r="U43" s="64">
        <f>Q75</f>
        <v>0.66063432166666669</v>
      </c>
    </row>
    <row r="44" spans="1:21" ht="14.45" customHeight="1" x14ac:dyDescent="0.25">
      <c r="A44" s="18">
        <v>18</v>
      </c>
      <c r="B44" s="30">
        <v>10</v>
      </c>
      <c r="D44" s="78"/>
      <c r="E44" s="22" t="s">
        <v>68</v>
      </c>
      <c r="F44" s="22">
        <f t="shared" ref="F44" si="16">F42</f>
        <v>10</v>
      </c>
      <c r="G44" s="65">
        <v>3.8800000000000001E-2</v>
      </c>
      <c r="H44" s="66">
        <v>3.9300000000000002E-2</v>
      </c>
      <c r="I44" s="56"/>
      <c r="J44" s="57">
        <f t="shared" si="1"/>
        <v>1.1833333333333348E-3</v>
      </c>
      <c r="K44" s="58">
        <f t="shared" si="2"/>
        <v>2.4833333333333374E-3</v>
      </c>
      <c r="L44" s="56"/>
      <c r="M44" s="62">
        <f t="shared" si="3"/>
        <v>5.625000000000005E-4</v>
      </c>
      <c r="N44" s="56">
        <f t="shared" si="4"/>
        <v>3.9918375000000034E-2</v>
      </c>
      <c r="O44" s="58">
        <f t="shared" si="5"/>
        <v>7.9836750000000067E-2</v>
      </c>
      <c r="P44" s="56">
        <f t="shared" si="6"/>
        <v>7.983675000000006E-3</v>
      </c>
      <c r="Q44" s="57"/>
      <c r="R44" s="56"/>
      <c r="S44" s="58"/>
      <c r="T44" s="63">
        <f>D78</f>
        <v>18</v>
      </c>
      <c r="U44" s="64">
        <f>Q78</f>
        <v>3.8079764216666661</v>
      </c>
    </row>
    <row r="45" spans="1:21" ht="14.45" customHeight="1" x14ac:dyDescent="0.25">
      <c r="A45" s="18">
        <v>19</v>
      </c>
      <c r="B45" s="30">
        <v>10</v>
      </c>
      <c r="D45" s="76">
        <f>A33</f>
        <v>7</v>
      </c>
      <c r="E45" s="12" t="s">
        <v>69</v>
      </c>
      <c r="F45" s="12">
        <f>B33</f>
        <v>10</v>
      </c>
      <c r="G45" s="54">
        <v>3.9899999999999998E-2</v>
      </c>
      <c r="H45" s="55">
        <v>3.7199999999999997E-2</v>
      </c>
      <c r="I45" s="56"/>
      <c r="J45" s="57">
        <f t="shared" si="1"/>
        <v>2.2833333333333317E-3</v>
      </c>
      <c r="K45" s="58">
        <f t="shared" si="2"/>
        <v>3.8333333333333275E-4</v>
      </c>
      <c r="L45" s="56"/>
      <c r="M45" s="62">
        <f t="shared" si="3"/>
        <v>2.1874999999999985E-3</v>
      </c>
      <c r="N45" s="56">
        <f t="shared" si="4"/>
        <v>0.15523812499999987</v>
      </c>
      <c r="O45" s="58">
        <f t="shared" si="5"/>
        <v>0.31047624999999973</v>
      </c>
      <c r="P45" s="56">
        <f t="shared" si="6"/>
        <v>3.1047624999999975E-2</v>
      </c>
      <c r="Q45" s="57">
        <f>AVERAGE(P45:P47)</f>
        <v>2.3004811666666652E-2</v>
      </c>
      <c r="R45" s="56">
        <f>STDEV(P45:P47)</f>
        <v>8.7660486388471022E-3</v>
      </c>
      <c r="S45" s="58">
        <f>R45/Q45*100</f>
        <v>38.105283215810317</v>
      </c>
      <c r="T45" s="63">
        <f>D81</f>
        <v>19</v>
      </c>
      <c r="U45" s="64">
        <f>Q81</f>
        <v>0.24027904833333333</v>
      </c>
    </row>
    <row r="46" spans="1:21" ht="14.45" customHeight="1" x14ac:dyDescent="0.25">
      <c r="A46" s="18">
        <v>20</v>
      </c>
      <c r="B46" s="30">
        <v>10</v>
      </c>
      <c r="D46" s="77"/>
      <c r="E46" s="17" t="s">
        <v>70</v>
      </c>
      <c r="F46" s="17">
        <f t="shared" ref="F46" si="17">F45</f>
        <v>10</v>
      </c>
      <c r="G46" s="57">
        <v>3.9E-2</v>
      </c>
      <c r="H46" s="58">
        <v>3.5499999999999997E-2</v>
      </c>
      <c r="I46" s="56"/>
      <c r="J46" s="57">
        <f t="shared" si="1"/>
        <v>1.3833333333333336E-3</v>
      </c>
      <c r="K46" s="58">
        <f t="shared" si="2"/>
        <v>-1.3166666666666674E-3</v>
      </c>
      <c r="L46" s="56"/>
      <c r="M46" s="62">
        <f t="shared" si="3"/>
        <v>1.7125000000000005E-3</v>
      </c>
      <c r="N46" s="56">
        <f t="shared" si="4"/>
        <v>0.12152927500000002</v>
      </c>
      <c r="O46" s="58">
        <f t="shared" si="5"/>
        <v>0.24305855000000004</v>
      </c>
      <c r="P46" s="56">
        <f t="shared" si="6"/>
        <v>2.4305855000000005E-2</v>
      </c>
      <c r="Q46" s="57"/>
      <c r="R46" s="56"/>
      <c r="S46" s="58"/>
      <c r="T46" s="63">
        <f>D84</f>
        <v>20</v>
      </c>
      <c r="U46" s="64">
        <f>Q84</f>
        <v>4.1141947116666664</v>
      </c>
    </row>
    <row r="47" spans="1:21" ht="14.45" customHeight="1" x14ac:dyDescent="0.25">
      <c r="A47" s="18">
        <v>21</v>
      </c>
      <c r="B47" s="30">
        <v>10</v>
      </c>
      <c r="D47" s="78"/>
      <c r="E47" s="22" t="s">
        <v>71</v>
      </c>
      <c r="F47" s="22">
        <f t="shared" ref="F47" si="18">F45</f>
        <v>10</v>
      </c>
      <c r="G47" s="65">
        <v>3.8199999999999998E-2</v>
      </c>
      <c r="H47" s="66">
        <v>3.5299999999999998E-2</v>
      </c>
      <c r="I47" s="56"/>
      <c r="J47" s="57">
        <f t="shared" si="1"/>
        <v>5.8333333333333154E-4</v>
      </c>
      <c r="K47" s="58">
        <f t="shared" si="2"/>
        <v>-1.5166666666666662E-3</v>
      </c>
      <c r="L47" s="56"/>
      <c r="M47" s="62">
        <f t="shared" si="3"/>
        <v>9.6249999999999808E-4</v>
      </c>
      <c r="N47" s="56">
        <f t="shared" si="4"/>
        <v>6.8304774999999859E-2</v>
      </c>
      <c r="O47" s="58">
        <f t="shared" si="5"/>
        <v>0.13660954999999972</v>
      </c>
      <c r="P47" s="56">
        <f t="shared" si="6"/>
        <v>1.3660954999999971E-2</v>
      </c>
      <c r="Q47" s="57"/>
      <c r="R47" s="56"/>
      <c r="S47" s="58"/>
      <c r="T47" s="63">
        <f>D87</f>
        <v>21</v>
      </c>
      <c r="U47" s="64">
        <f>Q87</f>
        <v>6.2883563983333319</v>
      </c>
    </row>
    <row r="48" spans="1:21" ht="14.45" customHeight="1" x14ac:dyDescent="0.25">
      <c r="A48" s="18">
        <v>22</v>
      </c>
      <c r="B48" s="30">
        <v>10</v>
      </c>
      <c r="D48" s="76">
        <f>A34</f>
        <v>8</v>
      </c>
      <c r="E48" s="12" t="s">
        <v>72</v>
      </c>
      <c r="F48" s="12">
        <f>B34</f>
        <v>10</v>
      </c>
      <c r="G48" s="54">
        <v>4.3299999999999998E-2</v>
      </c>
      <c r="H48" s="55">
        <v>4.3400000000000001E-2</v>
      </c>
      <c r="I48" s="56"/>
      <c r="J48" s="57">
        <f t="shared" si="1"/>
        <v>5.6833333333333319E-3</v>
      </c>
      <c r="K48" s="58">
        <f t="shared" si="2"/>
        <v>6.5833333333333369E-3</v>
      </c>
      <c r="L48" s="56"/>
      <c r="M48" s="62">
        <f t="shared" si="3"/>
        <v>4.0374999999999977E-3</v>
      </c>
      <c r="N48" s="56">
        <f t="shared" si="4"/>
        <v>0.28652522499999983</v>
      </c>
      <c r="O48" s="58">
        <f t="shared" si="5"/>
        <v>0.57305044999999966</v>
      </c>
      <c r="P48" s="56">
        <f t="shared" si="6"/>
        <v>5.7305044999999964E-2</v>
      </c>
      <c r="Q48" s="57">
        <f>AVERAGE(P48:P50)</f>
        <v>6.8304774999999984E-2</v>
      </c>
      <c r="R48" s="56">
        <f>STDEV(P48:P50)</f>
        <v>1.0104870644293293E-2</v>
      </c>
      <c r="S48" s="58">
        <f>R48/Q48*100</f>
        <v>14.793798302231863</v>
      </c>
      <c r="T48" s="63">
        <f>D90</f>
        <v>22</v>
      </c>
      <c r="U48" s="64">
        <f>Q90</f>
        <v>7.1616521666666655E-2</v>
      </c>
    </row>
    <row r="49" spans="1:22" ht="14.45" customHeight="1" x14ac:dyDescent="0.25">
      <c r="A49" s="18">
        <v>23</v>
      </c>
      <c r="B49" s="30">
        <v>10</v>
      </c>
      <c r="D49" s="77"/>
      <c r="E49" s="17" t="s">
        <v>73</v>
      </c>
      <c r="F49" s="17">
        <f t="shared" ref="F49" si="19">F48</f>
        <v>10</v>
      </c>
      <c r="G49" s="57">
        <v>4.3700000000000003E-2</v>
      </c>
      <c r="H49" s="58">
        <v>3.9399999999999998E-2</v>
      </c>
      <c r="I49" s="56"/>
      <c r="J49" s="57">
        <f t="shared" si="1"/>
        <v>6.0833333333333364E-3</v>
      </c>
      <c r="K49" s="58">
        <f t="shared" si="2"/>
        <v>2.5833333333333333E-3</v>
      </c>
      <c r="L49" s="56"/>
      <c r="M49" s="62">
        <f t="shared" si="3"/>
        <v>5.4375000000000031E-3</v>
      </c>
      <c r="N49" s="56">
        <f t="shared" si="4"/>
        <v>0.38587762500000017</v>
      </c>
      <c r="O49" s="58">
        <f t="shared" si="5"/>
        <v>0.77175525000000034</v>
      </c>
      <c r="P49" s="56">
        <f t="shared" si="6"/>
        <v>7.7175525000000036E-2</v>
      </c>
      <c r="Q49" s="57"/>
      <c r="R49" s="56"/>
      <c r="S49" s="58"/>
      <c r="T49" s="63">
        <f>D93</f>
        <v>23</v>
      </c>
      <c r="U49" s="64">
        <f>Q93</f>
        <v>0.10579847833333333</v>
      </c>
    </row>
    <row r="50" spans="1:22" ht="14.45" customHeight="1" x14ac:dyDescent="0.25">
      <c r="A50" s="23">
        <v>24</v>
      </c>
      <c r="B50" s="30">
        <v>10</v>
      </c>
      <c r="D50" s="78"/>
      <c r="E50" s="22" t="s">
        <v>74</v>
      </c>
      <c r="F50" s="22">
        <f t="shared" ref="F50" si="20">F48</f>
        <v>10</v>
      </c>
      <c r="G50" s="65">
        <v>4.2999999999999997E-2</v>
      </c>
      <c r="H50" s="66">
        <v>3.85E-2</v>
      </c>
      <c r="I50" s="56"/>
      <c r="J50" s="57">
        <f t="shared" si="1"/>
        <v>5.3833333333333303E-3</v>
      </c>
      <c r="K50" s="58">
        <f t="shared" si="2"/>
        <v>1.6833333333333353E-3</v>
      </c>
      <c r="L50" s="56"/>
      <c r="M50" s="62">
        <f t="shared" si="3"/>
        <v>4.9624999999999964E-3</v>
      </c>
      <c r="N50" s="56">
        <f t="shared" si="4"/>
        <v>0.35216877499999971</v>
      </c>
      <c r="O50" s="58">
        <f t="shared" si="5"/>
        <v>0.70433754999999942</v>
      </c>
      <c r="P50" s="56">
        <f t="shared" si="6"/>
        <v>7.0433754999999945E-2</v>
      </c>
      <c r="Q50" s="57"/>
      <c r="R50" s="56"/>
      <c r="S50" s="58"/>
      <c r="T50" s="67">
        <f>D96</f>
        <v>24</v>
      </c>
      <c r="U50" s="68">
        <f>Q96</f>
        <v>6.4444815983333328</v>
      </c>
    </row>
    <row r="51" spans="1:22" ht="14.45" customHeight="1" x14ac:dyDescent="0.25">
      <c r="D51" s="76">
        <f>A35</f>
        <v>9</v>
      </c>
      <c r="E51" s="12" t="s">
        <v>75</v>
      </c>
      <c r="F51" s="12">
        <f>B35</f>
        <v>10</v>
      </c>
      <c r="G51" s="54">
        <v>6.8099999999999994E-2</v>
      </c>
      <c r="H51" s="55">
        <v>4.2200000000000001E-2</v>
      </c>
      <c r="I51" s="56"/>
      <c r="J51" s="57">
        <f t="shared" si="1"/>
        <v>3.0483333333333328E-2</v>
      </c>
      <c r="K51" s="58">
        <f t="shared" si="2"/>
        <v>5.3833333333333372E-3</v>
      </c>
      <c r="L51" s="56"/>
      <c r="M51" s="62">
        <f t="shared" si="3"/>
        <v>2.9137499999999993E-2</v>
      </c>
      <c r="N51" s="56">
        <f t="shared" si="4"/>
        <v>2.0677718249999995</v>
      </c>
      <c r="O51" s="58">
        <f t="shared" si="5"/>
        <v>4.1355436499999989</v>
      </c>
      <c r="P51" s="56">
        <f t="shared" si="6"/>
        <v>0.41355436499999987</v>
      </c>
      <c r="Q51" s="57">
        <f>AVERAGE(P51:P53)</f>
        <v>0.43425278166666653</v>
      </c>
      <c r="R51" s="56">
        <f>STDEV(P51:P53)</f>
        <v>1.9922158838901801E-2</v>
      </c>
      <c r="S51" s="58">
        <f>R51/Q51*100</f>
        <v>4.5876870983854969</v>
      </c>
      <c r="T51" s="56"/>
      <c r="U51" s="56"/>
      <c r="V51" s="56"/>
    </row>
    <row r="52" spans="1:22" ht="14.45" customHeight="1" x14ac:dyDescent="0.25">
      <c r="D52" s="77"/>
      <c r="E52" s="17" t="s">
        <v>76</v>
      </c>
      <c r="F52" s="17">
        <f t="shared" ref="F52" si="21">F51</f>
        <v>10</v>
      </c>
      <c r="G52" s="57">
        <v>6.9199999999999998E-2</v>
      </c>
      <c r="H52" s="58">
        <v>4.0300000000000002E-2</v>
      </c>
      <c r="I52" s="56"/>
      <c r="J52" s="57">
        <f t="shared" si="1"/>
        <v>3.1583333333333331E-2</v>
      </c>
      <c r="K52" s="58">
        <f t="shared" si="2"/>
        <v>3.4833333333333383E-3</v>
      </c>
      <c r="L52" s="56"/>
      <c r="M52" s="62">
        <f t="shared" si="3"/>
        <v>3.0712499999999997E-2</v>
      </c>
      <c r="N52" s="56">
        <f t="shared" si="4"/>
        <v>2.1795432749999994</v>
      </c>
      <c r="O52" s="58">
        <f t="shared" si="5"/>
        <v>4.3590865499999989</v>
      </c>
      <c r="P52" s="56">
        <f t="shared" si="6"/>
        <v>0.43590865499999987</v>
      </c>
      <c r="Q52" s="57"/>
      <c r="R52" s="56"/>
      <c r="S52" s="58"/>
      <c r="T52" s="56"/>
    </row>
    <row r="53" spans="1:22" ht="14.45" customHeight="1" x14ac:dyDescent="0.25">
      <c r="D53" s="78"/>
      <c r="E53" s="22" t="s">
        <v>77</v>
      </c>
      <c r="F53" s="22">
        <f t="shared" ref="F53" si="22">F51</f>
        <v>10</v>
      </c>
      <c r="G53" s="65">
        <v>7.0499999999999993E-2</v>
      </c>
      <c r="H53" s="66">
        <v>4.0599999999999997E-2</v>
      </c>
      <c r="I53" s="56"/>
      <c r="J53" s="57">
        <f t="shared" si="1"/>
        <v>3.2883333333333327E-2</v>
      </c>
      <c r="K53" s="58">
        <f t="shared" si="2"/>
        <v>3.783333333333333E-3</v>
      </c>
      <c r="L53" s="56"/>
      <c r="M53" s="62">
        <f t="shared" si="3"/>
        <v>3.1937499999999994E-2</v>
      </c>
      <c r="N53" s="56">
        <f t="shared" si="4"/>
        <v>2.2664766249999992</v>
      </c>
      <c r="O53" s="58">
        <f t="shared" si="5"/>
        <v>4.5329532499999985</v>
      </c>
      <c r="P53" s="56">
        <f t="shared" si="6"/>
        <v>0.45329532499999986</v>
      </c>
      <c r="Q53" s="57"/>
      <c r="R53" s="56"/>
      <c r="S53" s="58"/>
      <c r="T53" s="56"/>
    </row>
    <row r="54" spans="1:22" ht="14.45" customHeight="1" x14ac:dyDescent="0.25">
      <c r="D54" s="76">
        <f>A36</f>
        <v>10</v>
      </c>
      <c r="E54" s="12" t="s">
        <v>78</v>
      </c>
      <c r="F54" s="12">
        <f>B36</f>
        <v>10</v>
      </c>
      <c r="G54" s="54">
        <v>8.4500000000000006E-2</v>
      </c>
      <c r="H54" s="55">
        <v>3.8399999999999997E-2</v>
      </c>
      <c r="I54" s="56"/>
      <c r="J54" s="57">
        <f t="shared" si="1"/>
        <v>4.6883333333333339E-2</v>
      </c>
      <c r="K54" s="58">
        <f t="shared" si="2"/>
        <v>1.5833333333333324E-3</v>
      </c>
      <c r="L54" s="56"/>
      <c r="M54" s="62">
        <f t="shared" si="3"/>
        <v>4.6487500000000008E-2</v>
      </c>
      <c r="N54" s="56">
        <f t="shared" si="4"/>
        <v>3.2990319250000004</v>
      </c>
      <c r="O54" s="58">
        <f t="shared" si="5"/>
        <v>6.5980638500000008</v>
      </c>
      <c r="P54" s="56">
        <f t="shared" si="6"/>
        <v>0.65980638500000011</v>
      </c>
      <c r="Q54" s="57">
        <f>AVERAGE(P54:P56)</f>
        <v>0.70628911500000002</v>
      </c>
      <c r="R54" s="56">
        <f>STDEV(P54:P56)</f>
        <v>4.1338837140873837E-2</v>
      </c>
      <c r="S54" s="58">
        <f>R54/Q54*100</f>
        <v>5.852962513923754</v>
      </c>
      <c r="T54" s="56"/>
    </row>
    <row r="55" spans="1:22" ht="14.45" customHeight="1" x14ac:dyDescent="0.25">
      <c r="D55" s="77"/>
      <c r="E55" s="17" t="s">
        <v>79</v>
      </c>
      <c r="F55" s="17">
        <f t="shared" ref="F55" si="23">F54</f>
        <v>10</v>
      </c>
      <c r="G55" s="57">
        <v>9.01E-2</v>
      </c>
      <c r="H55" s="58">
        <v>3.85E-2</v>
      </c>
      <c r="I55" s="56"/>
      <c r="J55" s="57">
        <f t="shared" si="1"/>
        <v>5.2483333333333333E-2</v>
      </c>
      <c r="K55" s="58">
        <f t="shared" si="2"/>
        <v>1.6833333333333353E-3</v>
      </c>
      <c r="L55" s="56"/>
      <c r="M55" s="62">
        <f t="shared" si="3"/>
        <v>5.2062499999999998E-2</v>
      </c>
      <c r="N55" s="56">
        <f t="shared" si="4"/>
        <v>3.6946673749999994</v>
      </c>
      <c r="O55" s="58">
        <f t="shared" si="5"/>
        <v>7.3893347499999988</v>
      </c>
      <c r="P55" s="56">
        <f t="shared" si="6"/>
        <v>0.73893347499999984</v>
      </c>
      <c r="Q55" s="57"/>
      <c r="R55" s="56"/>
      <c r="S55" s="58"/>
      <c r="T55" s="56"/>
    </row>
    <row r="56" spans="1:22" ht="14.45" customHeight="1" x14ac:dyDescent="0.25">
      <c r="D56" s="78"/>
      <c r="E56" s="22" t="s">
        <v>80</v>
      </c>
      <c r="F56" s="22">
        <f t="shared" ref="F56" si="24">F54</f>
        <v>10</v>
      </c>
      <c r="G56" s="65">
        <v>8.8800000000000004E-2</v>
      </c>
      <c r="H56" s="66">
        <v>3.8600000000000002E-2</v>
      </c>
      <c r="I56" s="56"/>
      <c r="J56" s="57">
        <f t="shared" si="1"/>
        <v>5.1183333333333338E-2</v>
      </c>
      <c r="K56" s="58">
        <f t="shared" si="2"/>
        <v>1.7833333333333382E-3</v>
      </c>
      <c r="L56" s="56"/>
      <c r="M56" s="62">
        <f t="shared" si="3"/>
        <v>5.0737500000000005E-2</v>
      </c>
      <c r="N56" s="56">
        <f t="shared" si="4"/>
        <v>3.6006374249999999</v>
      </c>
      <c r="O56" s="58">
        <f t="shared" si="5"/>
        <v>7.2012748499999999</v>
      </c>
      <c r="P56" s="56">
        <f t="shared" si="6"/>
        <v>0.72012748500000001</v>
      </c>
      <c r="Q56" s="57"/>
      <c r="R56" s="56"/>
      <c r="S56" s="58"/>
      <c r="T56" s="56"/>
    </row>
    <row r="57" spans="1:22" ht="14.45" customHeight="1" x14ac:dyDescent="0.25">
      <c r="D57" s="76">
        <f>A37</f>
        <v>11</v>
      </c>
      <c r="E57" s="12" t="s">
        <v>81</v>
      </c>
      <c r="F57" s="12">
        <f>B37</f>
        <v>10</v>
      </c>
      <c r="G57" s="54">
        <v>4.1599999999999998E-2</v>
      </c>
      <c r="H57" s="55">
        <v>3.7999999999999999E-2</v>
      </c>
      <c r="I57" s="56"/>
      <c r="J57" s="57">
        <f t="shared" si="1"/>
        <v>3.9833333333333318E-3</v>
      </c>
      <c r="K57" s="58">
        <f t="shared" si="2"/>
        <v>1.1833333333333348E-3</v>
      </c>
      <c r="L57" s="56"/>
      <c r="M57" s="62">
        <f t="shared" si="3"/>
        <v>3.6874999999999981E-3</v>
      </c>
      <c r="N57" s="56">
        <f t="shared" si="4"/>
        <v>0.26168712499999985</v>
      </c>
      <c r="O57" s="58">
        <f t="shared" si="5"/>
        <v>0.52337424999999971</v>
      </c>
      <c r="P57" s="56">
        <f t="shared" si="6"/>
        <v>5.2337424999999972E-2</v>
      </c>
      <c r="Q57" s="57">
        <f>AVERAGE(P57:P59)</f>
        <v>4.9380508333333323E-2</v>
      </c>
      <c r="R57" s="56">
        <f>STDEV(P57:P59)</f>
        <v>3.0177938614877821E-3</v>
      </c>
      <c r="S57" s="58">
        <f>R57/Q57*100</f>
        <v>6.1113057830769248</v>
      </c>
      <c r="T57" s="56"/>
    </row>
    <row r="58" spans="1:22" ht="14.45" customHeight="1" x14ac:dyDescent="0.25">
      <c r="D58" s="77"/>
      <c r="E58" s="17" t="s">
        <v>82</v>
      </c>
      <c r="F58" s="17">
        <f t="shared" ref="F58" si="25">F57</f>
        <v>10</v>
      </c>
      <c r="G58" s="57">
        <v>4.0899999999999999E-2</v>
      </c>
      <c r="H58" s="58">
        <v>3.6900000000000002E-2</v>
      </c>
      <c r="I58" s="56"/>
      <c r="J58" s="57">
        <f t="shared" si="1"/>
        <v>3.2833333333333325E-3</v>
      </c>
      <c r="K58" s="58">
        <f t="shared" si="2"/>
        <v>8.3333333333338033E-5</v>
      </c>
      <c r="L58" s="56"/>
      <c r="M58" s="62">
        <f t="shared" si="3"/>
        <v>3.262499999999998E-3</v>
      </c>
      <c r="N58" s="56">
        <f t="shared" si="4"/>
        <v>0.23152657499999985</v>
      </c>
      <c r="O58" s="58">
        <f t="shared" si="5"/>
        <v>0.46305314999999969</v>
      </c>
      <c r="P58" s="56">
        <f t="shared" si="6"/>
        <v>4.6305314999999972E-2</v>
      </c>
      <c r="Q58" s="57"/>
      <c r="R58" s="56"/>
      <c r="S58" s="58"/>
      <c r="T58" s="56"/>
    </row>
    <row r="59" spans="1:22" ht="14.45" customHeight="1" x14ac:dyDescent="0.25">
      <c r="D59" s="78"/>
      <c r="E59" s="22" t="s">
        <v>83</v>
      </c>
      <c r="F59" s="22">
        <f t="shared" ref="F59" si="26">F57</f>
        <v>10</v>
      </c>
      <c r="G59" s="65">
        <v>4.1000000000000002E-2</v>
      </c>
      <c r="H59" s="66">
        <v>3.6400000000000002E-2</v>
      </c>
      <c r="I59" s="56"/>
      <c r="J59" s="57">
        <f t="shared" si="1"/>
        <v>3.3833333333333354E-3</v>
      </c>
      <c r="K59" s="58">
        <f t="shared" si="2"/>
        <v>-4.1666666666666241E-4</v>
      </c>
      <c r="L59" s="56"/>
      <c r="M59" s="62">
        <f t="shared" si="3"/>
        <v>3.487500000000001E-3</v>
      </c>
      <c r="N59" s="56">
        <f t="shared" si="4"/>
        <v>0.24749392500000006</v>
      </c>
      <c r="O59" s="58">
        <f t="shared" si="5"/>
        <v>0.49498785000000012</v>
      </c>
      <c r="P59" s="56">
        <f t="shared" si="6"/>
        <v>4.949878500000001E-2</v>
      </c>
      <c r="Q59" s="57"/>
      <c r="R59" s="56"/>
      <c r="S59" s="58"/>
      <c r="T59" s="56"/>
    </row>
    <row r="60" spans="1:22" ht="14.45" customHeight="1" x14ac:dyDescent="0.25">
      <c r="D60" s="76">
        <f>A38</f>
        <v>12</v>
      </c>
      <c r="E60" s="12" t="s">
        <v>84</v>
      </c>
      <c r="F60" s="12">
        <f>B38</f>
        <v>10</v>
      </c>
      <c r="G60" s="54">
        <v>5.7799999999999997E-2</v>
      </c>
      <c r="H60" s="55">
        <v>4.0599999999999997E-2</v>
      </c>
      <c r="I60" s="56"/>
      <c r="J60" s="57">
        <f t="shared" si="1"/>
        <v>2.0183333333333331E-2</v>
      </c>
      <c r="K60" s="58">
        <f t="shared" si="2"/>
        <v>3.783333333333333E-3</v>
      </c>
      <c r="L60" s="56"/>
      <c r="M60" s="62">
        <f t="shared" si="3"/>
        <v>1.9237499999999998E-2</v>
      </c>
      <c r="N60" s="56">
        <f t="shared" si="4"/>
        <v>1.3652084249999996</v>
      </c>
      <c r="O60" s="58">
        <f t="shared" si="5"/>
        <v>2.7304168499999992</v>
      </c>
      <c r="P60" s="56">
        <f t="shared" si="6"/>
        <v>0.27304168499999992</v>
      </c>
      <c r="Q60" s="57">
        <f>AVERAGE(P60:P62)</f>
        <v>0.3050946616666666</v>
      </c>
      <c r="R60" s="56">
        <f>STDEV(P60:P62)</f>
        <v>3.2848775727302729E-2</v>
      </c>
      <c r="S60" s="58">
        <f>R60/Q60*100</f>
        <v>10.766748768351739</v>
      </c>
      <c r="T60" s="56"/>
    </row>
    <row r="61" spans="1:22" ht="14.45" customHeight="1" x14ac:dyDescent="0.25">
      <c r="D61" s="77"/>
      <c r="E61" s="17" t="s">
        <v>85</v>
      </c>
      <c r="F61" s="17">
        <f t="shared" ref="F61" si="27">F60</f>
        <v>10</v>
      </c>
      <c r="G61" s="57">
        <v>6.3399999999999998E-2</v>
      </c>
      <c r="H61" s="58">
        <v>4.4499999999999998E-2</v>
      </c>
      <c r="I61" s="56"/>
      <c r="J61" s="57">
        <f t="shared" si="1"/>
        <v>2.5783333333333332E-2</v>
      </c>
      <c r="K61" s="58">
        <f t="shared" si="2"/>
        <v>7.6833333333333337E-3</v>
      </c>
      <c r="L61" s="56"/>
      <c r="M61" s="62">
        <f t="shared" si="3"/>
        <v>2.3862499999999998E-2</v>
      </c>
      <c r="N61" s="56">
        <f t="shared" si="4"/>
        <v>1.6934261749999997</v>
      </c>
      <c r="O61" s="58">
        <f t="shared" si="5"/>
        <v>3.3868523499999994</v>
      </c>
      <c r="P61" s="56">
        <f t="shared" si="6"/>
        <v>0.33868523499999992</v>
      </c>
      <c r="Q61" s="57"/>
      <c r="R61" s="56"/>
      <c r="S61" s="58"/>
      <c r="T61" s="56"/>
    </row>
    <row r="62" spans="1:22" ht="14.45" customHeight="1" x14ac:dyDescent="0.25">
      <c r="D62" s="78"/>
      <c r="E62" s="22" t="s">
        <v>86</v>
      </c>
      <c r="F62" s="22">
        <f t="shared" ref="F62" si="28">F60</f>
        <v>10</v>
      </c>
      <c r="G62" s="65">
        <v>6.0199999999999997E-2</v>
      </c>
      <c r="H62" s="66">
        <v>4.1599999999999998E-2</v>
      </c>
      <c r="I62" s="56"/>
      <c r="J62" s="57">
        <f t="shared" si="1"/>
        <v>2.258333333333333E-2</v>
      </c>
      <c r="K62" s="58">
        <f t="shared" si="2"/>
        <v>4.7833333333333339E-3</v>
      </c>
      <c r="L62" s="56"/>
      <c r="M62" s="62">
        <f t="shared" si="3"/>
        <v>2.1387499999999997E-2</v>
      </c>
      <c r="N62" s="56">
        <f t="shared" si="4"/>
        <v>1.5177853249999997</v>
      </c>
      <c r="O62" s="58">
        <f t="shared" si="5"/>
        <v>3.0355706499999995</v>
      </c>
      <c r="P62" s="56">
        <f t="shared" si="6"/>
        <v>0.30355706499999996</v>
      </c>
      <c r="Q62" s="57"/>
      <c r="R62" s="56"/>
      <c r="S62" s="58"/>
      <c r="T62" s="56"/>
    </row>
    <row r="63" spans="1:22" ht="14.45" customHeight="1" x14ac:dyDescent="0.25">
      <c r="D63" s="76">
        <f>A39</f>
        <v>13</v>
      </c>
      <c r="E63" s="12" t="s">
        <v>87</v>
      </c>
      <c r="F63" s="12">
        <f>B39</f>
        <v>10</v>
      </c>
      <c r="G63" s="54">
        <v>3.95E-2</v>
      </c>
      <c r="H63" s="55">
        <v>3.6900000000000002E-2</v>
      </c>
      <c r="I63" s="56"/>
      <c r="J63" s="57">
        <f t="shared" si="1"/>
        <v>1.8833333333333341E-3</v>
      </c>
      <c r="K63" s="58">
        <f t="shared" si="2"/>
        <v>8.3333333333338033E-5</v>
      </c>
      <c r="L63" s="56"/>
      <c r="M63" s="62">
        <f t="shared" si="3"/>
        <v>1.8624999999999996E-3</v>
      </c>
      <c r="N63" s="56">
        <f t="shared" si="4"/>
        <v>0.13217417499999995</v>
      </c>
      <c r="O63" s="58">
        <f t="shared" si="5"/>
        <v>0.2643483499999999</v>
      </c>
      <c r="P63" s="56">
        <f t="shared" si="6"/>
        <v>2.643483499999999E-2</v>
      </c>
      <c r="Q63" s="57">
        <f>AVERAGE(P63:P65)</f>
        <v>4.1219418333333355E-2</v>
      </c>
      <c r="R63" s="56">
        <f>STDEV(P63:P65)</f>
        <v>1.609823210746552E-2</v>
      </c>
      <c r="S63" s="58">
        <f>R63/Q63*100</f>
        <v>39.054971560448216</v>
      </c>
      <c r="T63" s="56"/>
    </row>
    <row r="64" spans="1:22" ht="14.45" customHeight="1" x14ac:dyDescent="0.25">
      <c r="D64" s="77"/>
      <c r="E64" s="17" t="s">
        <v>88</v>
      </c>
      <c r="F64" s="17">
        <f t="shared" ref="F64" si="29">F63</f>
        <v>10</v>
      </c>
      <c r="G64" s="57">
        <v>4.1500000000000002E-2</v>
      </c>
      <c r="H64" s="58">
        <v>4.1399999999999999E-2</v>
      </c>
      <c r="I64" s="56"/>
      <c r="J64" s="57">
        <f t="shared" si="1"/>
        <v>3.8833333333333359E-3</v>
      </c>
      <c r="K64" s="58">
        <f t="shared" si="2"/>
        <v>4.5833333333333351E-3</v>
      </c>
      <c r="L64" s="56"/>
      <c r="M64" s="62">
        <f t="shared" si="3"/>
        <v>2.7375000000000021E-3</v>
      </c>
      <c r="N64" s="56">
        <f t="shared" si="4"/>
        <v>0.19426942500000013</v>
      </c>
      <c r="O64" s="58">
        <f t="shared" si="5"/>
        <v>0.38853885000000027</v>
      </c>
      <c r="P64" s="56">
        <f t="shared" si="6"/>
        <v>3.8853885000000025E-2</v>
      </c>
      <c r="Q64" s="57"/>
      <c r="R64" s="56"/>
      <c r="S64" s="58"/>
      <c r="T64" s="56"/>
    </row>
    <row r="65" spans="4:20" ht="14.45" customHeight="1" x14ac:dyDescent="0.25">
      <c r="D65" s="78"/>
      <c r="E65" s="22" t="s">
        <v>89</v>
      </c>
      <c r="F65" s="22">
        <f t="shared" ref="F65" si="30">F63</f>
        <v>10</v>
      </c>
      <c r="G65" s="65">
        <v>4.2500000000000003E-2</v>
      </c>
      <c r="H65" s="66">
        <v>3.9899999999999998E-2</v>
      </c>
      <c r="I65" s="56"/>
      <c r="J65" s="57">
        <f t="shared" si="1"/>
        <v>4.8833333333333367E-3</v>
      </c>
      <c r="K65" s="58">
        <f t="shared" si="2"/>
        <v>3.0833333333333338E-3</v>
      </c>
      <c r="L65" s="56"/>
      <c r="M65" s="62">
        <f t="shared" si="3"/>
        <v>4.1125000000000033E-3</v>
      </c>
      <c r="N65" s="56">
        <f t="shared" si="4"/>
        <v>0.2918476750000002</v>
      </c>
      <c r="O65" s="58">
        <f t="shared" si="5"/>
        <v>0.58369535000000039</v>
      </c>
      <c r="P65" s="56">
        <f t="shared" si="6"/>
        <v>5.8369535000000042E-2</v>
      </c>
      <c r="Q65" s="57"/>
      <c r="R65" s="56"/>
      <c r="S65" s="58"/>
      <c r="T65" s="56"/>
    </row>
    <row r="66" spans="4:20" ht="14.45" customHeight="1" x14ac:dyDescent="0.25">
      <c r="D66" s="76">
        <f>A40</f>
        <v>14</v>
      </c>
      <c r="E66" s="12" t="s">
        <v>90</v>
      </c>
      <c r="F66" s="12">
        <f>B40</f>
        <v>10</v>
      </c>
      <c r="G66" s="54">
        <v>5.79E-2</v>
      </c>
      <c r="H66" s="55">
        <v>4.19E-2</v>
      </c>
      <c r="I66" s="56"/>
      <c r="J66" s="57">
        <f t="shared" si="1"/>
        <v>2.0283333333333334E-2</v>
      </c>
      <c r="K66" s="58">
        <f t="shared" si="2"/>
        <v>5.0833333333333355E-3</v>
      </c>
      <c r="L66" s="56"/>
      <c r="M66" s="62">
        <f t="shared" si="3"/>
        <v>1.9012500000000002E-2</v>
      </c>
      <c r="N66" s="56">
        <f t="shared" si="4"/>
        <v>1.3492410749999999</v>
      </c>
      <c r="O66" s="58">
        <f t="shared" si="5"/>
        <v>2.6984821499999998</v>
      </c>
      <c r="P66" s="56">
        <f t="shared" si="6"/>
        <v>0.269848215</v>
      </c>
      <c r="Q66" s="57">
        <f>AVERAGE(P66:P68)</f>
        <v>0.25648295166666663</v>
      </c>
      <c r="R66" s="56">
        <f>STDEV(P66:P68)</f>
        <v>1.1876650052840406E-2</v>
      </c>
      <c r="S66" s="58">
        <f>R66/Q66*100</f>
        <v>4.6305806977282753</v>
      </c>
      <c r="T66" s="56"/>
    </row>
    <row r="67" spans="4:20" ht="14.45" customHeight="1" x14ac:dyDescent="0.25">
      <c r="D67" s="77"/>
      <c r="E67" s="17" t="s">
        <v>91</v>
      </c>
      <c r="F67" s="17">
        <f t="shared" ref="F67" si="31">F66</f>
        <v>10</v>
      </c>
      <c r="G67" s="57">
        <v>5.6099999999999997E-2</v>
      </c>
      <c r="H67" s="58">
        <v>4.1099999999999998E-2</v>
      </c>
      <c r="I67" s="56"/>
      <c r="J67" s="57">
        <f t="shared" si="1"/>
        <v>1.8483333333333331E-2</v>
      </c>
      <c r="K67" s="58">
        <f t="shared" si="2"/>
        <v>4.2833333333333334E-3</v>
      </c>
      <c r="L67" s="56"/>
      <c r="M67" s="62">
        <f t="shared" si="3"/>
        <v>1.7412499999999997E-2</v>
      </c>
      <c r="N67" s="56">
        <f t="shared" si="4"/>
        <v>1.2356954749999998</v>
      </c>
      <c r="O67" s="58">
        <f t="shared" si="5"/>
        <v>2.4713909499999995</v>
      </c>
      <c r="P67" s="56">
        <f t="shared" si="6"/>
        <v>0.24713909499999995</v>
      </c>
      <c r="Q67" s="57"/>
      <c r="R67" s="56"/>
      <c r="S67" s="58"/>
      <c r="T67" s="56"/>
    </row>
    <row r="68" spans="4:20" ht="14.45" customHeight="1" x14ac:dyDescent="0.25">
      <c r="D68" s="78"/>
      <c r="E68" s="22" t="s">
        <v>92</v>
      </c>
      <c r="F68" s="22">
        <f t="shared" ref="F68" si="32">F66</f>
        <v>10</v>
      </c>
      <c r="G68" s="65">
        <v>5.7200000000000001E-2</v>
      </c>
      <c r="H68" s="66">
        <v>4.3999999999999997E-2</v>
      </c>
      <c r="I68" s="56"/>
      <c r="J68" s="57">
        <f t="shared" si="1"/>
        <v>1.9583333333333335E-2</v>
      </c>
      <c r="K68" s="58">
        <f t="shared" si="2"/>
        <v>7.1833333333333332E-3</v>
      </c>
      <c r="L68" s="56"/>
      <c r="M68" s="62">
        <f t="shared" si="3"/>
        <v>1.7787500000000001E-2</v>
      </c>
      <c r="N68" s="56">
        <f t="shared" si="4"/>
        <v>1.2623077249999999</v>
      </c>
      <c r="O68" s="58">
        <f t="shared" si="5"/>
        <v>2.5246154499999998</v>
      </c>
      <c r="P68" s="56">
        <f t="shared" si="6"/>
        <v>0.25246154499999995</v>
      </c>
      <c r="Q68" s="57"/>
      <c r="R68" s="56"/>
      <c r="S68" s="58"/>
      <c r="T68" s="56"/>
    </row>
    <row r="69" spans="4:20" ht="14.45" customHeight="1" x14ac:dyDescent="0.25">
      <c r="D69" s="76">
        <f>A41</f>
        <v>15</v>
      </c>
      <c r="E69" s="12" t="s">
        <v>93</v>
      </c>
      <c r="F69" s="12">
        <f>B41</f>
        <v>10</v>
      </c>
      <c r="G69" s="54">
        <v>0.23100000000000001</v>
      </c>
      <c r="H69" s="55">
        <v>3.6799999999999999E-2</v>
      </c>
      <c r="I69" s="56"/>
      <c r="J69" s="57">
        <f t="shared" si="1"/>
        <v>0.19338333333333335</v>
      </c>
      <c r="K69" s="58">
        <f t="shared" si="2"/>
        <v>-1.6666666666664831E-5</v>
      </c>
      <c r="L69" s="56"/>
      <c r="M69" s="62">
        <f t="shared" si="3"/>
        <v>0.19338750000000002</v>
      </c>
      <c r="N69" s="56">
        <f t="shared" si="4"/>
        <v>13.723937325</v>
      </c>
      <c r="O69" s="58">
        <f t="shared" si="5"/>
        <v>27.447874649999999</v>
      </c>
      <c r="P69" s="56">
        <f t="shared" si="6"/>
        <v>2.7447874649999999</v>
      </c>
      <c r="Q69" s="57">
        <f>AVERAGE(P69:P71)</f>
        <v>2.9617068716666659</v>
      </c>
      <c r="R69" s="56">
        <f>STDEV(P69:P71)</f>
        <v>0.18910053344531022</v>
      </c>
      <c r="S69" s="58">
        <f>R69/Q69*100</f>
        <v>6.3848497383164764</v>
      </c>
      <c r="T69" s="56"/>
    </row>
    <row r="70" spans="4:20" ht="14.45" customHeight="1" x14ac:dyDescent="0.25">
      <c r="D70" s="77"/>
      <c r="E70" s="17" t="s">
        <v>94</v>
      </c>
      <c r="F70" s="17">
        <f t="shared" ref="F70" si="33">F69</f>
        <v>10</v>
      </c>
      <c r="G70" s="57">
        <v>0.25629999999999997</v>
      </c>
      <c r="H70" s="58">
        <v>4.02E-2</v>
      </c>
      <c r="I70" s="56"/>
      <c r="J70" s="57">
        <f t="shared" si="1"/>
        <v>0.21868333333333331</v>
      </c>
      <c r="K70" s="58">
        <f t="shared" si="2"/>
        <v>3.3833333333333354E-3</v>
      </c>
      <c r="L70" s="56"/>
      <c r="M70" s="62">
        <f t="shared" si="3"/>
        <v>0.21783749999999999</v>
      </c>
      <c r="N70" s="56">
        <f t="shared" si="4"/>
        <v>15.459056024999997</v>
      </c>
      <c r="O70" s="58">
        <f t="shared" si="5"/>
        <v>30.918112049999994</v>
      </c>
      <c r="P70" s="56">
        <f t="shared" si="6"/>
        <v>3.0918112049999995</v>
      </c>
      <c r="Q70" s="57"/>
      <c r="R70" s="56"/>
      <c r="S70" s="58"/>
      <c r="T70" s="56"/>
    </row>
    <row r="71" spans="4:20" ht="14.45" customHeight="1" x14ac:dyDescent="0.25">
      <c r="D71" s="78"/>
      <c r="E71" s="22" t="s">
        <v>95</v>
      </c>
      <c r="F71" s="22">
        <f t="shared" ref="F71" si="34">F69</f>
        <v>10</v>
      </c>
      <c r="G71" s="65">
        <v>0.25280000000000002</v>
      </c>
      <c r="H71" s="66">
        <v>3.8399999999999997E-2</v>
      </c>
      <c r="I71" s="56"/>
      <c r="J71" s="57">
        <f t="shared" si="1"/>
        <v>0.21518333333333337</v>
      </c>
      <c r="K71" s="58">
        <f t="shared" si="2"/>
        <v>1.5833333333333324E-3</v>
      </c>
      <c r="L71" s="56"/>
      <c r="M71" s="62">
        <f t="shared" si="3"/>
        <v>0.21478750000000002</v>
      </c>
      <c r="N71" s="56">
        <f t="shared" si="4"/>
        <v>15.242609724999999</v>
      </c>
      <c r="O71" s="58">
        <f t="shared" si="5"/>
        <v>30.485219449999999</v>
      </c>
      <c r="P71" s="56">
        <f t="shared" si="6"/>
        <v>3.0485219450000001</v>
      </c>
      <c r="Q71" s="57"/>
      <c r="R71" s="56"/>
      <c r="S71" s="58"/>
      <c r="T71" s="56"/>
    </row>
    <row r="72" spans="4:20" ht="14.45" customHeight="1" x14ac:dyDescent="0.25">
      <c r="D72" s="76">
        <f>A42</f>
        <v>16</v>
      </c>
      <c r="E72" s="12" t="s">
        <v>96</v>
      </c>
      <c r="F72" s="12">
        <f>B42</f>
        <v>10</v>
      </c>
      <c r="G72" s="54">
        <v>3.9699999999999999E-2</v>
      </c>
      <c r="H72" s="55">
        <v>3.7199999999999997E-2</v>
      </c>
      <c r="I72" s="56"/>
      <c r="J72" s="57">
        <f t="shared" si="1"/>
        <v>2.0833333333333329E-3</v>
      </c>
      <c r="K72" s="58">
        <f t="shared" si="2"/>
        <v>3.8333333333333275E-4</v>
      </c>
      <c r="L72" s="56"/>
      <c r="M72" s="62">
        <f t="shared" si="3"/>
        <v>1.9874999999999997E-3</v>
      </c>
      <c r="N72" s="56">
        <f t="shared" si="4"/>
        <v>0.14104492499999996</v>
      </c>
      <c r="O72" s="58">
        <f t="shared" si="5"/>
        <v>0.28208984999999992</v>
      </c>
      <c r="P72" s="56">
        <f t="shared" si="6"/>
        <v>2.8208984999999992E-2</v>
      </c>
      <c r="Q72" s="57">
        <f>AVERAGE(P72:P74)</f>
        <v>4.7724634999999967E-2</v>
      </c>
      <c r="R72" s="56">
        <f>STDEV(P72:P74)</f>
        <v>1.6901979832969257E-2</v>
      </c>
      <c r="S72" s="58">
        <f>R72/Q72*100</f>
        <v>35.415629334764468</v>
      </c>
      <c r="T72" s="56"/>
    </row>
    <row r="73" spans="4:20" ht="14.45" customHeight="1" x14ac:dyDescent="0.25">
      <c r="D73" s="77"/>
      <c r="E73" s="17" t="s">
        <v>97</v>
      </c>
      <c r="F73" s="17">
        <f t="shared" ref="F73" si="35">F72</f>
        <v>10</v>
      </c>
      <c r="G73" s="57">
        <v>4.2299999999999997E-2</v>
      </c>
      <c r="H73" s="58">
        <v>3.9300000000000002E-2</v>
      </c>
      <c r="I73" s="56"/>
      <c r="J73" s="57">
        <f t="shared" si="1"/>
        <v>4.683333333333331E-3</v>
      </c>
      <c r="K73" s="58">
        <f t="shared" si="2"/>
        <v>2.4833333333333374E-3</v>
      </c>
      <c r="L73" s="56"/>
      <c r="M73" s="62">
        <f t="shared" si="3"/>
        <v>4.0624999999999967E-3</v>
      </c>
      <c r="N73" s="56">
        <f t="shared" si="4"/>
        <v>0.28829937499999975</v>
      </c>
      <c r="O73" s="58">
        <f t="shared" si="5"/>
        <v>0.57659874999999949</v>
      </c>
      <c r="P73" s="56">
        <f t="shared" si="6"/>
        <v>5.7659874999999951E-2</v>
      </c>
      <c r="Q73" s="57"/>
      <c r="R73" s="56"/>
      <c r="S73" s="58"/>
      <c r="T73" s="56"/>
    </row>
    <row r="74" spans="4:20" ht="14.45" customHeight="1" x14ac:dyDescent="0.25">
      <c r="D74" s="78"/>
      <c r="E74" s="22" t="s">
        <v>98</v>
      </c>
      <c r="F74" s="22">
        <f t="shared" ref="F74" si="36">F72</f>
        <v>10</v>
      </c>
      <c r="G74" s="65">
        <v>4.2299999999999997E-2</v>
      </c>
      <c r="H74" s="66">
        <v>3.9399999999999998E-2</v>
      </c>
      <c r="I74" s="56"/>
      <c r="J74" s="57">
        <f t="shared" si="1"/>
        <v>4.683333333333331E-3</v>
      </c>
      <c r="K74" s="58">
        <f t="shared" si="2"/>
        <v>2.5833333333333333E-3</v>
      </c>
      <c r="L74" s="56"/>
      <c r="M74" s="62">
        <f t="shared" si="3"/>
        <v>4.0374999999999977E-3</v>
      </c>
      <c r="N74" s="56">
        <f t="shared" si="4"/>
        <v>0.28652522499999983</v>
      </c>
      <c r="O74" s="58">
        <f t="shared" si="5"/>
        <v>0.57305044999999966</v>
      </c>
      <c r="P74" s="56">
        <f t="shared" si="6"/>
        <v>5.7305044999999964E-2</v>
      </c>
      <c r="Q74" s="57"/>
      <c r="R74" s="56"/>
      <c r="S74" s="58"/>
      <c r="T74" s="56"/>
    </row>
    <row r="75" spans="4:20" ht="14.45" customHeight="1" x14ac:dyDescent="0.25">
      <c r="D75" s="76">
        <f>A43</f>
        <v>17</v>
      </c>
      <c r="E75" s="12" t="s">
        <v>99</v>
      </c>
      <c r="F75" s="12">
        <f>B43</f>
        <v>10</v>
      </c>
      <c r="G75" s="54">
        <v>0.21629999999999999</v>
      </c>
      <c r="H75" s="55">
        <v>0.20619999999999999</v>
      </c>
      <c r="I75" s="56"/>
      <c r="J75" s="57">
        <f t="shared" si="1"/>
        <v>0.17868333333333333</v>
      </c>
      <c r="K75" s="58">
        <f t="shared" si="2"/>
        <v>0.16938333333333333</v>
      </c>
      <c r="L75" s="56"/>
      <c r="M75" s="62">
        <f t="shared" si="3"/>
        <v>0.1363375</v>
      </c>
      <c r="N75" s="56">
        <f t="shared" si="4"/>
        <v>9.6753270249999996</v>
      </c>
      <c r="O75" s="58">
        <f t="shared" si="5"/>
        <v>19.350654049999999</v>
      </c>
      <c r="P75" s="56">
        <f t="shared" si="6"/>
        <v>1.935065405</v>
      </c>
      <c r="Q75" s="57">
        <f>AVERAGE(P75:P77)</f>
        <v>0.66063432166666669</v>
      </c>
      <c r="R75" s="56">
        <f>STDEV(P75:P77)</f>
        <v>1.1036903922534884</v>
      </c>
      <c r="S75" s="58">
        <f>R75/Q75*100</f>
        <v>167.06525169159659</v>
      </c>
      <c r="T75" s="56"/>
    </row>
    <row r="76" spans="4:20" ht="14.45" customHeight="1" x14ac:dyDescent="0.25">
      <c r="D76" s="77"/>
      <c r="E76" s="17" t="s">
        <v>100</v>
      </c>
      <c r="F76" s="17">
        <f t="shared" ref="F76" si="37">F75</f>
        <v>10</v>
      </c>
      <c r="G76" s="57">
        <v>3.9300000000000002E-2</v>
      </c>
      <c r="H76" s="58">
        <v>3.73E-2</v>
      </c>
      <c r="I76" s="56"/>
      <c r="J76" s="57">
        <f t="shared" si="1"/>
        <v>1.6833333333333353E-3</v>
      </c>
      <c r="K76" s="58">
        <f t="shared" si="2"/>
        <v>4.8333333333333561E-4</v>
      </c>
      <c r="L76" s="56"/>
      <c r="M76" s="62">
        <f t="shared" si="3"/>
        <v>1.5625000000000014E-3</v>
      </c>
      <c r="N76" s="56">
        <f t="shared" si="4"/>
        <v>0.11088437500000009</v>
      </c>
      <c r="O76" s="58">
        <f t="shared" si="5"/>
        <v>0.22176875000000018</v>
      </c>
      <c r="P76" s="56">
        <f t="shared" si="6"/>
        <v>2.2176875000000019E-2</v>
      </c>
      <c r="Q76" s="57"/>
      <c r="R76" s="56"/>
      <c r="S76" s="58"/>
      <c r="T76" s="56"/>
    </row>
    <row r="77" spans="4:20" ht="14.45" customHeight="1" x14ac:dyDescent="0.25">
      <c r="D77" s="78"/>
      <c r="E77" s="22" t="s">
        <v>101</v>
      </c>
      <c r="F77" s="22">
        <f t="shared" ref="F77" si="38">F75</f>
        <v>10</v>
      </c>
      <c r="G77" s="65">
        <v>3.95E-2</v>
      </c>
      <c r="H77" s="66">
        <v>3.7400000000000003E-2</v>
      </c>
      <c r="I77" s="56"/>
      <c r="J77" s="57">
        <f t="shared" si="1"/>
        <v>1.8833333333333341E-3</v>
      </c>
      <c r="K77" s="58">
        <f t="shared" si="2"/>
        <v>5.8333333333333848E-4</v>
      </c>
      <c r="L77" s="56"/>
      <c r="M77" s="62">
        <f t="shared" si="3"/>
        <v>1.7374999999999995E-3</v>
      </c>
      <c r="N77" s="56">
        <f t="shared" si="4"/>
        <v>0.12330342499999995</v>
      </c>
      <c r="O77" s="58">
        <f t="shared" si="5"/>
        <v>0.24660684999999991</v>
      </c>
      <c r="P77" s="56">
        <f t="shared" si="6"/>
        <v>2.4660684999999991E-2</v>
      </c>
      <c r="Q77" s="57"/>
      <c r="R77" s="56"/>
      <c r="S77" s="58"/>
      <c r="T77" s="56"/>
    </row>
    <row r="78" spans="4:20" ht="14.45" customHeight="1" x14ac:dyDescent="0.25">
      <c r="D78" s="76">
        <f>A44</f>
        <v>18</v>
      </c>
      <c r="E78" s="12" t="s">
        <v>102</v>
      </c>
      <c r="F78" s="12">
        <f>B44</f>
        <v>10</v>
      </c>
      <c r="G78" s="54">
        <v>0.29709999999999998</v>
      </c>
      <c r="H78" s="55">
        <v>3.9699999999999999E-2</v>
      </c>
      <c r="I78" s="56"/>
      <c r="J78" s="57">
        <f t="shared" si="1"/>
        <v>0.25948333333333329</v>
      </c>
      <c r="K78" s="58">
        <f t="shared" si="2"/>
        <v>2.883333333333335E-3</v>
      </c>
      <c r="L78" s="56"/>
      <c r="M78" s="62">
        <f t="shared" si="3"/>
        <v>0.25876249999999995</v>
      </c>
      <c r="N78" s="56">
        <f t="shared" si="4"/>
        <v>18.363339574999994</v>
      </c>
      <c r="O78" s="58">
        <f t="shared" si="5"/>
        <v>36.726679149999988</v>
      </c>
      <c r="P78" s="56">
        <f t="shared" si="6"/>
        <v>3.672667914999999</v>
      </c>
      <c r="Q78" s="57">
        <f>AVERAGE(P78:P80)</f>
        <v>3.8079764216666661</v>
      </c>
      <c r="R78" s="56">
        <f>STDEV(P78:P80)</f>
        <v>0.36190682870343122</v>
      </c>
      <c r="S78" s="58">
        <f>R78/Q78*100</f>
        <v>9.5039146420195717</v>
      </c>
      <c r="T78" s="56"/>
    </row>
    <row r="79" spans="4:20" ht="14.45" customHeight="1" x14ac:dyDescent="0.25">
      <c r="D79" s="77"/>
      <c r="E79" s="17" t="s">
        <v>103</v>
      </c>
      <c r="F79" s="17">
        <f t="shared" ref="F79" si="39">F78</f>
        <v>10</v>
      </c>
      <c r="G79" s="57">
        <v>0.28710000000000002</v>
      </c>
      <c r="H79" s="58">
        <v>3.9E-2</v>
      </c>
      <c r="I79" s="56"/>
      <c r="J79" s="57">
        <f t="shared" si="1"/>
        <v>0.24948333333333336</v>
      </c>
      <c r="K79" s="58">
        <f t="shared" si="2"/>
        <v>2.1833333333333357E-3</v>
      </c>
      <c r="L79" s="56"/>
      <c r="M79" s="62">
        <f t="shared" si="3"/>
        <v>0.24893750000000003</v>
      </c>
      <c r="N79" s="56">
        <f t="shared" si="4"/>
        <v>17.666098625</v>
      </c>
      <c r="O79" s="58">
        <f t="shared" si="5"/>
        <v>35.33219725</v>
      </c>
      <c r="P79" s="56">
        <f t="shared" si="6"/>
        <v>3.5332197249999999</v>
      </c>
      <c r="Q79" s="57"/>
      <c r="R79" s="56"/>
      <c r="S79" s="58"/>
      <c r="T79" s="56"/>
    </row>
    <row r="80" spans="4:20" ht="14.45" customHeight="1" x14ac:dyDescent="0.25">
      <c r="D80" s="78"/>
      <c r="E80" s="22" t="s">
        <v>104</v>
      </c>
      <c r="F80" s="22">
        <f t="shared" ref="F80" si="40">F78</f>
        <v>10</v>
      </c>
      <c r="G80" s="65">
        <v>0.33529999999999999</v>
      </c>
      <c r="H80" s="66">
        <v>3.8800000000000001E-2</v>
      </c>
      <c r="I80" s="56"/>
      <c r="J80" s="57">
        <f t="shared" si="1"/>
        <v>0.2976833333333333</v>
      </c>
      <c r="K80" s="58">
        <f t="shared" si="2"/>
        <v>1.9833333333333369E-3</v>
      </c>
      <c r="L80" s="56"/>
      <c r="M80" s="62">
        <f t="shared" si="3"/>
        <v>0.29718749999999994</v>
      </c>
      <c r="N80" s="56">
        <f t="shared" si="4"/>
        <v>21.090208124999993</v>
      </c>
      <c r="O80" s="58">
        <f t="shared" si="5"/>
        <v>42.180416249999986</v>
      </c>
      <c r="P80" s="56">
        <f t="shared" si="6"/>
        <v>4.2180416249999988</v>
      </c>
      <c r="Q80" s="57"/>
      <c r="R80" s="56"/>
      <c r="S80" s="58"/>
      <c r="T80" s="56"/>
    </row>
    <row r="81" spans="4:20" ht="14.45" customHeight="1" x14ac:dyDescent="0.25">
      <c r="D81" s="76">
        <f>A45</f>
        <v>19</v>
      </c>
      <c r="E81" s="12" t="s">
        <v>105</v>
      </c>
      <c r="F81" s="12">
        <f>B45</f>
        <v>10</v>
      </c>
      <c r="G81" s="54">
        <v>5.3499999999999999E-2</v>
      </c>
      <c r="H81" s="55">
        <v>3.6799999999999999E-2</v>
      </c>
      <c r="I81" s="56"/>
      <c r="J81" s="57">
        <f t="shared" si="1"/>
        <v>1.5883333333333333E-2</v>
      </c>
      <c r="K81" s="58">
        <f t="shared" si="2"/>
        <v>-1.6666666666664831E-5</v>
      </c>
      <c r="L81" s="56"/>
      <c r="M81" s="62">
        <f t="shared" si="3"/>
        <v>1.5887499999999999E-2</v>
      </c>
      <c r="N81" s="56">
        <f t="shared" si="4"/>
        <v>1.1274723249999998</v>
      </c>
      <c r="O81" s="58">
        <f t="shared" si="5"/>
        <v>2.2549446499999997</v>
      </c>
      <c r="P81" s="56">
        <f t="shared" si="6"/>
        <v>0.22549446499999998</v>
      </c>
      <c r="Q81" s="57">
        <f>AVERAGE(P81:P83)</f>
        <v>0.24027904833333333</v>
      </c>
      <c r="R81" s="56">
        <f>STDEV(P81:P83)</f>
        <v>1.4230113456358448E-2</v>
      </c>
      <c r="S81" s="58">
        <f>R81/Q81*100</f>
        <v>5.9223280411104984</v>
      </c>
      <c r="T81" s="56"/>
    </row>
    <row r="82" spans="4:20" ht="14.45" customHeight="1" x14ac:dyDescent="0.25">
      <c r="D82" s="77"/>
      <c r="E82" s="17" t="s">
        <v>106</v>
      </c>
      <c r="F82" s="17">
        <f t="shared" ref="F82" si="41">F81</f>
        <v>10</v>
      </c>
      <c r="G82" s="57">
        <v>5.4600000000000003E-2</v>
      </c>
      <c r="H82" s="58">
        <v>3.6700000000000003E-2</v>
      </c>
      <c r="I82" s="56"/>
      <c r="J82" s="57">
        <f t="shared" si="1"/>
        <v>1.6983333333333336E-2</v>
      </c>
      <c r="K82" s="58">
        <f t="shared" si="2"/>
        <v>-1.1666666666666076E-4</v>
      </c>
      <c r="L82" s="56"/>
      <c r="M82" s="62">
        <f t="shared" si="3"/>
        <v>1.70125E-2</v>
      </c>
      <c r="N82" s="56">
        <f t="shared" si="4"/>
        <v>1.207309075</v>
      </c>
      <c r="O82" s="58">
        <f t="shared" si="5"/>
        <v>2.4146181499999999</v>
      </c>
      <c r="P82" s="56">
        <f t="shared" si="6"/>
        <v>0.241461815</v>
      </c>
      <c r="Q82" s="57"/>
      <c r="R82" s="56"/>
      <c r="S82" s="58"/>
      <c r="T82" s="56"/>
    </row>
    <row r="83" spans="4:20" ht="14.45" customHeight="1" x14ac:dyDescent="0.25">
      <c r="D83" s="78"/>
      <c r="E83" s="22" t="s">
        <v>107</v>
      </c>
      <c r="F83" s="22">
        <f t="shared" ref="F83" si="42">F81</f>
        <v>10</v>
      </c>
      <c r="G83" s="65">
        <v>5.5500000000000001E-2</v>
      </c>
      <c r="H83" s="66">
        <v>3.6799999999999999E-2</v>
      </c>
      <c r="I83" s="56"/>
      <c r="J83" s="57">
        <f t="shared" si="1"/>
        <v>1.7883333333333334E-2</v>
      </c>
      <c r="K83" s="58">
        <f t="shared" si="2"/>
        <v>-1.6666666666664831E-5</v>
      </c>
      <c r="L83" s="56"/>
      <c r="M83" s="62">
        <f t="shared" si="3"/>
        <v>1.7887500000000001E-2</v>
      </c>
      <c r="N83" s="56">
        <f t="shared" si="4"/>
        <v>1.269404325</v>
      </c>
      <c r="O83" s="58">
        <f t="shared" si="5"/>
        <v>2.53880865</v>
      </c>
      <c r="P83" s="56">
        <f t="shared" si="6"/>
        <v>0.25388086500000001</v>
      </c>
      <c r="Q83" s="57"/>
      <c r="R83" s="56"/>
      <c r="S83" s="58"/>
      <c r="T83" s="56"/>
    </row>
    <row r="84" spans="4:20" ht="14.45" customHeight="1" x14ac:dyDescent="0.25">
      <c r="D84" s="76">
        <f>A46</f>
        <v>20</v>
      </c>
      <c r="E84" s="12" t="s">
        <v>108</v>
      </c>
      <c r="F84" s="12">
        <f>B46</f>
        <v>10</v>
      </c>
      <c r="G84" s="54">
        <v>0.31030000000000002</v>
      </c>
      <c r="H84" s="55">
        <v>4.2099999999999999E-2</v>
      </c>
      <c r="I84" s="56"/>
      <c r="J84" s="57">
        <f t="shared" si="1"/>
        <v>0.27268333333333333</v>
      </c>
      <c r="K84" s="58">
        <f t="shared" si="2"/>
        <v>5.2833333333333343E-3</v>
      </c>
      <c r="L84" s="56"/>
      <c r="M84" s="62">
        <f t="shared" si="3"/>
        <v>0.27136250000000001</v>
      </c>
      <c r="N84" s="56">
        <f t="shared" si="4"/>
        <v>19.257511174999998</v>
      </c>
      <c r="O84" s="58">
        <f t="shared" si="5"/>
        <v>38.515022349999995</v>
      </c>
      <c r="P84" s="56">
        <f t="shared" si="6"/>
        <v>3.8515022349999994</v>
      </c>
      <c r="Q84" s="57">
        <f>AVERAGE(P84:P86)</f>
        <v>4.1141947116666664</v>
      </c>
      <c r="R84" s="56">
        <f>STDEV(P84:P86)</f>
        <v>0.22844338261925753</v>
      </c>
      <c r="S84" s="58">
        <f>R84/Q84*100</f>
        <v>5.552566143052446</v>
      </c>
      <c r="T84" s="56"/>
    </row>
    <row r="85" spans="4:20" ht="14.45" customHeight="1" x14ac:dyDescent="0.25">
      <c r="D85" s="77"/>
      <c r="E85" s="17" t="s">
        <v>109</v>
      </c>
      <c r="F85" s="17">
        <f t="shared" ref="F85" si="43">F84</f>
        <v>10</v>
      </c>
      <c r="G85" s="57">
        <v>0.33700000000000002</v>
      </c>
      <c r="H85" s="58">
        <v>4.3700000000000003E-2</v>
      </c>
      <c r="I85" s="56"/>
      <c r="J85" s="57">
        <f t="shared" si="1"/>
        <v>0.29938333333333333</v>
      </c>
      <c r="K85" s="58">
        <f t="shared" si="2"/>
        <v>6.8833333333333385E-3</v>
      </c>
      <c r="L85" s="56"/>
      <c r="M85" s="62">
        <f t="shared" si="3"/>
        <v>0.2976625</v>
      </c>
      <c r="N85" s="56">
        <f t="shared" si="4"/>
        <v>21.123916974999997</v>
      </c>
      <c r="O85" s="58">
        <f t="shared" si="5"/>
        <v>42.247833949999993</v>
      </c>
      <c r="P85" s="56">
        <f t="shared" si="6"/>
        <v>4.2247833949999993</v>
      </c>
      <c r="Q85" s="57"/>
      <c r="R85" s="56"/>
      <c r="S85" s="58"/>
      <c r="T85" s="56"/>
    </row>
    <row r="86" spans="4:20" ht="14.45" customHeight="1" x14ac:dyDescent="0.25">
      <c r="D86" s="78"/>
      <c r="E86" s="22" t="s">
        <v>110</v>
      </c>
      <c r="F86" s="22">
        <f t="shared" ref="F86" si="44">F84</f>
        <v>10</v>
      </c>
      <c r="G86" s="65">
        <v>0.34010000000000001</v>
      </c>
      <c r="H86" s="66">
        <v>4.4400000000000002E-2</v>
      </c>
      <c r="I86" s="56"/>
      <c r="J86" s="57">
        <f t="shared" si="1"/>
        <v>0.30248333333333333</v>
      </c>
      <c r="K86" s="58">
        <f t="shared" si="2"/>
        <v>7.5833333333333378E-3</v>
      </c>
      <c r="L86" s="56"/>
      <c r="M86" s="62">
        <f t="shared" si="3"/>
        <v>0.30058750000000001</v>
      </c>
      <c r="N86" s="56">
        <f t="shared" si="4"/>
        <v>21.331492524999998</v>
      </c>
      <c r="O86" s="58">
        <f t="shared" si="5"/>
        <v>42.662985049999996</v>
      </c>
      <c r="P86" s="56">
        <f t="shared" si="6"/>
        <v>4.266298505</v>
      </c>
      <c r="Q86" s="57"/>
      <c r="R86" s="56"/>
      <c r="S86" s="58"/>
      <c r="T86" s="56"/>
    </row>
    <row r="87" spans="4:20" ht="14.45" customHeight="1" x14ac:dyDescent="0.25">
      <c r="D87" s="76">
        <f>A47</f>
        <v>21</v>
      </c>
      <c r="E87" s="12" t="s">
        <v>111</v>
      </c>
      <c r="F87" s="12">
        <f>B47</f>
        <v>10</v>
      </c>
      <c r="G87" s="54">
        <v>0.4572</v>
      </c>
      <c r="H87" s="55">
        <v>3.6799999999999999E-2</v>
      </c>
      <c r="I87" s="56"/>
      <c r="J87" s="57">
        <f t="shared" si="1"/>
        <v>0.41958333333333331</v>
      </c>
      <c r="K87" s="58">
        <f t="shared" si="2"/>
        <v>-1.6666666666664831E-5</v>
      </c>
      <c r="L87" s="56"/>
      <c r="M87" s="62">
        <f t="shared" si="3"/>
        <v>0.4195875</v>
      </c>
      <c r="N87" s="56">
        <f t="shared" si="4"/>
        <v>29.776446524999997</v>
      </c>
      <c r="O87" s="58">
        <f t="shared" si="5"/>
        <v>59.552893049999994</v>
      </c>
      <c r="P87" s="56">
        <f t="shared" si="6"/>
        <v>5.9552893049999991</v>
      </c>
      <c r="Q87" s="57">
        <f>AVERAGE(P87:P89)</f>
        <v>6.2883563983333319</v>
      </c>
      <c r="R87" s="56">
        <f>STDEV(P87:P89)</f>
        <v>0.29468441017696639</v>
      </c>
      <c r="S87" s="58">
        <f>R87/Q87*100</f>
        <v>4.6861912956312342</v>
      </c>
      <c r="T87" s="56"/>
    </row>
    <row r="88" spans="4:20" ht="14.45" customHeight="1" x14ac:dyDescent="0.25">
      <c r="D88" s="77"/>
      <c r="E88" s="17" t="s">
        <v>112</v>
      </c>
      <c r="F88" s="17">
        <f t="shared" ref="F88:F97" si="45">F87</f>
        <v>10</v>
      </c>
      <c r="G88" s="57">
        <v>0.49730000000000002</v>
      </c>
      <c r="H88" s="58">
        <v>3.9399999999999998E-2</v>
      </c>
      <c r="I88" s="56"/>
      <c r="J88" s="57">
        <f t="shared" si="1"/>
        <v>0.45968333333333333</v>
      </c>
      <c r="K88" s="58">
        <f t="shared" si="2"/>
        <v>2.5833333333333333E-3</v>
      </c>
      <c r="L88" s="56"/>
      <c r="M88" s="62">
        <f t="shared" si="3"/>
        <v>0.45903749999999999</v>
      </c>
      <c r="N88" s="56">
        <f t="shared" si="4"/>
        <v>32.576055224999998</v>
      </c>
      <c r="O88" s="58">
        <f t="shared" si="5"/>
        <v>65.152110449999995</v>
      </c>
      <c r="P88" s="56">
        <f t="shared" si="6"/>
        <v>6.5152110449999991</v>
      </c>
      <c r="Q88" s="57"/>
      <c r="R88" s="56"/>
      <c r="S88" s="58"/>
      <c r="T88" s="56"/>
    </row>
    <row r="89" spans="4:20" ht="14.45" customHeight="1" x14ac:dyDescent="0.25">
      <c r="D89" s="78"/>
      <c r="E89" s="22" t="s">
        <v>113</v>
      </c>
      <c r="F89" s="22">
        <f t="shared" ref="F89:F98" si="46">F87</f>
        <v>10</v>
      </c>
      <c r="G89" s="65">
        <v>0.4884</v>
      </c>
      <c r="H89" s="66">
        <v>3.78E-2</v>
      </c>
      <c r="I89" s="56"/>
      <c r="J89" s="57">
        <f t="shared" si="1"/>
        <v>0.45078333333333331</v>
      </c>
      <c r="K89" s="58">
        <f t="shared" si="2"/>
        <v>9.8333333333333606E-4</v>
      </c>
      <c r="L89" s="56"/>
      <c r="M89" s="62">
        <f t="shared" si="3"/>
        <v>0.45053749999999998</v>
      </c>
      <c r="N89" s="56">
        <f t="shared" si="4"/>
        <v>31.972844224999996</v>
      </c>
      <c r="O89" s="58">
        <f t="shared" si="5"/>
        <v>63.945688449999992</v>
      </c>
      <c r="P89" s="56">
        <f t="shared" si="6"/>
        <v>6.3945688449999993</v>
      </c>
      <c r="Q89" s="57"/>
      <c r="R89" s="56"/>
      <c r="S89" s="58"/>
      <c r="T89" s="56"/>
    </row>
    <row r="90" spans="4:20" ht="14.45" customHeight="1" x14ac:dyDescent="0.25">
      <c r="D90" s="76">
        <f>A48</f>
        <v>22</v>
      </c>
      <c r="E90" s="12" t="s">
        <v>114</v>
      </c>
      <c r="F90" s="12">
        <f>B48</f>
        <v>10</v>
      </c>
      <c r="G90" s="54">
        <v>4.2900000000000001E-2</v>
      </c>
      <c r="H90" s="55">
        <v>3.9E-2</v>
      </c>
      <c r="I90" s="56"/>
      <c r="J90" s="57">
        <f t="shared" si="1"/>
        <v>5.2833333333333343E-3</v>
      </c>
      <c r="K90" s="58">
        <f t="shared" si="2"/>
        <v>2.1833333333333357E-3</v>
      </c>
      <c r="L90" s="56"/>
      <c r="M90" s="62">
        <f t="shared" si="3"/>
        <v>4.7375000000000004E-3</v>
      </c>
      <c r="N90" s="56">
        <f t="shared" si="4"/>
        <v>0.336201425</v>
      </c>
      <c r="O90" s="58">
        <f t="shared" si="5"/>
        <v>0.67240285</v>
      </c>
      <c r="P90" s="56">
        <f t="shared" si="6"/>
        <v>6.7240284999999997E-2</v>
      </c>
      <c r="Q90" s="57">
        <f>AVERAGE(P90:P92)</f>
        <v>7.1616521666666655E-2</v>
      </c>
      <c r="R90" s="56">
        <f>STDEV(P90:P92)</f>
        <v>1.0138042241578745E-2</v>
      </c>
      <c r="S90" s="58">
        <f>R90/Q90*100</f>
        <v>14.15601038090826</v>
      </c>
      <c r="T90" s="56"/>
    </row>
    <row r="91" spans="4:20" ht="14.45" customHeight="1" x14ac:dyDescent="0.25">
      <c r="D91" s="77"/>
      <c r="E91" s="17" t="s">
        <v>115</v>
      </c>
      <c r="F91" s="17">
        <f t="shared" si="45"/>
        <v>10</v>
      </c>
      <c r="G91" s="57">
        <v>4.4400000000000002E-2</v>
      </c>
      <c r="H91" s="58">
        <v>4.0500000000000001E-2</v>
      </c>
      <c r="I91" s="56"/>
      <c r="J91" s="57">
        <f t="shared" ref="J91:J98" si="47">G91-$J$14</f>
        <v>6.7833333333333357E-3</v>
      </c>
      <c r="K91" s="58">
        <f t="shared" ref="K91:K98" si="48">H91-$K$14</f>
        <v>3.6833333333333371E-3</v>
      </c>
      <c r="L91" s="56"/>
      <c r="M91" s="62">
        <f t="shared" si="3"/>
        <v>5.8625000000000014E-3</v>
      </c>
      <c r="N91" s="56">
        <f t="shared" si="4"/>
        <v>0.41603817500000007</v>
      </c>
      <c r="O91" s="58">
        <f t="shared" si="5"/>
        <v>0.83207635000000013</v>
      </c>
      <c r="P91" s="56">
        <f t="shared" si="6"/>
        <v>8.3207635000000016E-2</v>
      </c>
      <c r="Q91" s="57"/>
      <c r="R91" s="56"/>
      <c r="S91" s="58"/>
      <c r="T91" s="56"/>
    </row>
    <row r="92" spans="4:20" ht="14.45" customHeight="1" x14ac:dyDescent="0.25">
      <c r="D92" s="78"/>
      <c r="E92" s="22" t="s">
        <v>116</v>
      </c>
      <c r="F92" s="22">
        <f t="shared" si="46"/>
        <v>10</v>
      </c>
      <c r="G92" s="65">
        <v>4.2799999999999998E-2</v>
      </c>
      <c r="H92" s="66">
        <v>3.9399999999999998E-2</v>
      </c>
      <c r="I92" s="56"/>
      <c r="J92" s="57">
        <f t="shared" si="47"/>
        <v>5.1833333333333315E-3</v>
      </c>
      <c r="K92" s="58">
        <f t="shared" si="48"/>
        <v>2.5833333333333333E-3</v>
      </c>
      <c r="L92" s="56"/>
      <c r="M92" s="62">
        <f t="shared" ref="M92:M98" si="49">J92-(0.25*K92)</f>
        <v>4.5374999999999981E-3</v>
      </c>
      <c r="N92" s="56">
        <f t="shared" ref="N92:N98" si="50">M92*70.966</f>
        <v>0.32200822499999981</v>
      </c>
      <c r="O92" s="58">
        <f t="shared" ref="O92:O98" si="51">N92*2</f>
        <v>0.64401644999999963</v>
      </c>
      <c r="P92" s="56">
        <f t="shared" ref="P92:P98" si="52">O92/F92</f>
        <v>6.4401644999999966E-2</v>
      </c>
      <c r="Q92" s="57"/>
      <c r="R92" s="56"/>
      <c r="S92" s="58"/>
      <c r="T92" s="56"/>
    </row>
    <row r="93" spans="4:20" ht="14.45" customHeight="1" x14ac:dyDescent="0.25">
      <c r="D93" s="76">
        <f>A49</f>
        <v>23</v>
      </c>
      <c r="E93" s="12" t="s">
        <v>117</v>
      </c>
      <c r="F93" s="12">
        <f>B49</f>
        <v>10</v>
      </c>
      <c r="G93" s="54">
        <v>4.4400000000000002E-2</v>
      </c>
      <c r="H93" s="55">
        <v>3.7699999999999997E-2</v>
      </c>
      <c r="I93" s="56"/>
      <c r="J93" s="57">
        <f t="shared" si="47"/>
        <v>6.7833333333333357E-3</v>
      </c>
      <c r="K93" s="58">
        <f t="shared" si="48"/>
        <v>8.8333333333333319E-4</v>
      </c>
      <c r="L93" s="56"/>
      <c r="M93" s="62">
        <f t="shared" si="49"/>
        <v>6.5625000000000024E-3</v>
      </c>
      <c r="N93" s="56">
        <f t="shared" si="50"/>
        <v>0.46571437500000012</v>
      </c>
      <c r="O93" s="58">
        <f t="shared" si="51"/>
        <v>0.93142875000000025</v>
      </c>
      <c r="P93" s="56">
        <f t="shared" si="52"/>
        <v>9.3142875000000028E-2</v>
      </c>
      <c r="Q93" s="57">
        <f>AVERAGE(P93:P95)</f>
        <v>0.10579847833333333</v>
      </c>
      <c r="R93" s="56">
        <f>STDEV(P93:P95)</f>
        <v>1.3559582895636239E-2</v>
      </c>
      <c r="S93" s="58">
        <f>R93/Q93*100</f>
        <v>12.816425254165587</v>
      </c>
      <c r="T93" s="56"/>
    </row>
    <row r="94" spans="4:20" ht="14.45" customHeight="1" x14ac:dyDescent="0.25">
      <c r="D94" s="77"/>
      <c r="E94" s="17" t="s">
        <v>118</v>
      </c>
      <c r="F94" s="17">
        <f t="shared" si="45"/>
        <v>10</v>
      </c>
      <c r="G94" s="57">
        <v>4.65E-2</v>
      </c>
      <c r="H94" s="58">
        <v>3.85E-2</v>
      </c>
      <c r="I94" s="56"/>
      <c r="J94" s="57">
        <f t="shared" si="47"/>
        <v>8.8833333333333334E-3</v>
      </c>
      <c r="K94" s="58">
        <f t="shared" si="48"/>
        <v>1.6833333333333353E-3</v>
      </c>
      <c r="L94" s="56"/>
      <c r="M94" s="62">
        <f t="shared" si="49"/>
        <v>8.4624999999999995E-3</v>
      </c>
      <c r="N94" s="56">
        <f t="shared" si="50"/>
        <v>0.60054977499999995</v>
      </c>
      <c r="O94" s="58">
        <f t="shared" si="51"/>
        <v>1.2010995499999999</v>
      </c>
      <c r="P94" s="56">
        <f t="shared" si="52"/>
        <v>0.12010995499999999</v>
      </c>
      <c r="Q94" s="57"/>
      <c r="R94" s="56"/>
      <c r="S94" s="58"/>
      <c r="T94" s="56"/>
    </row>
    <row r="95" spans="4:20" ht="14.45" customHeight="1" x14ac:dyDescent="0.25">
      <c r="D95" s="78"/>
      <c r="E95" s="22" t="s">
        <v>119</v>
      </c>
      <c r="F95" s="22">
        <f t="shared" si="46"/>
        <v>10</v>
      </c>
      <c r="G95" s="65">
        <v>4.5100000000000001E-2</v>
      </c>
      <c r="H95" s="66">
        <v>3.7400000000000003E-2</v>
      </c>
      <c r="I95" s="56"/>
      <c r="J95" s="57">
        <f t="shared" si="47"/>
        <v>7.4833333333333349E-3</v>
      </c>
      <c r="K95" s="58">
        <f t="shared" si="48"/>
        <v>5.8333333333333848E-4</v>
      </c>
      <c r="L95" s="56"/>
      <c r="M95" s="62">
        <f t="shared" si="49"/>
        <v>7.3375000000000003E-3</v>
      </c>
      <c r="N95" s="56">
        <f t="shared" si="50"/>
        <v>0.52071302499999994</v>
      </c>
      <c r="O95" s="58">
        <f t="shared" si="51"/>
        <v>1.0414260499999999</v>
      </c>
      <c r="P95" s="56">
        <f t="shared" si="52"/>
        <v>0.10414260499999999</v>
      </c>
      <c r="Q95" s="57"/>
      <c r="R95" s="56"/>
      <c r="S95" s="58"/>
      <c r="T95" s="56"/>
    </row>
    <row r="96" spans="4:20" ht="14.45" customHeight="1" x14ac:dyDescent="0.25">
      <c r="D96" s="76">
        <f>A50</f>
        <v>24</v>
      </c>
      <c r="E96" s="12" t="s">
        <v>120</v>
      </c>
      <c r="F96" s="12">
        <f>B50</f>
        <v>10</v>
      </c>
      <c r="G96" s="54">
        <v>0.4849</v>
      </c>
      <c r="H96" s="55">
        <v>4.6800000000000001E-2</v>
      </c>
      <c r="I96" s="56"/>
      <c r="J96" s="57">
        <f t="shared" si="47"/>
        <v>0.44728333333333331</v>
      </c>
      <c r="K96" s="58">
        <f t="shared" si="48"/>
        <v>9.9833333333333371E-3</v>
      </c>
      <c r="L96" s="56"/>
      <c r="M96" s="62">
        <f t="shared" si="49"/>
        <v>0.4447875</v>
      </c>
      <c r="N96" s="56">
        <f t="shared" si="50"/>
        <v>31.564789724999997</v>
      </c>
      <c r="O96" s="58">
        <f t="shared" si="51"/>
        <v>63.129579449999994</v>
      </c>
      <c r="P96" s="56">
        <f t="shared" si="52"/>
        <v>6.3129579449999991</v>
      </c>
      <c r="Q96" s="57">
        <f>AVERAGE(P96:P98)</f>
        <v>6.4444815983333328</v>
      </c>
      <c r="R96" s="56">
        <f>STDEV(P96:P98)</f>
        <v>0.12063663391081408</v>
      </c>
      <c r="S96" s="58">
        <f>R96/Q96*100</f>
        <v>1.8719369753808133</v>
      </c>
      <c r="T96" s="56"/>
    </row>
    <row r="97" spans="4:20" ht="14.45" customHeight="1" x14ac:dyDescent="0.25">
      <c r="D97" s="77"/>
      <c r="E97" s="17" t="s">
        <v>121</v>
      </c>
      <c r="F97" s="17">
        <f t="shared" si="45"/>
        <v>10</v>
      </c>
      <c r="G97" s="57">
        <v>0.49490000000000001</v>
      </c>
      <c r="H97" s="58">
        <v>4.24E-2</v>
      </c>
      <c r="I97" s="56"/>
      <c r="J97" s="57">
        <f t="shared" si="47"/>
        <v>0.45728333333333332</v>
      </c>
      <c r="K97" s="58">
        <f t="shared" si="48"/>
        <v>5.583333333333336E-3</v>
      </c>
      <c r="L97" s="56"/>
      <c r="M97" s="62">
        <f t="shared" si="49"/>
        <v>0.4558875</v>
      </c>
      <c r="N97" s="56">
        <f t="shared" si="50"/>
        <v>32.352512324999999</v>
      </c>
      <c r="O97" s="58">
        <f t="shared" si="51"/>
        <v>64.705024649999999</v>
      </c>
      <c r="P97" s="56">
        <f t="shared" si="52"/>
        <v>6.470502465</v>
      </c>
      <c r="Q97" s="57"/>
      <c r="R97" s="56"/>
      <c r="S97" s="58"/>
      <c r="T97" s="56"/>
    </row>
    <row r="98" spans="4:20" ht="14.45" customHeight="1" x14ac:dyDescent="0.25">
      <c r="D98" s="78"/>
      <c r="E98" s="22" t="s">
        <v>122</v>
      </c>
      <c r="F98" s="22">
        <f t="shared" si="46"/>
        <v>10</v>
      </c>
      <c r="G98" s="65">
        <v>0.50009999999999999</v>
      </c>
      <c r="H98" s="66">
        <v>4.0800000000000003E-2</v>
      </c>
      <c r="I98" s="56"/>
      <c r="J98" s="65">
        <f t="shared" si="47"/>
        <v>0.4624833333333333</v>
      </c>
      <c r="K98" s="58">
        <f t="shared" si="48"/>
        <v>3.9833333333333387E-3</v>
      </c>
      <c r="L98" s="56"/>
      <c r="M98" s="69">
        <f t="shared" si="49"/>
        <v>0.46148749999999994</v>
      </c>
      <c r="N98" s="56">
        <f t="shared" si="50"/>
        <v>32.749921924999995</v>
      </c>
      <c r="O98" s="58">
        <f t="shared" si="51"/>
        <v>65.499843849999991</v>
      </c>
      <c r="P98" s="70">
        <f t="shared" si="52"/>
        <v>6.5499843849999992</v>
      </c>
      <c r="Q98" s="65"/>
      <c r="R98" s="70"/>
      <c r="S98" s="66"/>
      <c r="T98" s="56"/>
    </row>
    <row r="99" spans="4:20" x14ac:dyDescent="0.25">
      <c r="N99" s="35"/>
    </row>
  </sheetData>
  <mergeCells count="31">
    <mergeCell ref="D39:D41"/>
    <mergeCell ref="E1:G2"/>
    <mergeCell ref="F4:G4"/>
    <mergeCell ref="J4:K4"/>
    <mergeCell ref="P4:Q4"/>
    <mergeCell ref="P5:Q5"/>
    <mergeCell ref="I18:K18"/>
    <mergeCell ref="A25:B25"/>
    <mergeCell ref="D27:D29"/>
    <mergeCell ref="D30:D32"/>
    <mergeCell ref="D33:D35"/>
    <mergeCell ref="D36:D38"/>
    <mergeCell ref="D75:D77"/>
    <mergeCell ref="D42:D44"/>
    <mergeCell ref="D45:D47"/>
    <mergeCell ref="D48:D50"/>
    <mergeCell ref="D51:D53"/>
    <mergeCell ref="D54:D56"/>
    <mergeCell ref="D57:D59"/>
    <mergeCell ref="D60:D62"/>
    <mergeCell ref="D63:D65"/>
    <mergeCell ref="D66:D68"/>
    <mergeCell ref="D69:D71"/>
    <mergeCell ref="D72:D74"/>
    <mergeCell ref="D96:D98"/>
    <mergeCell ref="D78:D80"/>
    <mergeCell ref="D81:D83"/>
    <mergeCell ref="D84:D86"/>
    <mergeCell ref="D87:D89"/>
    <mergeCell ref="D90:D92"/>
    <mergeCell ref="D93:D95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6FD03-8ECB-41CA-AB90-C5FA1BF0C9B6}">
  <dimension ref="A1:X99"/>
  <sheetViews>
    <sheetView zoomScale="90" zoomScaleNormal="90" workbookViewId="0">
      <selection activeCell="T27" sqref="T27:U50"/>
    </sheetView>
  </sheetViews>
  <sheetFormatPr defaultColWidth="8.85546875" defaultRowHeight="15" x14ac:dyDescent="0.25"/>
  <cols>
    <col min="1" max="1" width="10.5703125" bestFit="1" customWidth="1"/>
    <col min="2" max="2" width="9.140625" bestFit="1" customWidth="1"/>
    <col min="4" max="4" width="9.42578125" customWidth="1"/>
    <col min="5" max="5" width="10" customWidth="1"/>
    <col min="6" max="6" width="11.7109375" customWidth="1"/>
    <col min="7" max="7" width="12.5703125" customWidth="1"/>
    <col min="8" max="8" width="12.7109375" customWidth="1"/>
    <col min="10" max="11" width="9" customWidth="1"/>
    <col min="12" max="12" width="11.7109375" customWidth="1"/>
    <col min="13" max="13" width="9" customWidth="1"/>
    <col min="14" max="14" width="11.7109375" bestFit="1" customWidth="1"/>
    <col min="15" max="15" width="9" customWidth="1"/>
    <col min="16" max="16" width="9" bestFit="1" customWidth="1"/>
    <col min="17" max="17" width="10.85546875" customWidth="1"/>
    <col min="18" max="18" width="10.7109375" customWidth="1"/>
    <col min="19" max="19" width="9" bestFit="1" customWidth="1"/>
    <col min="20" max="20" width="9.5703125" bestFit="1" customWidth="1"/>
    <col min="21" max="21" width="9.5703125" customWidth="1"/>
  </cols>
  <sheetData>
    <row r="1" spans="1:17" x14ac:dyDescent="0.25">
      <c r="E1" s="79" t="s">
        <v>0</v>
      </c>
      <c r="F1" s="79"/>
      <c r="G1" s="79"/>
    </row>
    <row r="2" spans="1:17" x14ac:dyDescent="0.25">
      <c r="E2" s="79"/>
      <c r="F2" s="79"/>
      <c r="G2" s="79"/>
    </row>
    <row r="4" spans="1:17" ht="28.5" customHeight="1" x14ac:dyDescent="0.25">
      <c r="B4" t="s">
        <v>1</v>
      </c>
      <c r="E4" s="1"/>
      <c r="F4" s="80" t="s">
        <v>1</v>
      </c>
      <c r="G4" s="81"/>
      <c r="I4" s="1"/>
      <c r="J4" s="80" t="s">
        <v>1</v>
      </c>
      <c r="K4" s="81"/>
      <c r="L4" s="2"/>
      <c r="M4" s="71" t="s">
        <v>2</v>
      </c>
      <c r="N4" s="72"/>
      <c r="O4" s="2"/>
      <c r="P4" s="82" t="s">
        <v>3</v>
      </c>
      <c r="Q4" s="83"/>
    </row>
    <row r="5" spans="1:17" ht="17.25" customHeight="1" x14ac:dyDescent="0.25">
      <c r="A5" t="s">
        <v>4</v>
      </c>
      <c r="B5" t="s">
        <v>5</v>
      </c>
      <c r="C5" t="s">
        <v>6</v>
      </c>
      <c r="E5" s="5" t="s">
        <v>4</v>
      </c>
      <c r="F5" s="6" t="s">
        <v>5</v>
      </c>
      <c r="G5" s="6" t="s">
        <v>6</v>
      </c>
      <c r="I5" s="7" t="s">
        <v>7</v>
      </c>
      <c r="J5" s="8" t="s">
        <v>5</v>
      </c>
      <c r="K5" s="9" t="s">
        <v>6</v>
      </c>
      <c r="M5" s="8" t="s">
        <v>5</v>
      </c>
      <c r="N5" s="10" t="s">
        <v>6</v>
      </c>
      <c r="P5" s="82" t="s">
        <v>1</v>
      </c>
      <c r="Q5" s="83"/>
    </row>
    <row r="6" spans="1:17" x14ac:dyDescent="0.25">
      <c r="A6" t="s">
        <v>125</v>
      </c>
      <c r="B6">
        <v>3.8100000000000002E-2</v>
      </c>
      <c r="C6">
        <v>3.7499999999999999E-2</v>
      </c>
      <c r="E6" s="11" t="s">
        <v>8</v>
      </c>
      <c r="F6">
        <v>3.6499999999999998E-2</v>
      </c>
      <c r="G6">
        <v>3.5499999999999997E-2</v>
      </c>
      <c r="I6" s="13">
        <v>12.5</v>
      </c>
      <c r="J6" s="14">
        <f>AVERAGE(F9:F11, B9)</f>
        <v>0.29497499999999999</v>
      </c>
      <c r="K6" s="15">
        <f>AVERAGE(G9:G11, C9)</f>
        <v>3.805E-2</v>
      </c>
      <c r="M6" s="14">
        <f>J6-$J$14</f>
        <v>0.25560833333333333</v>
      </c>
      <c r="N6" s="15">
        <f>K6-$K$14</f>
        <v>-9.9999999999995925E-5</v>
      </c>
      <c r="P6" s="1" t="s">
        <v>5</v>
      </c>
      <c r="Q6" s="7" t="s">
        <v>7</v>
      </c>
    </row>
    <row r="7" spans="1:17" x14ac:dyDescent="0.25">
      <c r="A7" t="s">
        <v>126</v>
      </c>
      <c r="B7">
        <v>4.2099999999999999E-2</v>
      </c>
      <c r="C7">
        <v>4.1399999999999999E-2</v>
      </c>
      <c r="E7" s="16" t="s">
        <v>9</v>
      </c>
      <c r="F7">
        <v>4.0099999999999997E-2</v>
      </c>
      <c r="G7">
        <v>3.8100000000000002E-2</v>
      </c>
      <c r="I7" s="18">
        <v>25</v>
      </c>
      <c r="J7" s="19">
        <f>AVERAGE(F12:F14)</f>
        <v>0.51800000000000002</v>
      </c>
      <c r="K7" s="20">
        <f>AVERAGE(G12:G14)</f>
        <v>3.9166666666666662E-2</v>
      </c>
      <c r="M7" s="19">
        <f>J7-$J$14</f>
        <v>0.47863333333333336</v>
      </c>
      <c r="N7" s="20">
        <f>K7-$K$14</f>
        <v>1.0166666666666657E-3</v>
      </c>
      <c r="P7" s="17">
        <f>M6</f>
        <v>0.25560833333333333</v>
      </c>
      <c r="Q7" s="12">
        <v>12.5</v>
      </c>
    </row>
    <row r="8" spans="1:17" x14ac:dyDescent="0.25">
      <c r="A8" t="s">
        <v>127</v>
      </c>
      <c r="B8">
        <v>3.7999999999999999E-2</v>
      </c>
      <c r="C8">
        <v>3.7199999999999997E-2</v>
      </c>
      <c r="E8" s="21" t="s">
        <v>10</v>
      </c>
      <c r="F8">
        <v>4.1399999999999999E-2</v>
      </c>
      <c r="G8">
        <v>3.9199999999999999E-2</v>
      </c>
      <c r="I8" s="18">
        <v>50</v>
      </c>
      <c r="J8" s="19">
        <f>AVERAGE(F15:F17, B10)</f>
        <v>0.92819999999999991</v>
      </c>
      <c r="K8" s="20">
        <f>AVERAGE(G15:G17, C10)</f>
        <v>3.6775000000000002E-2</v>
      </c>
      <c r="M8" s="19">
        <f>J8-$J$14</f>
        <v>0.88883333333333325</v>
      </c>
      <c r="N8" s="20">
        <f>K8-$K$14</f>
        <v>-1.3749999999999943E-3</v>
      </c>
      <c r="P8" s="17">
        <f>M7</f>
        <v>0.47863333333333336</v>
      </c>
      <c r="Q8" s="17">
        <v>25</v>
      </c>
    </row>
    <row r="9" spans="1:17" x14ac:dyDescent="0.25">
      <c r="A9" t="s">
        <v>128</v>
      </c>
      <c r="B9">
        <v>0.30109999999999998</v>
      </c>
      <c r="C9">
        <v>3.6600000000000001E-2</v>
      </c>
      <c r="E9" s="11" t="s">
        <v>11</v>
      </c>
      <c r="F9">
        <v>0.26450000000000001</v>
      </c>
      <c r="G9">
        <v>3.6700000000000003E-2</v>
      </c>
      <c r="I9" s="18">
        <v>100</v>
      </c>
      <c r="J9" s="19">
        <f>AVERAGE(F18:F20, B11)</f>
        <v>1.8475000000000001</v>
      </c>
      <c r="K9" s="20">
        <f>AVERAGE(G18:G20, C11)</f>
        <v>3.7425E-2</v>
      </c>
      <c r="M9" s="19">
        <f>J9-$J$14</f>
        <v>1.8081333333333334</v>
      </c>
      <c r="N9" s="20">
        <f>K9-$K$14</f>
        <v>-7.2499999999999648E-4</v>
      </c>
      <c r="P9" s="17">
        <f>M8</f>
        <v>0.88883333333333325</v>
      </c>
      <c r="Q9" s="17">
        <v>50</v>
      </c>
    </row>
    <row r="10" spans="1:17" x14ac:dyDescent="0.25">
      <c r="A10" t="s">
        <v>129</v>
      </c>
      <c r="B10">
        <v>0.96560000000000001</v>
      </c>
      <c r="C10">
        <v>3.6700000000000003E-2</v>
      </c>
      <c r="E10" s="16" t="s">
        <v>12</v>
      </c>
      <c r="F10">
        <v>0.308</v>
      </c>
      <c r="G10">
        <v>4.0399999999999998E-2</v>
      </c>
      <c r="I10" s="23">
        <v>250</v>
      </c>
      <c r="J10" s="24">
        <f>AVERAGE(F21:F23)</f>
        <v>3.8323</v>
      </c>
      <c r="K10" s="25">
        <f>AVERAGE(G21:G23)</f>
        <v>3.6966666666666669E-2</v>
      </c>
      <c r="M10" s="19">
        <f>J10-$J$14</f>
        <v>3.7929333333333335</v>
      </c>
      <c r="N10" s="20">
        <f>K10-$K$14</f>
        <v>-1.1833333333333279E-3</v>
      </c>
      <c r="P10" s="17">
        <f>M9</f>
        <v>1.8081333333333334</v>
      </c>
      <c r="Q10" s="17">
        <v>100</v>
      </c>
    </row>
    <row r="11" spans="1:17" x14ac:dyDescent="0.25">
      <c r="A11" t="s">
        <v>130</v>
      </c>
      <c r="B11">
        <v>1.9049</v>
      </c>
      <c r="C11">
        <v>3.7100000000000001E-2</v>
      </c>
      <c r="E11" s="21" t="s">
        <v>13</v>
      </c>
      <c r="F11">
        <v>0.30630000000000002</v>
      </c>
      <c r="G11">
        <v>3.85E-2</v>
      </c>
      <c r="I11" s="26" t="s">
        <v>14</v>
      </c>
      <c r="J11" s="13">
        <f t="shared" ref="J11:K13" si="0">F6</f>
        <v>3.6499999999999998E-2</v>
      </c>
      <c r="K11" s="27">
        <f t="shared" si="0"/>
        <v>3.5499999999999997E-2</v>
      </c>
      <c r="M11" s="23"/>
      <c r="N11" s="28"/>
      <c r="P11" s="22">
        <f>M10</f>
        <v>3.7929333333333335</v>
      </c>
      <c r="Q11" s="22">
        <v>250</v>
      </c>
    </row>
    <row r="12" spans="1:17" x14ac:dyDescent="0.25">
      <c r="E12" s="11" t="s">
        <v>15</v>
      </c>
      <c r="F12">
        <v>0.50280000000000002</v>
      </c>
      <c r="G12">
        <v>3.78E-2</v>
      </c>
      <c r="I12" s="29" t="s">
        <v>14</v>
      </c>
      <c r="J12" s="18">
        <f t="shared" si="0"/>
        <v>4.0099999999999997E-2</v>
      </c>
      <c r="K12" s="30">
        <f t="shared" si="0"/>
        <v>3.8100000000000002E-2</v>
      </c>
    </row>
    <row r="13" spans="1:17" x14ac:dyDescent="0.25">
      <c r="E13" s="16" t="s">
        <v>16</v>
      </c>
      <c r="F13">
        <v>0.50719999999999998</v>
      </c>
      <c r="G13">
        <v>4.0300000000000002E-2</v>
      </c>
      <c r="I13" s="31" t="s">
        <v>14</v>
      </c>
      <c r="J13" s="23">
        <f t="shared" si="0"/>
        <v>4.1399999999999999E-2</v>
      </c>
      <c r="K13" s="28">
        <f t="shared" si="0"/>
        <v>3.9199999999999999E-2</v>
      </c>
    </row>
    <row r="14" spans="1:17" x14ac:dyDescent="0.25">
      <c r="E14" s="21" t="s">
        <v>17</v>
      </c>
      <c r="F14">
        <v>0.54400000000000004</v>
      </c>
      <c r="G14">
        <v>3.9399999999999998E-2</v>
      </c>
      <c r="I14" s="32" t="s">
        <v>18</v>
      </c>
      <c r="J14" s="33">
        <f>AVERAGE(J11:J13, B6:B8)</f>
        <v>3.9366666666666668E-2</v>
      </c>
      <c r="K14" s="34">
        <f>AVERAGE(K11:K13, C6:C8)</f>
        <v>3.8149999999999996E-2</v>
      </c>
    </row>
    <row r="15" spans="1:17" x14ac:dyDescent="0.25">
      <c r="E15" s="11" t="s">
        <v>19</v>
      </c>
      <c r="F15">
        <v>0.96479999999999999</v>
      </c>
      <c r="G15">
        <v>3.73E-2</v>
      </c>
      <c r="M15" s="13" t="s">
        <v>20</v>
      </c>
      <c r="N15" s="35"/>
      <c r="O15" s="27"/>
    </row>
    <row r="16" spans="1:17" x14ac:dyDescent="0.25">
      <c r="E16" s="16" t="s">
        <v>21</v>
      </c>
      <c r="F16">
        <v>0.82279999999999998</v>
      </c>
      <c r="G16">
        <v>3.7400000000000003E-2</v>
      </c>
      <c r="M16" s="18" t="s">
        <v>22</v>
      </c>
      <c r="O16" s="30"/>
    </row>
    <row r="17" spans="1:24" x14ac:dyDescent="0.25">
      <c r="E17" s="21" t="s">
        <v>23</v>
      </c>
      <c r="F17">
        <v>0.95960000000000001</v>
      </c>
      <c r="G17">
        <v>3.5700000000000003E-2</v>
      </c>
      <c r="M17" s="23" t="s">
        <v>24</v>
      </c>
      <c r="N17" s="36"/>
      <c r="O17" s="28"/>
    </row>
    <row r="18" spans="1:24" x14ac:dyDescent="0.25">
      <c r="E18" s="11" t="s">
        <v>25</v>
      </c>
      <c r="F18">
        <v>1.6286</v>
      </c>
      <c r="G18">
        <v>3.7999999999999999E-2</v>
      </c>
      <c r="I18" s="82" t="s">
        <v>26</v>
      </c>
      <c r="J18" s="84"/>
      <c r="K18" s="83"/>
      <c r="W18" s="37"/>
      <c r="X18" s="37"/>
    </row>
    <row r="19" spans="1:24" ht="18" x14ac:dyDescent="0.25">
      <c r="E19" s="16" t="s">
        <v>27</v>
      </c>
      <c r="F19">
        <v>1.8777999999999999</v>
      </c>
      <c r="G19">
        <v>3.85E-2</v>
      </c>
      <c r="I19" s="38" t="s">
        <v>28</v>
      </c>
      <c r="J19" s="36"/>
      <c r="K19" s="28"/>
    </row>
    <row r="20" spans="1:24" x14ac:dyDescent="0.25">
      <c r="E20" s="21" t="s">
        <v>29</v>
      </c>
      <c r="F20">
        <v>1.9786999999999999</v>
      </c>
      <c r="G20">
        <v>3.61E-2</v>
      </c>
      <c r="U20" s="37"/>
      <c r="V20" s="37"/>
    </row>
    <row r="21" spans="1:24" x14ac:dyDescent="0.25">
      <c r="E21" s="11" t="s">
        <v>30</v>
      </c>
      <c r="F21" t="s">
        <v>123</v>
      </c>
      <c r="G21">
        <v>3.61E-2</v>
      </c>
      <c r="U21" s="37"/>
      <c r="V21" s="37"/>
    </row>
    <row r="22" spans="1:24" x14ac:dyDescent="0.25">
      <c r="E22" s="16" t="s">
        <v>31</v>
      </c>
      <c r="F22" s="39" t="s">
        <v>123</v>
      </c>
      <c r="G22">
        <v>3.7100000000000001E-2</v>
      </c>
      <c r="U22" s="37"/>
      <c r="V22" s="37"/>
    </row>
    <row r="23" spans="1:24" x14ac:dyDescent="0.25">
      <c r="E23" s="21" t="s">
        <v>32</v>
      </c>
      <c r="F23">
        <v>3.8323</v>
      </c>
      <c r="G23">
        <v>3.7699999999999997E-2</v>
      </c>
      <c r="U23" s="37"/>
      <c r="V23" s="37"/>
    </row>
    <row r="24" spans="1:24" x14ac:dyDescent="0.25">
      <c r="E24" s="39"/>
      <c r="V24" s="37"/>
      <c r="W24" s="37"/>
    </row>
    <row r="25" spans="1:24" ht="31.5" customHeight="1" x14ac:dyDescent="0.25">
      <c r="A25" s="85" t="s">
        <v>33</v>
      </c>
      <c r="B25" s="86"/>
      <c r="J25" s="36"/>
      <c r="K25" s="36"/>
      <c r="M25" s="73"/>
      <c r="N25" s="41" t="s">
        <v>34</v>
      </c>
      <c r="O25" s="42" t="s">
        <v>124</v>
      </c>
      <c r="P25" s="75" t="s">
        <v>35</v>
      </c>
      <c r="Q25" s="71" t="s">
        <v>36</v>
      </c>
      <c r="R25" s="75" t="s">
        <v>37</v>
      </c>
      <c r="S25" s="74" t="s">
        <v>37</v>
      </c>
      <c r="T25" s="72" t="s">
        <v>38</v>
      </c>
      <c r="U25" s="6" t="s">
        <v>36</v>
      </c>
      <c r="V25" s="37"/>
    </row>
    <row r="26" spans="1:24" ht="30.75" customHeight="1" x14ac:dyDescent="0.25">
      <c r="A26" s="45" t="s">
        <v>39</v>
      </c>
      <c r="B26" s="1" t="s">
        <v>40</v>
      </c>
      <c r="D26" s="46" t="s">
        <v>38</v>
      </c>
      <c r="E26" s="46" t="s">
        <v>41</v>
      </c>
      <c r="F26" s="47" t="s">
        <v>42</v>
      </c>
      <c r="G26" s="47" t="s">
        <v>5</v>
      </c>
      <c r="H26" s="47" t="s">
        <v>6</v>
      </c>
      <c r="I26" s="48"/>
      <c r="J26" s="49" t="s">
        <v>43</v>
      </c>
      <c r="K26" s="50" t="s">
        <v>44</v>
      </c>
      <c r="M26" s="47" t="s">
        <v>45</v>
      </c>
      <c r="N26" s="51" t="s">
        <v>46</v>
      </c>
      <c r="O26" s="52" t="s">
        <v>47</v>
      </c>
      <c r="P26" s="53" t="s">
        <v>48</v>
      </c>
      <c r="Q26" s="71" t="s">
        <v>49</v>
      </c>
      <c r="R26" s="41" t="s">
        <v>49</v>
      </c>
      <c r="S26" s="74" t="s">
        <v>50</v>
      </c>
      <c r="T26" s="74"/>
      <c r="U26" s="6" t="s">
        <v>49</v>
      </c>
      <c r="V26" s="37"/>
    </row>
    <row r="27" spans="1:24" ht="15" customHeight="1" x14ac:dyDescent="0.25">
      <c r="A27" s="18">
        <v>1</v>
      </c>
      <c r="B27" s="30">
        <v>10</v>
      </c>
      <c r="D27" s="76">
        <f>A27</f>
        <v>1</v>
      </c>
      <c r="E27" s="12" t="s">
        <v>51</v>
      </c>
      <c r="F27" s="12">
        <f>B27</f>
        <v>10</v>
      </c>
      <c r="G27" s="54">
        <v>7.1199999999999999E-2</v>
      </c>
      <c r="H27" s="55">
        <v>4.8800000000000003E-2</v>
      </c>
      <c r="I27" s="56"/>
      <c r="J27" s="57">
        <f t="shared" ref="J27:J90" si="1">G27-$J$14</f>
        <v>3.1833333333333332E-2</v>
      </c>
      <c r="K27" s="58">
        <f t="shared" ref="K27:K90" si="2">H27-$K$14</f>
        <v>1.0650000000000007E-2</v>
      </c>
      <c r="L27" s="56"/>
      <c r="M27" s="59">
        <f>J27-(0.25*K27)</f>
        <v>2.917083333333333E-2</v>
      </c>
      <c r="N27" s="56">
        <f>M27*70.966</f>
        <v>2.0701373583333331</v>
      </c>
      <c r="O27" s="58">
        <f>N27*2</f>
        <v>4.1402747166666662</v>
      </c>
      <c r="P27" s="56">
        <f>O27/F27</f>
        <v>0.41402747166666665</v>
      </c>
      <c r="Q27" s="57">
        <f>AVERAGE(P27:P29)</f>
        <v>0.40456533833333325</v>
      </c>
      <c r="R27" s="56">
        <f>STDEV(P27:P29)</f>
        <v>2.0839529708842657E-2</v>
      </c>
      <c r="S27" s="58">
        <f>R27/Q27*100</f>
        <v>5.1510912414529093</v>
      </c>
      <c r="T27" s="60">
        <f>D27</f>
        <v>1</v>
      </c>
      <c r="U27" s="61">
        <f>Q27</f>
        <v>0.40456533833333325</v>
      </c>
      <c r="V27" s="37"/>
    </row>
    <row r="28" spans="1:24" ht="14.45" customHeight="1" x14ac:dyDescent="0.25">
      <c r="A28" s="18">
        <v>2</v>
      </c>
      <c r="B28" s="30">
        <v>10</v>
      </c>
      <c r="D28" s="77"/>
      <c r="E28" s="17" t="s">
        <v>52</v>
      </c>
      <c r="F28" s="17">
        <f>F27</f>
        <v>10</v>
      </c>
      <c r="G28" s="57">
        <v>7.0800000000000002E-2</v>
      </c>
      <c r="H28" s="58">
        <v>4.58E-2</v>
      </c>
      <c r="I28" s="56"/>
      <c r="J28" s="57">
        <f t="shared" si="1"/>
        <v>3.1433333333333334E-2</v>
      </c>
      <c r="K28" s="58">
        <f t="shared" si="2"/>
        <v>7.650000000000004E-3</v>
      </c>
      <c r="L28" s="56"/>
      <c r="M28" s="62">
        <f t="shared" ref="M28:M91" si="3">J28-(0.25*K28)</f>
        <v>2.9520833333333333E-2</v>
      </c>
      <c r="N28" s="56">
        <f t="shared" ref="N28:N91" si="4">M28*70.966</f>
        <v>2.0949754583333333</v>
      </c>
      <c r="O28" s="58">
        <f t="shared" ref="O28:O91" si="5">N28*2</f>
        <v>4.1899509166666666</v>
      </c>
      <c r="P28" s="56">
        <f t="shared" ref="P28:P91" si="6">O28/F28</f>
        <v>0.41899509166666665</v>
      </c>
      <c r="Q28" s="57"/>
      <c r="R28" s="56"/>
      <c r="S28" s="58"/>
      <c r="T28" s="63">
        <f>D30</f>
        <v>2</v>
      </c>
      <c r="U28" s="64">
        <f>Q30</f>
        <v>0.17581826499999995</v>
      </c>
    </row>
    <row r="29" spans="1:24" ht="14.45" customHeight="1" x14ac:dyDescent="0.25">
      <c r="A29" s="18">
        <v>3</v>
      </c>
      <c r="B29" s="30">
        <v>10</v>
      </c>
      <c r="D29" s="78"/>
      <c r="E29" s="22" t="s">
        <v>53</v>
      </c>
      <c r="F29" s="22">
        <f>F27</f>
        <v>10</v>
      </c>
      <c r="G29" s="65">
        <v>6.7199999999999996E-2</v>
      </c>
      <c r="H29" s="66">
        <v>4.2200000000000001E-2</v>
      </c>
      <c r="I29" s="56"/>
      <c r="J29" s="57">
        <f t="shared" si="1"/>
        <v>2.7833333333333328E-2</v>
      </c>
      <c r="K29" s="58">
        <f t="shared" si="2"/>
        <v>4.050000000000005E-3</v>
      </c>
      <c r="L29" s="56"/>
      <c r="M29" s="62">
        <f t="shared" si="3"/>
        <v>2.6820833333333328E-2</v>
      </c>
      <c r="N29" s="56">
        <f t="shared" si="4"/>
        <v>1.9033672583333328</v>
      </c>
      <c r="O29" s="58">
        <f t="shared" si="5"/>
        <v>3.8067345166666655</v>
      </c>
      <c r="P29" s="56">
        <f t="shared" si="6"/>
        <v>0.38067345166666655</v>
      </c>
      <c r="Q29" s="57"/>
      <c r="R29" s="56"/>
      <c r="S29" s="58"/>
      <c r="T29" s="63">
        <f>D33</f>
        <v>3</v>
      </c>
      <c r="U29" s="64">
        <f>Q33</f>
        <v>0.25305292833333332</v>
      </c>
    </row>
    <row r="30" spans="1:24" ht="14.45" customHeight="1" x14ac:dyDescent="0.25">
      <c r="A30" s="18">
        <v>4</v>
      </c>
      <c r="B30" s="30">
        <v>10</v>
      </c>
      <c r="D30" s="76">
        <f>A28</f>
        <v>2</v>
      </c>
      <c r="E30" s="12" t="s">
        <v>54</v>
      </c>
      <c r="F30" s="12">
        <f>B28</f>
        <v>10</v>
      </c>
      <c r="G30" s="54">
        <v>5.3199999999999997E-2</v>
      </c>
      <c r="H30" s="55">
        <v>4.2000000000000003E-2</v>
      </c>
      <c r="I30" s="56"/>
      <c r="J30" s="57">
        <f t="shared" si="1"/>
        <v>1.3833333333333329E-2</v>
      </c>
      <c r="K30" s="58">
        <f t="shared" si="2"/>
        <v>3.8500000000000062E-3</v>
      </c>
      <c r="L30" s="56"/>
      <c r="M30" s="62">
        <f t="shared" si="3"/>
        <v>1.2870833333333328E-2</v>
      </c>
      <c r="N30" s="56">
        <f t="shared" si="4"/>
        <v>0.91339155833333285</v>
      </c>
      <c r="O30" s="58">
        <f t="shared" si="5"/>
        <v>1.8267831166666657</v>
      </c>
      <c r="P30" s="56">
        <f t="shared" si="6"/>
        <v>0.18267831166666657</v>
      </c>
      <c r="Q30" s="57">
        <f>AVERAGE(P30:P32)</f>
        <v>0.17581826499999995</v>
      </c>
      <c r="R30" s="56">
        <f>STDEV(P30:P32)</f>
        <v>7.3092683329614066E-3</v>
      </c>
      <c r="S30" s="58">
        <f>R30/Q30*100</f>
        <v>4.1572861232372009</v>
      </c>
      <c r="T30" s="63">
        <f>D36</f>
        <v>4</v>
      </c>
      <c r="U30" s="64">
        <f>Q36</f>
        <v>17.430018398333331</v>
      </c>
    </row>
    <row r="31" spans="1:24" ht="14.45" customHeight="1" x14ac:dyDescent="0.25">
      <c r="A31" s="18">
        <v>5</v>
      </c>
      <c r="B31" s="30">
        <v>10</v>
      </c>
      <c r="D31" s="77"/>
      <c r="E31" s="17" t="s">
        <v>55</v>
      </c>
      <c r="F31" s="17">
        <f t="shared" ref="F31" si="7">F30</f>
        <v>10</v>
      </c>
      <c r="G31" s="57">
        <v>5.1700000000000003E-2</v>
      </c>
      <c r="H31" s="58">
        <v>4.0099999999999997E-2</v>
      </c>
      <c r="I31" s="56"/>
      <c r="J31" s="57">
        <f t="shared" si="1"/>
        <v>1.2333333333333335E-2</v>
      </c>
      <c r="K31" s="58">
        <f t="shared" si="2"/>
        <v>1.9500000000000003E-3</v>
      </c>
      <c r="L31" s="56"/>
      <c r="M31" s="62">
        <f t="shared" si="3"/>
        <v>1.1845833333333335E-2</v>
      </c>
      <c r="N31" s="56">
        <f t="shared" si="4"/>
        <v>0.84065140833333341</v>
      </c>
      <c r="O31" s="58">
        <f t="shared" si="5"/>
        <v>1.6813028166666668</v>
      </c>
      <c r="P31" s="56">
        <f t="shared" si="6"/>
        <v>0.16813028166666669</v>
      </c>
      <c r="Q31" s="57"/>
      <c r="R31" s="56"/>
      <c r="S31" s="58"/>
      <c r="T31" s="63">
        <f>D39</f>
        <v>5</v>
      </c>
      <c r="U31" s="64">
        <f>Q39</f>
        <v>0.56412056166666669</v>
      </c>
    </row>
    <row r="32" spans="1:24" ht="14.45" customHeight="1" x14ac:dyDescent="0.25">
      <c r="A32" s="18">
        <v>6</v>
      </c>
      <c r="B32" s="30">
        <v>10</v>
      </c>
      <c r="D32" s="78"/>
      <c r="E32" s="22" t="s">
        <v>56</v>
      </c>
      <c r="F32" s="22">
        <f t="shared" ref="F32" si="8">F30</f>
        <v>10</v>
      </c>
      <c r="G32" s="65">
        <v>5.2699999999999997E-2</v>
      </c>
      <c r="H32" s="66">
        <v>4.1700000000000001E-2</v>
      </c>
      <c r="I32" s="56"/>
      <c r="J32" s="57">
        <f t="shared" si="1"/>
        <v>1.3333333333333329E-2</v>
      </c>
      <c r="K32" s="58">
        <f t="shared" si="2"/>
        <v>3.5500000000000045E-3</v>
      </c>
      <c r="L32" s="56"/>
      <c r="M32" s="62">
        <f t="shared" si="3"/>
        <v>1.2445833333333328E-2</v>
      </c>
      <c r="N32" s="56">
        <f t="shared" si="4"/>
        <v>0.8832310083333329</v>
      </c>
      <c r="O32" s="58">
        <f t="shared" si="5"/>
        <v>1.7664620166666658</v>
      </c>
      <c r="P32" s="56">
        <f t="shared" si="6"/>
        <v>0.17664620166666659</v>
      </c>
      <c r="Q32" s="57"/>
      <c r="R32" s="56"/>
      <c r="S32" s="58"/>
      <c r="T32" s="63">
        <f>D42</f>
        <v>6</v>
      </c>
      <c r="U32" s="64">
        <f>Q42</f>
        <v>1.7609621516666667</v>
      </c>
    </row>
    <row r="33" spans="1:21" ht="14.45" customHeight="1" x14ac:dyDescent="0.25">
      <c r="A33" s="18">
        <v>7</v>
      </c>
      <c r="B33" s="30">
        <v>10</v>
      </c>
      <c r="D33" s="76">
        <f>A29</f>
        <v>3</v>
      </c>
      <c r="E33" s="12" t="s">
        <v>57</v>
      </c>
      <c r="F33" s="12">
        <f>B29</f>
        <v>10</v>
      </c>
      <c r="G33" s="54">
        <v>5.8700000000000002E-2</v>
      </c>
      <c r="H33" s="55">
        <v>4.07E-2</v>
      </c>
      <c r="I33" s="56"/>
      <c r="J33" s="57">
        <f t="shared" si="1"/>
        <v>1.9333333333333334E-2</v>
      </c>
      <c r="K33" s="58">
        <f t="shared" si="2"/>
        <v>2.5500000000000037E-3</v>
      </c>
      <c r="L33" s="56"/>
      <c r="M33" s="62">
        <f t="shared" si="3"/>
        <v>1.8695833333333335E-2</v>
      </c>
      <c r="N33" s="56">
        <f t="shared" si="4"/>
        <v>1.3267685083333334</v>
      </c>
      <c r="O33" s="58">
        <f t="shared" si="5"/>
        <v>2.6535370166666667</v>
      </c>
      <c r="P33" s="56">
        <f t="shared" si="6"/>
        <v>0.26535370166666666</v>
      </c>
      <c r="Q33" s="57">
        <f>AVERAGE(P33:P35)</f>
        <v>0.25305292833333332</v>
      </c>
      <c r="R33" s="56">
        <f>STDEV(P33:P35)</f>
        <v>1.4327108019996008E-2</v>
      </c>
      <c r="S33" s="58">
        <f>R33/Q33*100</f>
        <v>5.661704100544398</v>
      </c>
      <c r="T33" s="63">
        <f>D45</f>
        <v>7</v>
      </c>
      <c r="U33" s="64">
        <f>Q45</f>
        <v>9.3640228383333319</v>
      </c>
    </row>
    <row r="34" spans="1:21" ht="14.45" customHeight="1" x14ac:dyDescent="0.25">
      <c r="A34" s="18">
        <v>8</v>
      </c>
      <c r="B34" s="30">
        <v>10</v>
      </c>
      <c r="D34" s="77"/>
      <c r="E34" s="17" t="s">
        <v>58</v>
      </c>
      <c r="F34" s="17">
        <f t="shared" ref="F34" si="9">F33</f>
        <v>10</v>
      </c>
      <c r="G34" s="57">
        <v>5.7700000000000001E-2</v>
      </c>
      <c r="H34" s="58">
        <v>3.9199999999999999E-2</v>
      </c>
      <c r="I34" s="56"/>
      <c r="J34" s="57">
        <f t="shared" si="1"/>
        <v>1.8333333333333333E-2</v>
      </c>
      <c r="K34" s="58">
        <f t="shared" si="2"/>
        <v>1.0500000000000023E-3</v>
      </c>
      <c r="L34" s="56"/>
      <c r="M34" s="62">
        <f t="shared" si="3"/>
        <v>1.8070833333333335E-2</v>
      </c>
      <c r="N34" s="56">
        <f t="shared" si="4"/>
        <v>1.2824147583333334</v>
      </c>
      <c r="O34" s="58">
        <f t="shared" si="5"/>
        <v>2.5648295166666668</v>
      </c>
      <c r="P34" s="56">
        <f t="shared" si="6"/>
        <v>0.25648295166666668</v>
      </c>
      <c r="Q34" s="57"/>
      <c r="R34" s="56"/>
      <c r="S34" s="58"/>
      <c r="T34" s="63">
        <f>D48</f>
        <v>8</v>
      </c>
      <c r="U34" s="64">
        <f>Q48</f>
        <v>0.18811903833333332</v>
      </c>
    </row>
    <row r="35" spans="1:21" ht="14.45" customHeight="1" x14ac:dyDescent="0.25">
      <c r="A35" s="18">
        <v>9</v>
      </c>
      <c r="B35" s="30">
        <v>10</v>
      </c>
      <c r="D35" s="78"/>
      <c r="E35" s="22" t="s">
        <v>59</v>
      </c>
      <c r="F35" s="22">
        <f t="shared" ref="F35" si="10">F33</f>
        <v>10</v>
      </c>
      <c r="G35" s="65">
        <v>5.6399999999999999E-2</v>
      </c>
      <c r="H35" s="66">
        <v>3.9399999999999998E-2</v>
      </c>
      <c r="I35" s="56"/>
      <c r="J35" s="57">
        <f t="shared" si="1"/>
        <v>1.7033333333333331E-2</v>
      </c>
      <c r="K35" s="58">
        <f t="shared" si="2"/>
        <v>1.2500000000000011E-3</v>
      </c>
      <c r="L35" s="56"/>
      <c r="M35" s="62">
        <f t="shared" si="3"/>
        <v>1.6720833333333331E-2</v>
      </c>
      <c r="N35" s="56">
        <f t="shared" si="4"/>
        <v>1.1866106583333331</v>
      </c>
      <c r="O35" s="58">
        <f t="shared" si="5"/>
        <v>2.3732213166666662</v>
      </c>
      <c r="P35" s="56">
        <f t="shared" si="6"/>
        <v>0.23732213166666663</v>
      </c>
      <c r="Q35" s="57"/>
      <c r="R35" s="56"/>
      <c r="S35" s="58"/>
      <c r="T35" s="63">
        <f>D51</f>
        <v>9</v>
      </c>
      <c r="U35" s="64">
        <f>Q51</f>
        <v>0.24311768833333328</v>
      </c>
    </row>
    <row r="36" spans="1:21" ht="14.45" customHeight="1" x14ac:dyDescent="0.25">
      <c r="A36" s="18">
        <v>10</v>
      </c>
      <c r="B36" s="30">
        <v>10</v>
      </c>
      <c r="D36" s="76">
        <f>A30</f>
        <v>4</v>
      </c>
      <c r="E36" s="12" t="s">
        <v>60</v>
      </c>
      <c r="F36" s="12">
        <f>B30</f>
        <v>10</v>
      </c>
      <c r="G36" s="54">
        <v>1.3053999999999999</v>
      </c>
      <c r="H36" s="55">
        <v>9.3100000000000002E-2</v>
      </c>
      <c r="I36" s="56"/>
      <c r="J36" s="57">
        <f t="shared" si="1"/>
        <v>1.2660333333333331</v>
      </c>
      <c r="K36" s="58">
        <f t="shared" si="2"/>
        <v>5.4950000000000006E-2</v>
      </c>
      <c r="L36" s="56"/>
      <c r="M36" s="62">
        <f t="shared" si="3"/>
        <v>1.2522958333333332</v>
      </c>
      <c r="N36" s="56">
        <f t="shared" si="4"/>
        <v>88.870426108333319</v>
      </c>
      <c r="O36" s="58">
        <f t="shared" si="5"/>
        <v>177.74085221666664</v>
      </c>
      <c r="P36" s="56">
        <f t="shared" si="6"/>
        <v>17.774085221666663</v>
      </c>
      <c r="Q36" s="57">
        <f>AVERAGE(P36:P38)</f>
        <v>17.430018398333331</v>
      </c>
      <c r="R36" s="56">
        <f>STDEV(P36:P38)</f>
        <v>0.31415389264332272</v>
      </c>
      <c r="S36" s="58">
        <f>R36/Q36*100</f>
        <v>1.8023726967113372</v>
      </c>
      <c r="T36" s="63">
        <f>D54</f>
        <v>10</v>
      </c>
      <c r="U36" s="64">
        <f>Q54</f>
        <v>4.0183906116666668</v>
      </c>
    </row>
    <row r="37" spans="1:21" ht="14.45" customHeight="1" x14ac:dyDescent="0.25">
      <c r="A37" s="18">
        <v>11</v>
      </c>
      <c r="B37" s="30">
        <v>10</v>
      </c>
      <c r="D37" s="77"/>
      <c r="E37" s="17" t="s">
        <v>61</v>
      </c>
      <c r="F37" s="17">
        <f t="shared" ref="F37" si="11">F36</f>
        <v>10</v>
      </c>
      <c r="G37" s="57">
        <v>1.2487999999999999</v>
      </c>
      <c r="H37" s="58">
        <v>4.02E-2</v>
      </c>
      <c r="I37" s="56"/>
      <c r="J37" s="57">
        <f t="shared" si="1"/>
        <v>1.2094333333333331</v>
      </c>
      <c r="K37" s="58">
        <f t="shared" si="2"/>
        <v>2.0500000000000032E-3</v>
      </c>
      <c r="L37" s="56"/>
      <c r="M37" s="62">
        <f t="shared" si="3"/>
        <v>1.2089208333333332</v>
      </c>
      <c r="N37" s="56">
        <f t="shared" si="4"/>
        <v>85.792275858333312</v>
      </c>
      <c r="O37" s="58">
        <f t="shared" si="5"/>
        <v>171.58455171666662</v>
      </c>
      <c r="P37" s="56">
        <f t="shared" si="6"/>
        <v>17.158455171666663</v>
      </c>
      <c r="Q37" s="57"/>
      <c r="R37" s="56"/>
      <c r="S37" s="58"/>
      <c r="T37" s="63">
        <f>D57</f>
        <v>11</v>
      </c>
      <c r="U37" s="64">
        <f>Q57</f>
        <v>1.4150029016666668</v>
      </c>
    </row>
    <row r="38" spans="1:21" ht="14.45" customHeight="1" x14ac:dyDescent="0.25">
      <c r="A38" s="18">
        <v>12</v>
      </c>
      <c r="B38" s="30">
        <v>10</v>
      </c>
      <c r="D38" s="78"/>
      <c r="E38" s="22" t="s">
        <v>62</v>
      </c>
      <c r="F38" s="22">
        <f t="shared" ref="F38" si="12">F36</f>
        <v>10</v>
      </c>
      <c r="G38" s="65">
        <v>1.2632000000000001</v>
      </c>
      <c r="H38" s="66">
        <v>4.1700000000000001E-2</v>
      </c>
      <c r="I38" s="56"/>
      <c r="J38" s="57">
        <f t="shared" si="1"/>
        <v>1.2238333333333333</v>
      </c>
      <c r="K38" s="58">
        <f t="shared" si="2"/>
        <v>3.5500000000000045E-3</v>
      </c>
      <c r="L38" s="56"/>
      <c r="M38" s="62">
        <f t="shared" si="3"/>
        <v>1.2229458333333334</v>
      </c>
      <c r="N38" s="56">
        <f t="shared" si="4"/>
        <v>86.787574008333337</v>
      </c>
      <c r="O38" s="58">
        <f t="shared" si="5"/>
        <v>173.57514801666667</v>
      </c>
      <c r="P38" s="56">
        <f t="shared" si="6"/>
        <v>17.357514801666667</v>
      </c>
      <c r="Q38" s="57"/>
      <c r="R38" s="56"/>
      <c r="S38" s="58"/>
      <c r="T38" s="63">
        <f>D60</f>
        <v>12</v>
      </c>
      <c r="U38" s="64">
        <f>Q60</f>
        <v>1.4753240016666664</v>
      </c>
    </row>
    <row r="39" spans="1:21" ht="14.45" customHeight="1" x14ac:dyDescent="0.25">
      <c r="A39" s="18">
        <v>13</v>
      </c>
      <c r="B39" s="30">
        <v>10</v>
      </c>
      <c r="D39" s="76">
        <f>A31</f>
        <v>5</v>
      </c>
      <c r="E39" s="12" t="s">
        <v>63</v>
      </c>
      <c r="F39" s="12">
        <f>B31</f>
        <v>10</v>
      </c>
      <c r="G39" s="54">
        <v>0.1404</v>
      </c>
      <c r="H39" s="55">
        <v>5.8500000000000003E-2</v>
      </c>
      <c r="I39" s="56"/>
      <c r="J39" s="57">
        <f t="shared" si="1"/>
        <v>0.10103333333333334</v>
      </c>
      <c r="K39" s="58">
        <f t="shared" si="2"/>
        <v>2.0350000000000007E-2</v>
      </c>
      <c r="L39" s="56"/>
      <c r="M39" s="62">
        <f t="shared" si="3"/>
        <v>9.5945833333333341E-2</v>
      </c>
      <c r="N39" s="56">
        <f t="shared" si="4"/>
        <v>6.8088920083333333</v>
      </c>
      <c r="O39" s="58">
        <f t="shared" si="5"/>
        <v>13.617784016666667</v>
      </c>
      <c r="P39" s="56">
        <f t="shared" si="6"/>
        <v>1.3617784016666667</v>
      </c>
      <c r="Q39" s="57">
        <f>AVERAGE(P39:P41)</f>
        <v>0.56412056166666669</v>
      </c>
      <c r="R39" s="56">
        <f>STDEV(P39:P41)</f>
        <v>0.69082840417621749</v>
      </c>
      <c r="S39" s="58">
        <f>R39/Q39*100</f>
        <v>122.46112819132114</v>
      </c>
      <c r="T39" s="63">
        <f>D63</f>
        <v>13</v>
      </c>
      <c r="U39" s="64">
        <f>Q63</f>
        <v>0.22880621166666656</v>
      </c>
    </row>
    <row r="40" spans="1:21" ht="14.45" customHeight="1" x14ac:dyDescent="0.25">
      <c r="A40" s="18">
        <v>14</v>
      </c>
      <c r="B40" s="30">
        <v>10</v>
      </c>
      <c r="D40" s="77"/>
      <c r="E40" s="17" t="s">
        <v>64</v>
      </c>
      <c r="F40" s="17">
        <f t="shared" ref="F40" si="13">F39</f>
        <v>10</v>
      </c>
      <c r="G40" s="57">
        <v>5.2200000000000003E-2</v>
      </c>
      <c r="H40" s="58">
        <v>4.0899999999999999E-2</v>
      </c>
      <c r="I40" s="56"/>
      <c r="J40" s="57">
        <f t="shared" si="1"/>
        <v>1.2833333333333335E-2</v>
      </c>
      <c r="K40" s="58">
        <f t="shared" si="2"/>
        <v>2.7500000000000024E-3</v>
      </c>
      <c r="L40" s="56"/>
      <c r="M40" s="62">
        <f t="shared" si="3"/>
        <v>1.2145833333333335E-2</v>
      </c>
      <c r="N40" s="56">
        <f t="shared" si="4"/>
        <v>0.86194120833333332</v>
      </c>
      <c r="O40" s="58">
        <f t="shared" si="5"/>
        <v>1.7238824166666666</v>
      </c>
      <c r="P40" s="56">
        <f t="shared" si="6"/>
        <v>0.17238824166666666</v>
      </c>
      <c r="Q40" s="57"/>
      <c r="R40" s="56"/>
      <c r="S40" s="58"/>
      <c r="T40" s="63">
        <f>D66</f>
        <v>14</v>
      </c>
      <c r="U40" s="64">
        <f>Q66</f>
        <v>0.13205589833333328</v>
      </c>
    </row>
    <row r="41" spans="1:21" ht="14.45" customHeight="1" x14ac:dyDescent="0.25">
      <c r="A41" s="18">
        <v>15</v>
      </c>
      <c r="B41" s="30">
        <v>10</v>
      </c>
      <c r="D41" s="78"/>
      <c r="E41" s="22" t="s">
        <v>65</v>
      </c>
      <c r="F41" s="22">
        <f t="shared" ref="F41" si="14">F39</f>
        <v>10</v>
      </c>
      <c r="G41" s="65">
        <v>5.1299999999999998E-2</v>
      </c>
      <c r="H41" s="66">
        <v>4.1300000000000003E-2</v>
      </c>
      <c r="I41" s="56"/>
      <c r="J41" s="57">
        <f t="shared" si="1"/>
        <v>1.1933333333333331E-2</v>
      </c>
      <c r="K41" s="58">
        <f t="shared" si="2"/>
        <v>3.150000000000007E-3</v>
      </c>
      <c r="L41" s="56"/>
      <c r="M41" s="62">
        <f t="shared" si="3"/>
        <v>1.1145833333333329E-2</v>
      </c>
      <c r="N41" s="56">
        <f t="shared" si="4"/>
        <v>0.7909752083333329</v>
      </c>
      <c r="O41" s="58">
        <f t="shared" si="5"/>
        <v>1.5819504166666658</v>
      </c>
      <c r="P41" s="56">
        <f t="shared" si="6"/>
        <v>0.15819504166666659</v>
      </c>
      <c r="Q41" s="57"/>
      <c r="R41" s="56"/>
      <c r="S41" s="58"/>
      <c r="T41" s="63">
        <f>D69</f>
        <v>15</v>
      </c>
      <c r="U41" s="64">
        <f>Q69</f>
        <v>-1.4784583333333351E-3</v>
      </c>
    </row>
    <row r="42" spans="1:21" ht="14.45" customHeight="1" x14ac:dyDescent="0.25">
      <c r="A42" s="18">
        <v>16</v>
      </c>
      <c r="B42" s="30">
        <v>10</v>
      </c>
      <c r="D42" s="76">
        <f>A32</f>
        <v>6</v>
      </c>
      <c r="E42" s="12" t="s">
        <v>66</v>
      </c>
      <c r="F42" s="12">
        <f>B32</f>
        <v>10</v>
      </c>
      <c r="G42" s="54">
        <v>0.1595</v>
      </c>
      <c r="H42" s="55">
        <v>4.2700000000000002E-2</v>
      </c>
      <c r="I42" s="56"/>
      <c r="J42" s="57">
        <f t="shared" si="1"/>
        <v>0.12013333333333334</v>
      </c>
      <c r="K42" s="58">
        <f t="shared" si="2"/>
        <v>4.5500000000000054E-3</v>
      </c>
      <c r="L42" s="56"/>
      <c r="M42" s="62">
        <f t="shared" si="3"/>
        <v>0.11899583333333334</v>
      </c>
      <c r="N42" s="56">
        <f t="shared" si="4"/>
        <v>8.4446583083333326</v>
      </c>
      <c r="O42" s="58">
        <f t="shared" si="5"/>
        <v>16.889316616666665</v>
      </c>
      <c r="P42" s="56">
        <f t="shared" si="6"/>
        <v>1.6889316616666665</v>
      </c>
      <c r="Q42" s="57">
        <f>AVERAGE(P42:P44)</f>
        <v>1.7609621516666667</v>
      </c>
      <c r="R42" s="56">
        <f>STDEV(P42:P44)</f>
        <v>6.4094713882488843E-2</v>
      </c>
      <c r="S42" s="58">
        <f>R42/Q42*100</f>
        <v>3.6397553361283919</v>
      </c>
      <c r="T42" s="63">
        <f>D72</f>
        <v>16</v>
      </c>
      <c r="U42" s="64">
        <f>Q72</f>
        <v>3.8735608333333331E-2</v>
      </c>
    </row>
    <row r="43" spans="1:21" ht="14.45" customHeight="1" x14ac:dyDescent="0.25">
      <c r="A43" s="18">
        <v>17</v>
      </c>
      <c r="B43" s="30">
        <v>10</v>
      </c>
      <c r="D43" s="77"/>
      <c r="E43" s="17" t="s">
        <v>67</v>
      </c>
      <c r="F43" s="17">
        <f t="shared" ref="F43" si="15">F42</f>
        <v>10</v>
      </c>
      <c r="G43" s="57">
        <v>0.1678</v>
      </c>
      <c r="H43" s="58">
        <v>4.1300000000000003E-2</v>
      </c>
      <c r="I43" s="56"/>
      <c r="J43" s="57">
        <f t="shared" si="1"/>
        <v>0.12843333333333334</v>
      </c>
      <c r="K43" s="58">
        <f t="shared" si="2"/>
        <v>3.150000000000007E-3</v>
      </c>
      <c r="L43" s="56"/>
      <c r="M43" s="62">
        <f t="shared" si="3"/>
        <v>0.12764583333333335</v>
      </c>
      <c r="N43" s="56">
        <f t="shared" si="4"/>
        <v>9.0585142083333334</v>
      </c>
      <c r="O43" s="58">
        <f t="shared" si="5"/>
        <v>18.117028416666667</v>
      </c>
      <c r="P43" s="56">
        <f t="shared" si="6"/>
        <v>1.8117028416666667</v>
      </c>
      <c r="Q43" s="57"/>
      <c r="R43" s="56"/>
      <c r="S43" s="58"/>
      <c r="T43" s="63">
        <f>D75</f>
        <v>17</v>
      </c>
      <c r="U43" s="64">
        <f>Q75</f>
        <v>0.86087671833333312</v>
      </c>
    </row>
    <row r="44" spans="1:21" ht="14.45" customHeight="1" x14ac:dyDescent="0.25">
      <c r="A44" s="18">
        <v>18</v>
      </c>
      <c r="B44" s="30">
        <v>10</v>
      </c>
      <c r="D44" s="78"/>
      <c r="E44" s="22" t="s">
        <v>68</v>
      </c>
      <c r="F44" s="22">
        <f t="shared" ref="F44" si="16">F42</f>
        <v>10</v>
      </c>
      <c r="G44" s="65">
        <v>0.16569999999999999</v>
      </c>
      <c r="H44" s="66">
        <v>4.1200000000000001E-2</v>
      </c>
      <c r="I44" s="56"/>
      <c r="J44" s="57">
        <f t="shared" si="1"/>
        <v>0.12633333333333333</v>
      </c>
      <c r="K44" s="58">
        <f t="shared" si="2"/>
        <v>3.0500000000000041E-3</v>
      </c>
      <c r="L44" s="56"/>
      <c r="M44" s="62">
        <f t="shared" si="3"/>
        <v>0.12557083333333333</v>
      </c>
      <c r="N44" s="56">
        <f t="shared" si="4"/>
        <v>8.9112597583333315</v>
      </c>
      <c r="O44" s="58">
        <f t="shared" si="5"/>
        <v>17.822519516666663</v>
      </c>
      <c r="P44" s="56">
        <f t="shared" si="6"/>
        <v>1.7822519516666664</v>
      </c>
      <c r="Q44" s="57"/>
      <c r="R44" s="56"/>
      <c r="S44" s="58"/>
      <c r="T44" s="63">
        <f>D78</f>
        <v>18</v>
      </c>
      <c r="U44" s="64">
        <f>Q78</f>
        <v>0.75620186833333325</v>
      </c>
    </row>
    <row r="45" spans="1:21" ht="14.45" customHeight="1" x14ac:dyDescent="0.25">
      <c r="A45" s="18">
        <v>19</v>
      </c>
      <c r="B45" s="30">
        <v>10</v>
      </c>
      <c r="D45" s="76">
        <f>A33</f>
        <v>7</v>
      </c>
      <c r="E45" s="12" t="s">
        <v>69</v>
      </c>
      <c r="F45" s="12">
        <f>B33</f>
        <v>10</v>
      </c>
      <c r="G45" s="54">
        <v>0.66490000000000005</v>
      </c>
      <c r="H45" s="55">
        <v>3.8699999999999998E-2</v>
      </c>
      <c r="I45" s="56"/>
      <c r="J45" s="57">
        <f t="shared" si="1"/>
        <v>0.62553333333333339</v>
      </c>
      <c r="K45" s="58">
        <f t="shared" si="2"/>
        <v>5.5000000000000188E-4</v>
      </c>
      <c r="L45" s="56"/>
      <c r="M45" s="62">
        <f t="shared" si="3"/>
        <v>0.62539583333333337</v>
      </c>
      <c r="N45" s="56">
        <f t="shared" si="4"/>
        <v>44.381840708333335</v>
      </c>
      <c r="O45" s="58">
        <f t="shared" si="5"/>
        <v>88.763681416666671</v>
      </c>
      <c r="P45" s="56">
        <f t="shared" si="6"/>
        <v>8.8763681416666671</v>
      </c>
      <c r="Q45" s="57">
        <f>AVERAGE(P45:P47)</f>
        <v>9.3640228383333319</v>
      </c>
      <c r="R45" s="56">
        <f>STDEV(P45:P47)</f>
        <v>0.49908127155950305</v>
      </c>
      <c r="S45" s="58">
        <f>R45/Q45*100</f>
        <v>5.329774181203649</v>
      </c>
      <c r="T45" s="63">
        <f>D81</f>
        <v>19</v>
      </c>
      <c r="U45" s="64">
        <f>Q81</f>
        <v>6.7122008333333302E-2</v>
      </c>
    </row>
    <row r="46" spans="1:21" ht="14.45" customHeight="1" x14ac:dyDescent="0.25">
      <c r="A46" s="18">
        <v>20</v>
      </c>
      <c r="B46" s="30">
        <v>10</v>
      </c>
      <c r="D46" s="77"/>
      <c r="E46" s="17" t="s">
        <v>70</v>
      </c>
      <c r="F46" s="17">
        <f t="shared" ref="F46" si="17">F45</f>
        <v>10</v>
      </c>
      <c r="G46" s="57">
        <v>0.69769999999999999</v>
      </c>
      <c r="H46" s="58">
        <v>3.8699999999999998E-2</v>
      </c>
      <c r="I46" s="56"/>
      <c r="J46" s="57">
        <f t="shared" si="1"/>
        <v>0.65833333333333333</v>
      </c>
      <c r="K46" s="58">
        <f t="shared" si="2"/>
        <v>5.5000000000000188E-4</v>
      </c>
      <c r="L46" s="56"/>
      <c r="M46" s="62">
        <f t="shared" si="3"/>
        <v>0.65819583333333331</v>
      </c>
      <c r="N46" s="56">
        <f t="shared" si="4"/>
        <v>46.709525508333329</v>
      </c>
      <c r="O46" s="58">
        <f t="shared" si="5"/>
        <v>93.419051016666657</v>
      </c>
      <c r="P46" s="56">
        <f t="shared" si="6"/>
        <v>9.341905101666665</v>
      </c>
      <c r="Q46" s="57"/>
      <c r="R46" s="56"/>
      <c r="S46" s="58"/>
      <c r="T46" s="63">
        <f>D84</f>
        <v>20</v>
      </c>
      <c r="U46" s="64">
        <f>Q84</f>
        <v>5.1982594999999958E-2</v>
      </c>
    </row>
    <row r="47" spans="1:21" ht="14.45" customHeight="1" x14ac:dyDescent="0.25">
      <c r="A47" s="18">
        <v>21</v>
      </c>
      <c r="B47" s="30">
        <v>10</v>
      </c>
      <c r="D47" s="78"/>
      <c r="E47" s="22" t="s">
        <v>71</v>
      </c>
      <c r="F47" s="22">
        <f t="shared" ref="F47" si="18">F45</f>
        <v>10</v>
      </c>
      <c r="G47" s="65">
        <v>0.73570000000000002</v>
      </c>
      <c r="H47" s="66">
        <v>4.0800000000000003E-2</v>
      </c>
      <c r="I47" s="56"/>
      <c r="J47" s="57">
        <f t="shared" si="1"/>
        <v>0.69633333333333336</v>
      </c>
      <c r="K47" s="58">
        <f t="shared" si="2"/>
        <v>2.6500000000000065E-3</v>
      </c>
      <c r="L47" s="56"/>
      <c r="M47" s="62">
        <f t="shared" si="3"/>
        <v>0.69567083333333335</v>
      </c>
      <c r="N47" s="56">
        <f t="shared" si="4"/>
        <v>49.368976358333327</v>
      </c>
      <c r="O47" s="58">
        <f t="shared" si="5"/>
        <v>98.737952716666655</v>
      </c>
      <c r="P47" s="56">
        <f t="shared" si="6"/>
        <v>9.8737952716666655</v>
      </c>
      <c r="Q47" s="57"/>
      <c r="R47" s="56"/>
      <c r="S47" s="58"/>
      <c r="T47" s="63">
        <f>D87</f>
        <v>21</v>
      </c>
      <c r="U47" s="64">
        <f>Q87</f>
        <v>3.9918374999999971E-2</v>
      </c>
    </row>
    <row r="48" spans="1:21" ht="14.45" customHeight="1" x14ac:dyDescent="0.25">
      <c r="A48" s="18">
        <v>22</v>
      </c>
      <c r="B48" s="30">
        <v>10</v>
      </c>
      <c r="D48" s="76">
        <f>A34</f>
        <v>8</v>
      </c>
      <c r="E48" s="12" t="s">
        <v>72</v>
      </c>
      <c r="F48" s="12">
        <f>B34</f>
        <v>10</v>
      </c>
      <c r="G48" s="54">
        <v>5.16E-2</v>
      </c>
      <c r="H48" s="55">
        <v>3.7999999999999999E-2</v>
      </c>
      <c r="I48" s="56"/>
      <c r="J48" s="57">
        <f t="shared" si="1"/>
        <v>1.2233333333333332E-2</v>
      </c>
      <c r="K48" s="58">
        <f t="shared" si="2"/>
        <v>-1.4999999999999736E-4</v>
      </c>
      <c r="L48" s="56"/>
      <c r="M48" s="62">
        <f t="shared" si="3"/>
        <v>1.2270833333333332E-2</v>
      </c>
      <c r="N48" s="56">
        <f t="shared" si="4"/>
        <v>0.87081195833333314</v>
      </c>
      <c r="O48" s="58">
        <f t="shared" si="5"/>
        <v>1.7416239166666663</v>
      </c>
      <c r="P48" s="56">
        <f t="shared" si="6"/>
        <v>0.17416239166666664</v>
      </c>
      <c r="Q48" s="57">
        <f>AVERAGE(P48:P50)</f>
        <v>0.18811903833333332</v>
      </c>
      <c r="R48" s="56">
        <f>STDEV(P48:P50)</f>
        <v>1.2501569512446567E-2</v>
      </c>
      <c r="S48" s="58">
        <f>R48/Q48*100</f>
        <v>6.6455631621370985</v>
      </c>
      <c r="T48" s="63">
        <f>D90</f>
        <v>22</v>
      </c>
      <c r="U48" s="64">
        <f>Q90</f>
        <v>2.1348938333333286E-2</v>
      </c>
    </row>
    <row r="49" spans="1:22" ht="14.45" customHeight="1" x14ac:dyDescent="0.25">
      <c r="A49" s="18">
        <v>23</v>
      </c>
      <c r="B49" s="30">
        <v>10</v>
      </c>
      <c r="D49" s="77"/>
      <c r="E49" s="17" t="s">
        <v>73</v>
      </c>
      <c r="F49" s="17">
        <f t="shared" ref="F49" si="19">F48</f>
        <v>10</v>
      </c>
      <c r="G49" s="57">
        <v>5.28E-2</v>
      </c>
      <c r="H49" s="58">
        <v>3.78E-2</v>
      </c>
      <c r="I49" s="56"/>
      <c r="J49" s="57">
        <f t="shared" si="1"/>
        <v>1.3433333333333332E-2</v>
      </c>
      <c r="K49" s="58">
        <f t="shared" si="2"/>
        <v>-3.4999999999999615E-4</v>
      </c>
      <c r="L49" s="56"/>
      <c r="M49" s="62">
        <f t="shared" si="3"/>
        <v>1.3520833333333331E-2</v>
      </c>
      <c r="N49" s="56">
        <f t="shared" si="4"/>
        <v>0.95951945833333308</v>
      </c>
      <c r="O49" s="58">
        <f t="shared" si="5"/>
        <v>1.9190389166666662</v>
      </c>
      <c r="P49" s="56">
        <f t="shared" si="6"/>
        <v>0.1919038916666666</v>
      </c>
      <c r="Q49" s="57"/>
      <c r="R49" s="56"/>
      <c r="S49" s="58"/>
      <c r="T49" s="63">
        <f>D93</f>
        <v>23</v>
      </c>
      <c r="U49" s="64">
        <f>Q93</f>
        <v>0.72556821166666641</v>
      </c>
    </row>
    <row r="50" spans="1:22" ht="14.45" customHeight="1" x14ac:dyDescent="0.25">
      <c r="A50" s="23">
        <v>24</v>
      </c>
      <c r="B50" s="30">
        <v>10</v>
      </c>
      <c r="D50" s="78"/>
      <c r="E50" s="22" t="s">
        <v>74</v>
      </c>
      <c r="F50" s="22">
        <f t="shared" ref="F50" si="20">F48</f>
        <v>10</v>
      </c>
      <c r="G50" s="65">
        <v>5.3400000000000003E-2</v>
      </c>
      <c r="H50" s="66">
        <v>3.8399999999999997E-2</v>
      </c>
      <c r="I50" s="56"/>
      <c r="J50" s="57">
        <f t="shared" si="1"/>
        <v>1.4033333333333335E-2</v>
      </c>
      <c r="K50" s="58">
        <f t="shared" si="2"/>
        <v>2.5000000000000022E-4</v>
      </c>
      <c r="L50" s="56"/>
      <c r="M50" s="62">
        <f t="shared" si="3"/>
        <v>1.3970833333333335E-2</v>
      </c>
      <c r="N50" s="56">
        <f t="shared" si="4"/>
        <v>0.99145415833333339</v>
      </c>
      <c r="O50" s="58">
        <f t="shared" si="5"/>
        <v>1.9829083166666668</v>
      </c>
      <c r="P50" s="56">
        <f t="shared" si="6"/>
        <v>0.19829083166666667</v>
      </c>
      <c r="Q50" s="57"/>
      <c r="R50" s="56"/>
      <c r="S50" s="58"/>
      <c r="T50" s="67">
        <f>D96</f>
        <v>24</v>
      </c>
      <c r="U50" s="68">
        <f>Q96</f>
        <v>3.8025948333333288E-2</v>
      </c>
    </row>
    <row r="51" spans="1:22" ht="14.45" customHeight="1" x14ac:dyDescent="0.25">
      <c r="D51" s="76">
        <f>A35</f>
        <v>9</v>
      </c>
      <c r="E51" s="12" t="s">
        <v>75</v>
      </c>
      <c r="F51" s="12">
        <f>B35</f>
        <v>10</v>
      </c>
      <c r="G51" s="54">
        <v>5.62E-2</v>
      </c>
      <c r="H51" s="55">
        <v>3.9899999999999998E-2</v>
      </c>
      <c r="I51" s="56"/>
      <c r="J51" s="57">
        <f t="shared" si="1"/>
        <v>1.6833333333333332E-2</v>
      </c>
      <c r="K51" s="58">
        <f t="shared" si="2"/>
        <v>1.7500000000000016E-3</v>
      </c>
      <c r="L51" s="56"/>
      <c r="M51" s="62">
        <f t="shared" si="3"/>
        <v>1.6395833333333332E-2</v>
      </c>
      <c r="N51" s="56">
        <f t="shared" si="4"/>
        <v>1.1635467083333331</v>
      </c>
      <c r="O51" s="58">
        <f t="shared" si="5"/>
        <v>2.3270934166666661</v>
      </c>
      <c r="P51" s="56">
        <f t="shared" si="6"/>
        <v>0.23270934166666662</v>
      </c>
      <c r="Q51" s="57">
        <f>AVERAGE(P51:P53)</f>
        <v>0.24311768833333328</v>
      </c>
      <c r="R51" s="56">
        <f>STDEV(P51:P53)</f>
        <v>1.065278219286084E-2</v>
      </c>
      <c r="S51" s="58">
        <f>R51/Q51*100</f>
        <v>4.3817388466836054</v>
      </c>
      <c r="T51" s="56"/>
      <c r="U51" s="56"/>
      <c r="V51" s="56"/>
    </row>
    <row r="52" spans="1:22" ht="14.45" customHeight="1" x14ac:dyDescent="0.25">
      <c r="D52" s="77"/>
      <c r="E52" s="17" t="s">
        <v>76</v>
      </c>
      <c r="F52" s="17">
        <f t="shared" ref="F52" si="21">F51</f>
        <v>10</v>
      </c>
      <c r="G52" s="57">
        <v>5.6800000000000003E-2</v>
      </c>
      <c r="H52" s="58">
        <v>3.95E-2</v>
      </c>
      <c r="I52" s="56"/>
      <c r="J52" s="57">
        <f t="shared" si="1"/>
        <v>1.7433333333333335E-2</v>
      </c>
      <c r="K52" s="58">
        <f t="shared" si="2"/>
        <v>1.350000000000004E-3</v>
      </c>
      <c r="L52" s="56"/>
      <c r="M52" s="62">
        <f t="shared" si="3"/>
        <v>1.7095833333333334E-2</v>
      </c>
      <c r="N52" s="56">
        <f t="shared" si="4"/>
        <v>1.2132229083333332</v>
      </c>
      <c r="O52" s="58">
        <f t="shared" si="5"/>
        <v>2.4264458166666665</v>
      </c>
      <c r="P52" s="56">
        <f t="shared" si="6"/>
        <v>0.24264458166666664</v>
      </c>
      <c r="Q52" s="57"/>
      <c r="R52" s="56"/>
      <c r="S52" s="58"/>
      <c r="T52" s="56"/>
    </row>
    <row r="53" spans="1:22" ht="14.45" customHeight="1" x14ac:dyDescent="0.25">
      <c r="D53" s="78"/>
      <c r="E53" s="22" t="s">
        <v>77</v>
      </c>
      <c r="F53" s="22">
        <f t="shared" ref="F53" si="22">F51</f>
        <v>10</v>
      </c>
      <c r="G53" s="65">
        <v>5.7599999999999998E-2</v>
      </c>
      <c r="H53" s="66">
        <v>3.95E-2</v>
      </c>
      <c r="I53" s="56"/>
      <c r="J53" s="57">
        <f t="shared" si="1"/>
        <v>1.8233333333333331E-2</v>
      </c>
      <c r="K53" s="58">
        <f t="shared" si="2"/>
        <v>1.350000000000004E-3</v>
      </c>
      <c r="L53" s="56"/>
      <c r="M53" s="62">
        <f t="shared" si="3"/>
        <v>1.789583333333333E-2</v>
      </c>
      <c r="N53" s="56">
        <f t="shared" si="4"/>
        <v>1.2699957083333329</v>
      </c>
      <c r="O53" s="58">
        <f t="shared" si="5"/>
        <v>2.5399914166666657</v>
      </c>
      <c r="P53" s="56">
        <f t="shared" si="6"/>
        <v>0.25399914166666659</v>
      </c>
      <c r="Q53" s="57"/>
      <c r="R53" s="56"/>
      <c r="S53" s="58"/>
      <c r="T53" s="56"/>
    </row>
    <row r="54" spans="1:22" ht="14.45" customHeight="1" x14ac:dyDescent="0.25">
      <c r="D54" s="76">
        <f>A36</f>
        <v>10</v>
      </c>
      <c r="E54" s="12" t="s">
        <v>78</v>
      </c>
      <c r="F54" s="12">
        <f>B36</f>
        <v>10</v>
      </c>
      <c r="G54" s="54">
        <v>0.3095</v>
      </c>
      <c r="H54" s="55">
        <v>3.9600000000000003E-2</v>
      </c>
      <c r="I54" s="56"/>
      <c r="J54" s="57">
        <f t="shared" si="1"/>
        <v>0.27013333333333334</v>
      </c>
      <c r="K54" s="58">
        <f t="shared" si="2"/>
        <v>1.4500000000000068E-3</v>
      </c>
      <c r="L54" s="56"/>
      <c r="M54" s="62">
        <f t="shared" si="3"/>
        <v>0.26977083333333335</v>
      </c>
      <c r="N54" s="56">
        <f t="shared" si="4"/>
        <v>19.144556958333332</v>
      </c>
      <c r="O54" s="58">
        <f t="shared" si="5"/>
        <v>38.289113916666665</v>
      </c>
      <c r="P54" s="56">
        <f t="shared" si="6"/>
        <v>3.8289113916666664</v>
      </c>
      <c r="Q54" s="57">
        <f>AVERAGE(P54:P56)</f>
        <v>4.0183906116666668</v>
      </c>
      <c r="R54" s="56">
        <f>STDEV(P54:P56)</f>
        <v>0.18755811688019985</v>
      </c>
      <c r="S54" s="58">
        <f>R54/Q54*100</f>
        <v>4.6674934073272754</v>
      </c>
      <c r="T54" s="56"/>
    </row>
    <row r="55" spans="1:22" ht="14.45" customHeight="1" x14ac:dyDescent="0.25">
      <c r="D55" s="77"/>
      <c r="E55" s="17" t="s">
        <v>79</v>
      </c>
      <c r="F55" s="17">
        <f t="shared" ref="F55" si="23">F54</f>
        <v>10</v>
      </c>
      <c r="G55" s="57">
        <v>0.33629999999999999</v>
      </c>
      <c r="H55" s="58">
        <v>4.1099999999999998E-2</v>
      </c>
      <c r="I55" s="56"/>
      <c r="J55" s="57">
        <f t="shared" si="1"/>
        <v>0.29693333333333333</v>
      </c>
      <c r="K55" s="58">
        <f t="shared" si="2"/>
        <v>2.9500000000000012E-3</v>
      </c>
      <c r="L55" s="56"/>
      <c r="M55" s="62">
        <f t="shared" si="3"/>
        <v>0.29619583333333332</v>
      </c>
      <c r="N55" s="56">
        <f t="shared" si="4"/>
        <v>21.019833508333331</v>
      </c>
      <c r="O55" s="58">
        <f t="shared" si="5"/>
        <v>42.039667016666662</v>
      </c>
      <c r="P55" s="56">
        <f t="shared" si="6"/>
        <v>4.2039667016666664</v>
      </c>
      <c r="Q55" s="57"/>
      <c r="R55" s="56"/>
      <c r="S55" s="58"/>
      <c r="T55" s="56"/>
    </row>
    <row r="56" spans="1:22" ht="14.45" customHeight="1" x14ac:dyDescent="0.25">
      <c r="D56" s="78"/>
      <c r="E56" s="22" t="s">
        <v>80</v>
      </c>
      <c r="F56" s="22">
        <f t="shared" ref="F56" si="24">F54</f>
        <v>10</v>
      </c>
      <c r="G56" s="65">
        <v>0.3231</v>
      </c>
      <c r="H56" s="66">
        <v>3.95E-2</v>
      </c>
      <c r="I56" s="56"/>
      <c r="J56" s="57">
        <f t="shared" si="1"/>
        <v>0.28373333333333334</v>
      </c>
      <c r="K56" s="58">
        <f t="shared" si="2"/>
        <v>1.350000000000004E-3</v>
      </c>
      <c r="L56" s="56"/>
      <c r="M56" s="62">
        <f t="shared" si="3"/>
        <v>0.28339583333333335</v>
      </c>
      <c r="N56" s="56">
        <f t="shared" si="4"/>
        <v>20.111468708333334</v>
      </c>
      <c r="O56" s="58">
        <f t="shared" si="5"/>
        <v>40.222937416666667</v>
      </c>
      <c r="P56" s="56">
        <f t="shared" si="6"/>
        <v>4.0222937416666671</v>
      </c>
      <c r="Q56" s="57"/>
      <c r="R56" s="56"/>
      <c r="S56" s="58"/>
      <c r="T56" s="56"/>
    </row>
    <row r="57" spans="1:22" ht="14.45" customHeight="1" x14ac:dyDescent="0.25">
      <c r="D57" s="76">
        <f>A37</f>
        <v>11</v>
      </c>
      <c r="E57" s="12" t="s">
        <v>81</v>
      </c>
      <c r="F57" s="12">
        <f>B37</f>
        <v>10</v>
      </c>
      <c r="G57" s="54">
        <v>0.14219999999999999</v>
      </c>
      <c r="H57" s="55">
        <v>4.9599999999999998E-2</v>
      </c>
      <c r="I57" s="56"/>
      <c r="J57" s="57">
        <f t="shared" si="1"/>
        <v>0.10283333333333333</v>
      </c>
      <c r="K57" s="58">
        <f t="shared" si="2"/>
        <v>1.1450000000000002E-2</v>
      </c>
      <c r="L57" s="56"/>
      <c r="M57" s="62">
        <f t="shared" si="3"/>
        <v>9.9970833333333328E-2</v>
      </c>
      <c r="N57" s="56">
        <f t="shared" si="4"/>
        <v>7.094530158333332</v>
      </c>
      <c r="O57" s="58">
        <f t="shared" si="5"/>
        <v>14.189060316666664</v>
      </c>
      <c r="P57" s="56">
        <f t="shared" si="6"/>
        <v>1.4189060316666664</v>
      </c>
      <c r="Q57" s="57">
        <f>AVERAGE(P57:P59)</f>
        <v>1.4150029016666668</v>
      </c>
      <c r="R57" s="56">
        <f>STDEV(P57:P59)</f>
        <v>8.3441652597309457E-3</v>
      </c>
      <c r="S57" s="58">
        <f>R57/Q57*100</f>
        <v>0.58969244867998061</v>
      </c>
      <c r="T57" s="56"/>
    </row>
    <row r="58" spans="1:22" ht="14.45" customHeight="1" x14ac:dyDescent="0.25">
      <c r="D58" s="77"/>
      <c r="E58" s="17" t="s">
        <v>82</v>
      </c>
      <c r="F58" s="17">
        <f t="shared" ref="F58" si="25">F57</f>
        <v>10</v>
      </c>
      <c r="G58" s="57">
        <v>0.13919999999999999</v>
      </c>
      <c r="H58" s="58">
        <v>4.1399999999999999E-2</v>
      </c>
      <c r="I58" s="56"/>
      <c r="J58" s="57">
        <f t="shared" si="1"/>
        <v>9.9833333333333329E-2</v>
      </c>
      <c r="K58" s="58">
        <f t="shared" si="2"/>
        <v>3.2500000000000029E-3</v>
      </c>
      <c r="L58" s="56"/>
      <c r="M58" s="62">
        <f t="shared" si="3"/>
        <v>9.9020833333333336E-2</v>
      </c>
      <c r="N58" s="56">
        <f t="shared" si="4"/>
        <v>7.0271124583333329</v>
      </c>
      <c r="O58" s="58">
        <f t="shared" si="5"/>
        <v>14.054224916666666</v>
      </c>
      <c r="P58" s="56">
        <f t="shared" si="6"/>
        <v>1.4054224916666667</v>
      </c>
      <c r="Q58" s="57"/>
      <c r="R58" s="56"/>
      <c r="S58" s="58"/>
      <c r="T58" s="56"/>
    </row>
    <row r="59" spans="1:22" ht="14.45" customHeight="1" x14ac:dyDescent="0.25">
      <c r="D59" s="78"/>
      <c r="E59" s="22" t="s">
        <v>83</v>
      </c>
      <c r="F59" s="22">
        <f t="shared" ref="F59" si="26">F57</f>
        <v>10</v>
      </c>
      <c r="G59" s="65">
        <v>0.14050000000000001</v>
      </c>
      <c r="H59" s="66">
        <v>4.2299999999999997E-2</v>
      </c>
      <c r="I59" s="56"/>
      <c r="J59" s="57">
        <f t="shared" si="1"/>
        <v>0.10113333333333335</v>
      </c>
      <c r="K59" s="58">
        <f t="shared" si="2"/>
        <v>4.1500000000000009E-3</v>
      </c>
      <c r="L59" s="56"/>
      <c r="M59" s="62">
        <f t="shared" si="3"/>
        <v>0.10009583333333336</v>
      </c>
      <c r="N59" s="56">
        <f t="shared" si="4"/>
        <v>7.1034009083333345</v>
      </c>
      <c r="O59" s="58">
        <f t="shared" si="5"/>
        <v>14.206801816666669</v>
      </c>
      <c r="P59" s="56">
        <f t="shared" si="6"/>
        <v>1.420680181666667</v>
      </c>
      <c r="Q59" s="57"/>
      <c r="R59" s="56"/>
      <c r="S59" s="58"/>
      <c r="T59" s="56"/>
    </row>
    <row r="60" spans="1:22" ht="14.45" customHeight="1" x14ac:dyDescent="0.25">
      <c r="D60" s="76">
        <f>A38</f>
        <v>12</v>
      </c>
      <c r="E60" s="12" t="s">
        <v>84</v>
      </c>
      <c r="F60" s="12">
        <f>B38</f>
        <v>10</v>
      </c>
      <c r="G60" s="54">
        <v>0.1951</v>
      </c>
      <c r="H60" s="55">
        <v>0.2051</v>
      </c>
      <c r="I60" s="56"/>
      <c r="J60" s="57">
        <f t="shared" si="1"/>
        <v>0.15573333333333333</v>
      </c>
      <c r="K60" s="58">
        <f t="shared" si="2"/>
        <v>0.16695000000000002</v>
      </c>
      <c r="L60" s="56"/>
      <c r="M60" s="62">
        <f t="shared" si="3"/>
        <v>0.11399583333333332</v>
      </c>
      <c r="N60" s="56">
        <f t="shared" si="4"/>
        <v>8.0898283083333311</v>
      </c>
      <c r="O60" s="58">
        <f t="shared" si="5"/>
        <v>16.179656616666662</v>
      </c>
      <c r="P60" s="56">
        <f t="shared" si="6"/>
        <v>1.6179656616666662</v>
      </c>
      <c r="Q60" s="57">
        <f>AVERAGE(P60:P62)</f>
        <v>1.4753240016666664</v>
      </c>
      <c r="R60" s="56">
        <f>STDEV(P60:P62)</f>
        <v>0.12675081885584269</v>
      </c>
      <c r="S60" s="58">
        <f>R60/Q60*100</f>
        <v>8.5913886517573701</v>
      </c>
      <c r="T60" s="56"/>
    </row>
    <row r="61" spans="1:22" ht="14.45" customHeight="1" x14ac:dyDescent="0.25">
      <c r="D61" s="77"/>
      <c r="E61" s="17" t="s">
        <v>85</v>
      </c>
      <c r="F61" s="17">
        <f t="shared" ref="F61" si="27">F60</f>
        <v>10</v>
      </c>
      <c r="G61" s="57">
        <v>0.14030000000000001</v>
      </c>
      <c r="H61" s="58">
        <v>3.8199999999999998E-2</v>
      </c>
      <c r="I61" s="56"/>
      <c r="J61" s="57">
        <f t="shared" si="1"/>
        <v>0.10093333333333335</v>
      </c>
      <c r="K61" s="58">
        <f t="shared" si="2"/>
        <v>5.0000000000001432E-5</v>
      </c>
      <c r="L61" s="56"/>
      <c r="M61" s="62">
        <f t="shared" si="3"/>
        <v>0.10092083333333335</v>
      </c>
      <c r="N61" s="56">
        <f t="shared" si="4"/>
        <v>7.1619478583333338</v>
      </c>
      <c r="O61" s="58">
        <f t="shared" si="5"/>
        <v>14.323895716666668</v>
      </c>
      <c r="P61" s="56">
        <f t="shared" si="6"/>
        <v>1.4323895716666668</v>
      </c>
      <c r="Q61" s="57"/>
      <c r="R61" s="56"/>
      <c r="S61" s="58"/>
      <c r="T61" s="56"/>
    </row>
    <row r="62" spans="1:22" ht="14.45" customHeight="1" x14ac:dyDescent="0.25">
      <c r="D62" s="78"/>
      <c r="E62" s="22" t="s">
        <v>86</v>
      </c>
      <c r="F62" s="22">
        <f t="shared" ref="F62" si="28">F60</f>
        <v>10</v>
      </c>
      <c r="G62" s="65">
        <v>0.1361</v>
      </c>
      <c r="H62" s="66">
        <v>3.7400000000000003E-2</v>
      </c>
      <c r="I62" s="56"/>
      <c r="J62" s="57">
        <f t="shared" si="1"/>
        <v>9.6733333333333338E-2</v>
      </c>
      <c r="K62" s="58">
        <f t="shared" si="2"/>
        <v>-7.4999999999999373E-4</v>
      </c>
      <c r="L62" s="56"/>
      <c r="M62" s="62">
        <f t="shared" si="3"/>
        <v>9.6920833333333331E-2</v>
      </c>
      <c r="N62" s="56">
        <f t="shared" si="4"/>
        <v>6.8780838583333326</v>
      </c>
      <c r="O62" s="58">
        <f t="shared" si="5"/>
        <v>13.756167716666665</v>
      </c>
      <c r="P62" s="56">
        <f t="shared" si="6"/>
        <v>1.3756167716666665</v>
      </c>
      <c r="Q62" s="57"/>
      <c r="R62" s="56"/>
      <c r="S62" s="58"/>
      <c r="T62" s="56"/>
    </row>
    <row r="63" spans="1:22" ht="14.45" customHeight="1" x14ac:dyDescent="0.25">
      <c r="D63" s="76">
        <f>A39</f>
        <v>13</v>
      </c>
      <c r="E63" s="12" t="s">
        <v>87</v>
      </c>
      <c r="F63" s="12">
        <f>B39</f>
        <v>10</v>
      </c>
      <c r="G63" s="54">
        <v>5.6099999999999997E-2</v>
      </c>
      <c r="H63" s="55">
        <v>0.04</v>
      </c>
      <c r="I63" s="56"/>
      <c r="J63" s="57">
        <f t="shared" si="1"/>
        <v>1.6733333333333329E-2</v>
      </c>
      <c r="K63" s="58">
        <f t="shared" si="2"/>
        <v>1.8500000000000044E-3</v>
      </c>
      <c r="L63" s="56"/>
      <c r="M63" s="62">
        <f t="shared" si="3"/>
        <v>1.6270833333333328E-2</v>
      </c>
      <c r="N63" s="56">
        <f t="shared" si="4"/>
        <v>1.1546759583333328</v>
      </c>
      <c r="O63" s="58">
        <f t="shared" si="5"/>
        <v>2.3093519166666656</v>
      </c>
      <c r="P63" s="56">
        <f t="shared" si="6"/>
        <v>0.23093519166666657</v>
      </c>
      <c r="Q63" s="57">
        <f>AVERAGE(P63:P65)</f>
        <v>0.22880621166666656</v>
      </c>
      <c r="R63" s="56">
        <f>STDEV(P63:P65)</f>
        <v>8.3667680061299717E-3</v>
      </c>
      <c r="S63" s="58">
        <f>R63/Q63*100</f>
        <v>3.6567049229935207</v>
      </c>
      <c r="T63" s="56"/>
    </row>
    <row r="64" spans="1:22" ht="14.45" customHeight="1" x14ac:dyDescent="0.25">
      <c r="D64" s="77"/>
      <c r="E64" s="17" t="s">
        <v>88</v>
      </c>
      <c r="F64" s="17">
        <f t="shared" ref="F64" si="29">F63</f>
        <v>10</v>
      </c>
      <c r="G64" s="57">
        <v>5.62E-2</v>
      </c>
      <c r="H64" s="58">
        <v>3.9E-2</v>
      </c>
      <c r="I64" s="56"/>
      <c r="J64" s="57">
        <f t="shared" si="1"/>
        <v>1.6833333333333332E-2</v>
      </c>
      <c r="K64" s="58">
        <f t="shared" si="2"/>
        <v>8.5000000000000353E-4</v>
      </c>
      <c r="L64" s="56"/>
      <c r="M64" s="62">
        <f t="shared" si="3"/>
        <v>1.6620833333333331E-2</v>
      </c>
      <c r="N64" s="56">
        <f t="shared" si="4"/>
        <v>1.179514058333333</v>
      </c>
      <c r="O64" s="58">
        <f t="shared" si="5"/>
        <v>2.359028116666666</v>
      </c>
      <c r="P64" s="56">
        <f t="shared" si="6"/>
        <v>0.2359028116666666</v>
      </c>
      <c r="Q64" s="57"/>
      <c r="R64" s="56"/>
      <c r="S64" s="58"/>
      <c r="T64" s="56"/>
    </row>
    <row r="65" spans="4:20" ht="14.45" customHeight="1" x14ac:dyDescent="0.25">
      <c r="D65" s="78"/>
      <c r="E65" s="22" t="s">
        <v>89</v>
      </c>
      <c r="F65" s="22">
        <f t="shared" ref="F65" si="30">F63</f>
        <v>10</v>
      </c>
      <c r="G65" s="65">
        <v>5.4899999999999997E-2</v>
      </c>
      <c r="H65" s="66">
        <v>3.8399999999999997E-2</v>
      </c>
      <c r="I65" s="56"/>
      <c r="J65" s="57">
        <f t="shared" si="1"/>
        <v>1.553333333333333E-2</v>
      </c>
      <c r="K65" s="58">
        <f t="shared" si="2"/>
        <v>2.5000000000000022E-4</v>
      </c>
      <c r="L65" s="56"/>
      <c r="M65" s="62">
        <f t="shared" si="3"/>
        <v>1.5470833333333329E-2</v>
      </c>
      <c r="N65" s="56">
        <f t="shared" si="4"/>
        <v>1.097903158333333</v>
      </c>
      <c r="O65" s="58">
        <f t="shared" si="5"/>
        <v>2.1958063166666659</v>
      </c>
      <c r="P65" s="56">
        <f t="shared" si="6"/>
        <v>0.21958063166666658</v>
      </c>
      <c r="Q65" s="57"/>
      <c r="R65" s="56"/>
      <c r="S65" s="58"/>
      <c r="T65" s="56"/>
    </row>
    <row r="66" spans="4:20" ht="14.45" customHeight="1" x14ac:dyDescent="0.25">
      <c r="D66" s="76">
        <f>A40</f>
        <v>14</v>
      </c>
      <c r="E66" s="12" t="s">
        <v>90</v>
      </c>
      <c r="F66" s="12">
        <f>B40</f>
        <v>10</v>
      </c>
      <c r="G66" s="54">
        <v>4.9700000000000001E-2</v>
      </c>
      <c r="H66" s="55">
        <v>3.9199999999999999E-2</v>
      </c>
      <c r="I66" s="56"/>
      <c r="J66" s="57">
        <f t="shared" si="1"/>
        <v>1.0333333333333333E-2</v>
      </c>
      <c r="K66" s="58">
        <f t="shared" si="2"/>
        <v>1.0500000000000023E-3</v>
      </c>
      <c r="L66" s="56"/>
      <c r="M66" s="62">
        <f t="shared" si="3"/>
        <v>1.0070833333333333E-2</v>
      </c>
      <c r="N66" s="56">
        <f t="shared" si="4"/>
        <v>0.71468675833333317</v>
      </c>
      <c r="O66" s="58">
        <f t="shared" si="5"/>
        <v>1.4293735166666663</v>
      </c>
      <c r="P66" s="56">
        <f t="shared" si="6"/>
        <v>0.14293735166666663</v>
      </c>
      <c r="Q66" s="57">
        <f>AVERAGE(P66:P68)</f>
        <v>0.13205589833333328</v>
      </c>
      <c r="R66" s="56">
        <f>STDEV(P66:P68)</f>
        <v>1.2941975334029684E-2</v>
      </c>
      <c r="S66" s="58">
        <f>R66/Q66*100</f>
        <v>9.8003765809549588</v>
      </c>
      <c r="T66" s="56"/>
    </row>
    <row r="67" spans="4:20" ht="14.45" customHeight="1" x14ac:dyDescent="0.25">
      <c r="D67" s="77"/>
      <c r="E67" s="17" t="s">
        <v>91</v>
      </c>
      <c r="F67" s="17">
        <f t="shared" ref="F67" si="31">F66</f>
        <v>10</v>
      </c>
      <c r="G67" s="57">
        <v>4.7800000000000002E-2</v>
      </c>
      <c r="H67" s="58">
        <v>3.8699999999999998E-2</v>
      </c>
      <c r="I67" s="56"/>
      <c r="J67" s="57">
        <f t="shared" si="1"/>
        <v>8.4333333333333343E-3</v>
      </c>
      <c r="K67" s="58">
        <f t="shared" si="2"/>
        <v>5.5000000000000188E-4</v>
      </c>
      <c r="L67" s="56"/>
      <c r="M67" s="62">
        <f t="shared" si="3"/>
        <v>8.2958333333333339E-3</v>
      </c>
      <c r="N67" s="56">
        <f t="shared" si="4"/>
        <v>0.58872210833333327</v>
      </c>
      <c r="O67" s="58">
        <f t="shared" si="5"/>
        <v>1.1774442166666665</v>
      </c>
      <c r="P67" s="56">
        <f t="shared" si="6"/>
        <v>0.11774442166666665</v>
      </c>
      <c r="Q67" s="57"/>
      <c r="R67" s="56"/>
      <c r="S67" s="58"/>
      <c r="T67" s="56"/>
    </row>
    <row r="68" spans="4:20" ht="14.45" customHeight="1" x14ac:dyDescent="0.25">
      <c r="D68" s="78"/>
      <c r="E68" s="22" t="s">
        <v>92</v>
      </c>
      <c r="F68" s="22">
        <f t="shared" ref="F68" si="32">F66</f>
        <v>10</v>
      </c>
      <c r="G68" s="65">
        <v>4.9299999999999997E-2</v>
      </c>
      <c r="H68" s="66">
        <v>3.9699999999999999E-2</v>
      </c>
      <c r="I68" s="56"/>
      <c r="J68" s="57">
        <f t="shared" si="1"/>
        <v>9.9333333333333287E-3</v>
      </c>
      <c r="K68" s="58">
        <f t="shared" si="2"/>
        <v>1.5500000000000028E-3</v>
      </c>
      <c r="L68" s="56"/>
      <c r="M68" s="62">
        <f t="shared" si="3"/>
        <v>9.545833333333328E-3</v>
      </c>
      <c r="N68" s="56">
        <f t="shared" si="4"/>
        <v>0.67742960833333288</v>
      </c>
      <c r="O68" s="58">
        <f t="shared" si="5"/>
        <v>1.3548592166666658</v>
      </c>
      <c r="P68" s="56">
        <f t="shared" si="6"/>
        <v>0.13548592166666656</v>
      </c>
      <c r="Q68" s="57"/>
      <c r="R68" s="56"/>
      <c r="S68" s="58"/>
      <c r="T68" s="56"/>
    </row>
    <row r="69" spans="4:20" ht="14.45" customHeight="1" x14ac:dyDescent="0.25">
      <c r="D69" s="76">
        <f>A41</f>
        <v>15</v>
      </c>
      <c r="E69" s="12" t="s">
        <v>93</v>
      </c>
      <c r="F69" s="12">
        <f>B41</f>
        <v>10</v>
      </c>
      <c r="G69" s="54">
        <v>3.9800000000000002E-2</v>
      </c>
      <c r="H69" s="55">
        <v>3.8800000000000001E-2</v>
      </c>
      <c r="I69" s="56"/>
      <c r="J69" s="57">
        <f t="shared" si="1"/>
        <v>4.3333333333333418E-4</v>
      </c>
      <c r="K69" s="58">
        <f t="shared" si="2"/>
        <v>6.5000000000000474E-4</v>
      </c>
      <c r="L69" s="56"/>
      <c r="M69" s="62">
        <f t="shared" si="3"/>
        <v>2.70833333333333E-4</v>
      </c>
      <c r="N69" s="56">
        <f t="shared" si="4"/>
        <v>1.9219958333333308E-2</v>
      </c>
      <c r="O69" s="58">
        <f t="shared" si="5"/>
        <v>3.8439916666666615E-2</v>
      </c>
      <c r="P69" s="56">
        <f t="shared" si="6"/>
        <v>3.8439916666666617E-3</v>
      </c>
      <c r="Q69" s="57">
        <f>AVERAGE(P69:P71)</f>
        <v>-1.4784583333333351E-3</v>
      </c>
      <c r="R69" s="56">
        <f>STDEV(P69:P71)</f>
        <v>1.6448963578478124E-2</v>
      </c>
      <c r="S69" s="58">
        <f>R69/Q69*100</f>
        <v>-1112.5753907039273</v>
      </c>
      <c r="T69" s="56"/>
    </row>
    <row r="70" spans="4:20" ht="14.45" customHeight="1" x14ac:dyDescent="0.25">
      <c r="D70" s="77"/>
      <c r="E70" s="17" t="s">
        <v>94</v>
      </c>
      <c r="F70" s="17">
        <f t="shared" ref="F70" si="33">F69</f>
        <v>10</v>
      </c>
      <c r="G70" s="57">
        <v>4.0500000000000001E-2</v>
      </c>
      <c r="H70" s="58">
        <v>3.9399999999999998E-2</v>
      </c>
      <c r="I70" s="56"/>
      <c r="J70" s="57">
        <f t="shared" si="1"/>
        <v>1.1333333333333334E-3</v>
      </c>
      <c r="K70" s="58">
        <f t="shared" si="2"/>
        <v>1.2500000000000011E-3</v>
      </c>
      <c r="L70" s="56"/>
      <c r="M70" s="62">
        <f t="shared" si="3"/>
        <v>8.2083333333333314E-4</v>
      </c>
      <c r="N70" s="56">
        <f t="shared" si="4"/>
        <v>5.8251258333333313E-2</v>
      </c>
      <c r="O70" s="58">
        <f t="shared" si="5"/>
        <v>0.11650251666666663</v>
      </c>
      <c r="P70" s="56">
        <f t="shared" si="6"/>
        <v>1.1650251666666663E-2</v>
      </c>
      <c r="Q70" s="57"/>
      <c r="R70" s="56"/>
      <c r="S70" s="58"/>
      <c r="T70" s="56"/>
    </row>
    <row r="71" spans="4:20" ht="14.45" customHeight="1" x14ac:dyDescent="0.25">
      <c r="D71" s="78"/>
      <c r="E71" s="22" t="s">
        <v>95</v>
      </c>
      <c r="F71" s="22">
        <f t="shared" ref="F71" si="34">F69</f>
        <v>10</v>
      </c>
      <c r="G71" s="65">
        <v>3.7900000000000003E-2</v>
      </c>
      <c r="H71" s="66">
        <v>3.7900000000000003E-2</v>
      </c>
      <c r="I71" s="56"/>
      <c r="J71" s="57">
        <f t="shared" si="1"/>
        <v>-1.4666666666666647E-3</v>
      </c>
      <c r="K71" s="58">
        <f t="shared" si="2"/>
        <v>-2.4999999999999328E-4</v>
      </c>
      <c r="L71" s="56"/>
      <c r="M71" s="62">
        <f t="shared" si="3"/>
        <v>-1.4041666666666664E-3</v>
      </c>
      <c r="N71" s="56">
        <f t="shared" si="4"/>
        <v>-9.9648091666666647E-2</v>
      </c>
      <c r="O71" s="58">
        <f t="shared" si="5"/>
        <v>-0.19929618333333329</v>
      </c>
      <c r="P71" s="56">
        <f t="shared" si="6"/>
        <v>-1.9929618333333329E-2</v>
      </c>
      <c r="Q71" s="57"/>
      <c r="R71" s="56"/>
      <c r="S71" s="58"/>
      <c r="T71" s="56"/>
    </row>
    <row r="72" spans="4:20" ht="14.45" customHeight="1" x14ac:dyDescent="0.25">
      <c r="D72" s="76">
        <f>A42</f>
        <v>16</v>
      </c>
      <c r="E72" s="12" t="s">
        <v>96</v>
      </c>
      <c r="F72" s="12">
        <f>B42</f>
        <v>10</v>
      </c>
      <c r="G72" s="54">
        <v>4.2500000000000003E-2</v>
      </c>
      <c r="H72" s="55">
        <v>3.8600000000000002E-2</v>
      </c>
      <c r="I72" s="56"/>
      <c r="J72" s="57">
        <f t="shared" si="1"/>
        <v>3.1333333333333352E-3</v>
      </c>
      <c r="K72" s="58">
        <f t="shared" si="2"/>
        <v>4.5000000000000595E-4</v>
      </c>
      <c r="L72" s="56"/>
      <c r="M72" s="62">
        <f t="shared" si="3"/>
        <v>3.0208333333333337E-3</v>
      </c>
      <c r="N72" s="56">
        <f t="shared" si="4"/>
        <v>0.21437645833333335</v>
      </c>
      <c r="O72" s="58">
        <f t="shared" si="5"/>
        <v>0.42875291666666671</v>
      </c>
      <c r="P72" s="56">
        <f t="shared" si="6"/>
        <v>4.2875291666666669E-2</v>
      </c>
      <c r="Q72" s="57">
        <f>AVERAGE(P72:P74)</f>
        <v>3.8735608333333331E-2</v>
      </c>
      <c r="R72" s="56">
        <f>STDEV(P72:P74)</f>
        <v>5.4317199000163199E-3</v>
      </c>
      <c r="S72" s="58">
        <f>R72/Q72*100</f>
        <v>14.02254962223515</v>
      </c>
      <c r="T72" s="56"/>
    </row>
    <row r="73" spans="4:20" ht="14.45" customHeight="1" x14ac:dyDescent="0.25">
      <c r="D73" s="77"/>
      <c r="E73" s="17" t="s">
        <v>97</v>
      </c>
      <c r="F73" s="17">
        <f t="shared" ref="F73" si="35">F72</f>
        <v>10</v>
      </c>
      <c r="G73" s="57">
        <v>4.1500000000000002E-2</v>
      </c>
      <c r="H73" s="58">
        <v>3.7499999999999999E-2</v>
      </c>
      <c r="I73" s="56"/>
      <c r="J73" s="57">
        <f t="shared" si="1"/>
        <v>2.1333333333333343E-3</v>
      </c>
      <c r="K73" s="58">
        <f t="shared" si="2"/>
        <v>-6.499999999999978E-4</v>
      </c>
      <c r="L73" s="56"/>
      <c r="M73" s="62">
        <f t="shared" si="3"/>
        <v>2.2958333333333338E-3</v>
      </c>
      <c r="N73" s="56">
        <f t="shared" si="4"/>
        <v>0.16292610833333335</v>
      </c>
      <c r="O73" s="58">
        <f t="shared" si="5"/>
        <v>0.32585221666666669</v>
      </c>
      <c r="P73" s="56">
        <f t="shared" si="6"/>
        <v>3.2585221666666671E-2</v>
      </c>
      <c r="Q73" s="57"/>
      <c r="R73" s="56"/>
      <c r="S73" s="58"/>
      <c r="T73" s="56"/>
    </row>
    <row r="74" spans="4:20" ht="14.45" customHeight="1" x14ac:dyDescent="0.25">
      <c r="D74" s="78"/>
      <c r="E74" s="22" t="s">
        <v>98</v>
      </c>
      <c r="F74" s="22">
        <f t="shared" ref="F74" si="36">F72</f>
        <v>10</v>
      </c>
      <c r="G74" s="65">
        <v>4.2200000000000001E-2</v>
      </c>
      <c r="H74" s="66">
        <v>3.7999999999999999E-2</v>
      </c>
      <c r="I74" s="56"/>
      <c r="J74" s="57">
        <f t="shared" si="1"/>
        <v>2.8333333333333335E-3</v>
      </c>
      <c r="K74" s="58">
        <f t="shared" si="2"/>
        <v>-1.4999999999999736E-4</v>
      </c>
      <c r="L74" s="56"/>
      <c r="M74" s="62">
        <f t="shared" si="3"/>
        <v>2.8708333333333329E-3</v>
      </c>
      <c r="N74" s="56">
        <f t="shared" si="4"/>
        <v>0.20373155833333328</v>
      </c>
      <c r="O74" s="58">
        <f t="shared" si="5"/>
        <v>0.40746311666666657</v>
      </c>
      <c r="P74" s="56">
        <f t="shared" si="6"/>
        <v>4.074631166666666E-2</v>
      </c>
      <c r="Q74" s="57"/>
      <c r="R74" s="56"/>
      <c r="S74" s="58"/>
      <c r="T74" s="56"/>
    </row>
    <row r="75" spans="4:20" ht="14.45" customHeight="1" x14ac:dyDescent="0.25">
      <c r="D75" s="76">
        <f>A43</f>
        <v>17</v>
      </c>
      <c r="E75" s="12" t="s">
        <v>99</v>
      </c>
      <c r="F75" s="12">
        <f>B43</f>
        <v>10</v>
      </c>
      <c r="G75" s="54">
        <v>0.2707</v>
      </c>
      <c r="H75" s="55">
        <v>0.27550000000000002</v>
      </c>
      <c r="I75" s="56"/>
      <c r="J75" s="57">
        <f t="shared" si="1"/>
        <v>0.23133333333333334</v>
      </c>
      <c r="K75" s="58">
        <f t="shared" si="2"/>
        <v>0.23735000000000003</v>
      </c>
      <c r="L75" s="56"/>
      <c r="M75" s="62">
        <f t="shared" si="3"/>
        <v>0.17199583333333332</v>
      </c>
      <c r="N75" s="56">
        <f t="shared" si="4"/>
        <v>12.205856308333331</v>
      </c>
      <c r="O75" s="58">
        <f t="shared" si="5"/>
        <v>24.411712616666662</v>
      </c>
      <c r="P75" s="56">
        <f t="shared" si="6"/>
        <v>2.4411712616666663</v>
      </c>
      <c r="Q75" s="57">
        <f>AVERAGE(P75:P77)</f>
        <v>0.86087671833333312</v>
      </c>
      <c r="R75" s="56">
        <f>STDEV(P75:P77)</f>
        <v>1.3685771634163442</v>
      </c>
      <c r="S75" s="58">
        <f>R75/Q75*100</f>
        <v>158.97481419475773</v>
      </c>
      <c r="T75" s="56"/>
    </row>
    <row r="76" spans="4:20" ht="14.45" customHeight="1" x14ac:dyDescent="0.25">
      <c r="D76" s="77"/>
      <c r="E76" s="17" t="s">
        <v>100</v>
      </c>
      <c r="F76" s="17">
        <f t="shared" ref="F76" si="37">F75</f>
        <v>10</v>
      </c>
      <c r="G76" s="57">
        <v>4.4200000000000003E-2</v>
      </c>
      <c r="H76" s="58">
        <v>3.8199999999999998E-2</v>
      </c>
      <c r="I76" s="56"/>
      <c r="J76" s="57">
        <f t="shared" si="1"/>
        <v>4.8333333333333353E-3</v>
      </c>
      <c r="K76" s="58">
        <f t="shared" si="2"/>
        <v>5.0000000000001432E-5</v>
      </c>
      <c r="L76" s="56"/>
      <c r="M76" s="62">
        <f t="shared" si="3"/>
        <v>4.820833333333335E-3</v>
      </c>
      <c r="N76" s="56">
        <f t="shared" si="4"/>
        <v>0.34211525833333339</v>
      </c>
      <c r="O76" s="58">
        <f t="shared" si="5"/>
        <v>0.68423051666666679</v>
      </c>
      <c r="P76" s="56">
        <f t="shared" si="6"/>
        <v>6.8423051666666679E-2</v>
      </c>
      <c r="Q76" s="57"/>
      <c r="R76" s="56"/>
      <c r="S76" s="58"/>
      <c r="T76" s="56"/>
    </row>
    <row r="77" spans="4:20" ht="14.45" customHeight="1" x14ac:dyDescent="0.25">
      <c r="D77" s="78"/>
      <c r="E77" s="22" t="s">
        <v>101</v>
      </c>
      <c r="F77" s="22">
        <f t="shared" ref="F77" si="38">F75</f>
        <v>10</v>
      </c>
      <c r="G77" s="65">
        <v>4.4600000000000001E-2</v>
      </c>
      <c r="H77" s="66">
        <v>3.85E-2</v>
      </c>
      <c r="I77" s="56"/>
      <c r="J77" s="57">
        <f t="shared" si="1"/>
        <v>5.2333333333333329E-3</v>
      </c>
      <c r="K77" s="58">
        <f t="shared" si="2"/>
        <v>3.5000000000000309E-4</v>
      </c>
      <c r="L77" s="56"/>
      <c r="M77" s="62">
        <f t="shared" si="3"/>
        <v>5.1458333333333321E-3</v>
      </c>
      <c r="N77" s="56">
        <f t="shared" si="4"/>
        <v>0.36517920833333323</v>
      </c>
      <c r="O77" s="58">
        <f t="shared" si="5"/>
        <v>0.73035841666666645</v>
      </c>
      <c r="P77" s="56">
        <f t="shared" si="6"/>
        <v>7.3035841666666643E-2</v>
      </c>
      <c r="Q77" s="57"/>
      <c r="R77" s="56"/>
      <c r="S77" s="58"/>
      <c r="T77" s="56"/>
    </row>
    <row r="78" spans="4:20" ht="14.45" customHeight="1" x14ac:dyDescent="0.25">
      <c r="D78" s="76">
        <f>A44</f>
        <v>18</v>
      </c>
      <c r="E78" s="12" t="s">
        <v>102</v>
      </c>
      <c r="F78" s="12">
        <f>B44</f>
        <v>10</v>
      </c>
      <c r="G78" s="54">
        <v>0.2364</v>
      </c>
      <c r="H78" s="55">
        <v>0.20830000000000001</v>
      </c>
      <c r="I78" s="56"/>
      <c r="J78" s="57">
        <f t="shared" si="1"/>
        <v>0.19703333333333334</v>
      </c>
      <c r="K78" s="58">
        <f t="shared" si="2"/>
        <v>0.17015000000000002</v>
      </c>
      <c r="L78" s="56"/>
      <c r="M78" s="62">
        <f t="shared" si="3"/>
        <v>0.15449583333333333</v>
      </c>
      <c r="N78" s="56">
        <f t="shared" si="4"/>
        <v>10.963951308333332</v>
      </c>
      <c r="O78" s="58">
        <f t="shared" si="5"/>
        <v>21.927902616666664</v>
      </c>
      <c r="P78" s="56">
        <f t="shared" si="6"/>
        <v>2.1927902616666666</v>
      </c>
      <c r="Q78" s="57">
        <f>AVERAGE(P78:P80)</f>
        <v>0.75620186833333325</v>
      </c>
      <c r="R78" s="56">
        <f>STDEV(P78:P80)</f>
        <v>1.2441293297396363</v>
      </c>
      <c r="S78" s="58">
        <f>R78/Q78*100</f>
        <v>164.52344034559104</v>
      </c>
      <c r="T78" s="56"/>
    </row>
    <row r="79" spans="4:20" ht="14.45" customHeight="1" x14ac:dyDescent="0.25">
      <c r="D79" s="77"/>
      <c r="E79" s="17" t="s">
        <v>103</v>
      </c>
      <c r="F79" s="17">
        <f t="shared" ref="F79" si="39">F78</f>
        <v>10</v>
      </c>
      <c r="G79" s="57">
        <v>4.24E-2</v>
      </c>
      <c r="H79" s="58">
        <v>3.8399999999999997E-2</v>
      </c>
      <c r="I79" s="56"/>
      <c r="J79" s="57">
        <f t="shared" si="1"/>
        <v>3.0333333333333323E-3</v>
      </c>
      <c r="K79" s="58">
        <f t="shared" si="2"/>
        <v>2.5000000000000022E-4</v>
      </c>
      <c r="L79" s="56"/>
      <c r="M79" s="62">
        <f t="shared" si="3"/>
        <v>2.9708333333333323E-3</v>
      </c>
      <c r="N79" s="56">
        <f t="shared" si="4"/>
        <v>0.21082815833333324</v>
      </c>
      <c r="O79" s="58">
        <f t="shared" si="5"/>
        <v>0.42165631666666648</v>
      </c>
      <c r="P79" s="56">
        <f t="shared" si="6"/>
        <v>4.2165631666666648E-2</v>
      </c>
      <c r="Q79" s="57"/>
      <c r="R79" s="56"/>
      <c r="S79" s="58"/>
      <c r="T79" s="56"/>
    </row>
    <row r="80" spans="4:20" ht="14.45" customHeight="1" x14ac:dyDescent="0.25">
      <c r="D80" s="78"/>
      <c r="E80" s="22" t="s">
        <v>104</v>
      </c>
      <c r="F80" s="22">
        <f t="shared" ref="F80" si="40">F78</f>
        <v>10</v>
      </c>
      <c r="G80" s="65">
        <v>4.1700000000000001E-2</v>
      </c>
      <c r="H80" s="66">
        <v>3.7999999999999999E-2</v>
      </c>
      <c r="I80" s="56"/>
      <c r="J80" s="57">
        <f t="shared" si="1"/>
        <v>2.3333333333333331E-3</v>
      </c>
      <c r="K80" s="58">
        <f t="shared" si="2"/>
        <v>-1.4999999999999736E-4</v>
      </c>
      <c r="L80" s="56"/>
      <c r="M80" s="62">
        <f t="shared" si="3"/>
        <v>2.3708333333333324E-3</v>
      </c>
      <c r="N80" s="56">
        <f t="shared" si="4"/>
        <v>0.16824855833333324</v>
      </c>
      <c r="O80" s="58">
        <f t="shared" si="5"/>
        <v>0.33649711666666648</v>
      </c>
      <c r="P80" s="56">
        <f t="shared" si="6"/>
        <v>3.3649711666666651E-2</v>
      </c>
      <c r="Q80" s="57"/>
      <c r="R80" s="56"/>
      <c r="S80" s="58"/>
      <c r="T80" s="56"/>
    </row>
    <row r="81" spans="4:20" ht="14.45" customHeight="1" x14ac:dyDescent="0.25">
      <c r="D81" s="76">
        <f>A45</f>
        <v>19</v>
      </c>
      <c r="E81" s="12" t="s">
        <v>105</v>
      </c>
      <c r="F81" s="12">
        <f>B45</f>
        <v>10</v>
      </c>
      <c r="G81" s="54">
        <v>4.53E-2</v>
      </c>
      <c r="H81" s="55">
        <v>3.9800000000000002E-2</v>
      </c>
      <c r="I81" s="56"/>
      <c r="J81" s="57">
        <f t="shared" si="1"/>
        <v>5.9333333333333321E-3</v>
      </c>
      <c r="K81" s="58">
        <f t="shared" si="2"/>
        <v>1.6500000000000056E-3</v>
      </c>
      <c r="L81" s="56"/>
      <c r="M81" s="62">
        <f t="shared" si="3"/>
        <v>5.5208333333333307E-3</v>
      </c>
      <c r="N81" s="56">
        <f t="shared" si="4"/>
        <v>0.39179145833333312</v>
      </c>
      <c r="O81" s="58">
        <f t="shared" si="5"/>
        <v>0.78358291666666624</v>
      </c>
      <c r="P81" s="56">
        <f t="shared" si="6"/>
        <v>7.8358291666666621E-2</v>
      </c>
      <c r="Q81" s="57">
        <f>AVERAGE(P81:P83)</f>
        <v>6.7122008333333302E-2</v>
      </c>
      <c r="R81" s="56">
        <f>STDEV(P81:P83)</f>
        <v>1.0000500250299096E-2</v>
      </c>
      <c r="S81" s="58">
        <f>R81/Q81*100</f>
        <v>14.898988422151801</v>
      </c>
      <c r="T81" s="56"/>
    </row>
    <row r="82" spans="4:20" ht="14.45" customHeight="1" x14ac:dyDescent="0.25">
      <c r="D82" s="77"/>
      <c r="E82" s="17" t="s">
        <v>106</v>
      </c>
      <c r="F82" s="17">
        <f t="shared" ref="F82" si="41">F81</f>
        <v>10</v>
      </c>
      <c r="G82" s="57">
        <v>4.3799999999999999E-2</v>
      </c>
      <c r="H82" s="58">
        <v>3.7900000000000003E-2</v>
      </c>
      <c r="I82" s="56"/>
      <c r="J82" s="57">
        <f t="shared" si="1"/>
        <v>4.4333333333333308E-3</v>
      </c>
      <c r="K82" s="58">
        <f t="shared" si="2"/>
        <v>-2.4999999999999328E-4</v>
      </c>
      <c r="L82" s="56"/>
      <c r="M82" s="62">
        <f t="shared" si="3"/>
        <v>4.4958333333333291E-3</v>
      </c>
      <c r="N82" s="56">
        <f t="shared" si="4"/>
        <v>0.31905130833333301</v>
      </c>
      <c r="O82" s="58">
        <f t="shared" si="5"/>
        <v>0.63810261666666601</v>
      </c>
      <c r="P82" s="56">
        <f t="shared" si="6"/>
        <v>6.3810261666666604E-2</v>
      </c>
      <c r="Q82" s="57"/>
      <c r="R82" s="56"/>
      <c r="S82" s="58"/>
      <c r="T82" s="56"/>
    </row>
    <row r="83" spans="4:20" ht="14.45" customHeight="1" x14ac:dyDescent="0.25">
      <c r="D83" s="78"/>
      <c r="E83" s="22" t="s">
        <v>107</v>
      </c>
      <c r="F83" s="22">
        <f t="shared" ref="F83" si="42">F81</f>
        <v>10</v>
      </c>
      <c r="G83" s="65">
        <v>4.3200000000000002E-2</v>
      </c>
      <c r="H83" s="66">
        <v>3.6799999999999999E-2</v>
      </c>
      <c r="I83" s="56"/>
      <c r="J83" s="57">
        <f t="shared" si="1"/>
        <v>3.8333333333333344E-3</v>
      </c>
      <c r="K83" s="58">
        <f t="shared" si="2"/>
        <v>-1.349999999999997E-3</v>
      </c>
      <c r="L83" s="56"/>
      <c r="M83" s="62">
        <f t="shared" si="3"/>
        <v>4.1708333333333337E-3</v>
      </c>
      <c r="N83" s="56">
        <f t="shared" si="4"/>
        <v>0.29598735833333334</v>
      </c>
      <c r="O83" s="58">
        <f t="shared" si="5"/>
        <v>0.59197471666666668</v>
      </c>
      <c r="P83" s="56">
        <f t="shared" si="6"/>
        <v>5.9197471666666668E-2</v>
      </c>
      <c r="Q83" s="57"/>
      <c r="R83" s="56"/>
      <c r="S83" s="58"/>
      <c r="T83" s="56"/>
    </row>
    <row r="84" spans="4:20" ht="14.45" customHeight="1" x14ac:dyDescent="0.25">
      <c r="D84" s="76">
        <f>A46</f>
        <v>20</v>
      </c>
      <c r="E84" s="12" t="s">
        <v>108</v>
      </c>
      <c r="F84" s="12">
        <f>B46</f>
        <v>10</v>
      </c>
      <c r="G84" s="54">
        <v>4.3999999999999997E-2</v>
      </c>
      <c r="H84" s="55">
        <v>4.41E-2</v>
      </c>
      <c r="I84" s="56"/>
      <c r="J84" s="57">
        <f t="shared" si="1"/>
        <v>4.6333333333333296E-3</v>
      </c>
      <c r="K84" s="58">
        <f t="shared" si="2"/>
        <v>5.9500000000000039E-3</v>
      </c>
      <c r="L84" s="56"/>
      <c r="M84" s="62">
        <f t="shared" si="3"/>
        <v>3.1458333333333286E-3</v>
      </c>
      <c r="N84" s="56">
        <f t="shared" si="4"/>
        <v>0.22324720833333297</v>
      </c>
      <c r="O84" s="58">
        <f t="shared" si="5"/>
        <v>0.44649441666666595</v>
      </c>
      <c r="P84" s="56">
        <f t="shared" si="6"/>
        <v>4.4649441666666595E-2</v>
      </c>
      <c r="Q84" s="57">
        <f>AVERAGE(P84:P86)</f>
        <v>5.1982594999999958E-2</v>
      </c>
      <c r="R84" s="56">
        <f>STDEV(P84:P86)</f>
        <v>6.8191396432199227E-3</v>
      </c>
      <c r="S84" s="58">
        <f>R84/Q84*100</f>
        <v>13.118120869533211</v>
      </c>
      <c r="T84" s="56"/>
    </row>
    <row r="85" spans="4:20" ht="14.45" customHeight="1" x14ac:dyDescent="0.25">
      <c r="D85" s="77"/>
      <c r="E85" s="17" t="s">
        <v>109</v>
      </c>
      <c r="F85" s="17">
        <f t="shared" ref="F85" si="43">F84</f>
        <v>10</v>
      </c>
      <c r="G85" s="57">
        <v>4.2900000000000001E-2</v>
      </c>
      <c r="H85" s="58">
        <v>3.73E-2</v>
      </c>
      <c r="I85" s="56"/>
      <c r="J85" s="57">
        <f t="shared" si="1"/>
        <v>3.5333333333333328E-3</v>
      </c>
      <c r="K85" s="58">
        <f t="shared" si="2"/>
        <v>-8.4999999999999659E-4</v>
      </c>
      <c r="L85" s="56"/>
      <c r="M85" s="62">
        <f t="shared" si="3"/>
        <v>3.7458333333333319E-3</v>
      </c>
      <c r="N85" s="56">
        <f t="shared" si="4"/>
        <v>0.26582680833333322</v>
      </c>
      <c r="O85" s="58">
        <f t="shared" si="5"/>
        <v>0.53165361666666644</v>
      </c>
      <c r="P85" s="56">
        <f t="shared" si="6"/>
        <v>5.3165361666666647E-2</v>
      </c>
      <c r="Q85" s="57"/>
      <c r="R85" s="56"/>
      <c r="S85" s="58"/>
      <c r="T85" s="56"/>
    </row>
    <row r="86" spans="4:20" ht="14.45" customHeight="1" x14ac:dyDescent="0.25">
      <c r="D86" s="78"/>
      <c r="E86" s="22" t="s">
        <v>110</v>
      </c>
      <c r="F86" s="22">
        <f t="shared" ref="F86" si="44">F84</f>
        <v>10</v>
      </c>
      <c r="G86" s="65">
        <v>4.3299999999999998E-2</v>
      </c>
      <c r="H86" s="66">
        <v>3.7499999999999999E-2</v>
      </c>
      <c r="I86" s="56"/>
      <c r="J86" s="57">
        <f t="shared" si="1"/>
        <v>3.9333333333333304E-3</v>
      </c>
      <c r="K86" s="58">
        <f t="shared" si="2"/>
        <v>-6.499999999999978E-4</v>
      </c>
      <c r="L86" s="56"/>
      <c r="M86" s="62">
        <f t="shared" si="3"/>
        <v>4.0958333333333298E-3</v>
      </c>
      <c r="N86" s="56">
        <f t="shared" si="4"/>
        <v>0.29066490833333308</v>
      </c>
      <c r="O86" s="58">
        <f t="shared" si="5"/>
        <v>0.58132981666666617</v>
      </c>
      <c r="P86" s="56">
        <f t="shared" si="6"/>
        <v>5.8132981666666618E-2</v>
      </c>
      <c r="Q86" s="57"/>
      <c r="R86" s="56"/>
      <c r="S86" s="58"/>
      <c r="T86" s="56"/>
    </row>
    <row r="87" spans="4:20" ht="14.45" customHeight="1" x14ac:dyDescent="0.25">
      <c r="D87" s="76">
        <f>A47</f>
        <v>21</v>
      </c>
      <c r="E87" s="12" t="s">
        <v>111</v>
      </c>
      <c r="F87" s="12">
        <f>B47</f>
        <v>10</v>
      </c>
      <c r="G87" s="54">
        <v>4.5199999999999997E-2</v>
      </c>
      <c r="H87" s="55">
        <v>6.1499999999999999E-2</v>
      </c>
      <c r="I87" s="56"/>
      <c r="J87" s="57">
        <f t="shared" si="1"/>
        <v>5.8333333333333293E-3</v>
      </c>
      <c r="K87" s="58">
        <f t="shared" si="2"/>
        <v>2.3350000000000003E-2</v>
      </c>
      <c r="L87" s="56"/>
      <c r="M87" s="62">
        <f t="shared" si="3"/>
        <v>-4.1666666666714119E-6</v>
      </c>
      <c r="N87" s="56">
        <f t="shared" si="4"/>
        <v>-2.9569166666700339E-4</v>
      </c>
      <c r="O87" s="58">
        <f t="shared" si="5"/>
        <v>-5.9138333333400679E-4</v>
      </c>
      <c r="P87" s="56">
        <f t="shared" si="6"/>
        <v>-5.9138333333400679E-5</v>
      </c>
      <c r="Q87" s="57">
        <f>AVERAGE(P87:P89)</f>
        <v>3.9918374999999971E-2</v>
      </c>
      <c r="R87" s="56">
        <f>STDEV(P87:P89)</f>
        <v>3.4623360373691847E-2</v>
      </c>
      <c r="S87" s="58">
        <f>R87/Q87*100</f>
        <v>86.735395350366517</v>
      </c>
      <c r="T87" s="56"/>
    </row>
    <row r="88" spans="4:20" ht="14.45" customHeight="1" x14ac:dyDescent="0.25">
      <c r="D88" s="77"/>
      <c r="E88" s="17" t="s">
        <v>112</v>
      </c>
      <c r="F88" s="17">
        <f t="shared" ref="F88:F97" si="45">F87</f>
        <v>10</v>
      </c>
      <c r="G88" s="57">
        <v>4.3700000000000003E-2</v>
      </c>
      <c r="H88" s="58">
        <v>3.85E-2</v>
      </c>
      <c r="I88" s="56"/>
      <c r="J88" s="57">
        <f t="shared" si="1"/>
        <v>4.3333333333333349E-3</v>
      </c>
      <c r="K88" s="58">
        <f t="shared" si="2"/>
        <v>3.5000000000000309E-4</v>
      </c>
      <c r="L88" s="56"/>
      <c r="M88" s="62">
        <f t="shared" si="3"/>
        <v>4.2458333333333341E-3</v>
      </c>
      <c r="N88" s="56">
        <f t="shared" si="4"/>
        <v>0.30130980833333337</v>
      </c>
      <c r="O88" s="58">
        <f t="shared" si="5"/>
        <v>0.60261961666666675</v>
      </c>
      <c r="P88" s="56">
        <f t="shared" si="6"/>
        <v>6.0261961666666676E-2</v>
      </c>
      <c r="Q88" s="57"/>
      <c r="R88" s="56"/>
      <c r="S88" s="58"/>
      <c r="T88" s="56"/>
    </row>
    <row r="89" spans="4:20" ht="14.45" customHeight="1" x14ac:dyDescent="0.25">
      <c r="D89" s="78"/>
      <c r="E89" s="22" t="s">
        <v>113</v>
      </c>
      <c r="F89" s="22">
        <f t="shared" ref="F89:F98" si="46">F87</f>
        <v>10</v>
      </c>
      <c r="G89" s="65">
        <v>4.36E-2</v>
      </c>
      <c r="H89" s="66">
        <v>3.8300000000000001E-2</v>
      </c>
      <c r="I89" s="56"/>
      <c r="J89" s="57">
        <f t="shared" si="1"/>
        <v>4.233333333333332E-3</v>
      </c>
      <c r="K89" s="58">
        <f t="shared" si="2"/>
        <v>1.500000000000043E-4</v>
      </c>
      <c r="L89" s="56"/>
      <c r="M89" s="62">
        <f t="shared" si="3"/>
        <v>4.1958333333333309E-3</v>
      </c>
      <c r="N89" s="56">
        <f t="shared" si="4"/>
        <v>0.29776150833333315</v>
      </c>
      <c r="O89" s="58">
        <f t="shared" si="5"/>
        <v>0.59552301666666629</v>
      </c>
      <c r="P89" s="56">
        <f t="shared" si="6"/>
        <v>5.9552301666666627E-2</v>
      </c>
      <c r="Q89" s="57"/>
      <c r="R89" s="56"/>
      <c r="S89" s="58"/>
      <c r="T89" s="56"/>
    </row>
    <row r="90" spans="4:20" ht="14.45" customHeight="1" x14ac:dyDescent="0.25">
      <c r="D90" s="76">
        <f>A48</f>
        <v>22</v>
      </c>
      <c r="E90" s="12" t="s">
        <v>114</v>
      </c>
      <c r="F90" s="12">
        <f>B48</f>
        <v>10</v>
      </c>
      <c r="G90" s="54">
        <v>4.3700000000000003E-2</v>
      </c>
      <c r="H90" s="55">
        <v>0.04</v>
      </c>
      <c r="I90" s="56"/>
      <c r="J90" s="57">
        <f t="shared" si="1"/>
        <v>4.3333333333333349E-3</v>
      </c>
      <c r="K90" s="58">
        <f t="shared" si="2"/>
        <v>1.8500000000000044E-3</v>
      </c>
      <c r="L90" s="56"/>
      <c r="M90" s="62">
        <f t="shared" si="3"/>
        <v>3.8708333333333338E-3</v>
      </c>
      <c r="N90" s="56">
        <f t="shared" si="4"/>
        <v>0.27469755833333331</v>
      </c>
      <c r="O90" s="58">
        <f t="shared" si="5"/>
        <v>0.54939511666666663</v>
      </c>
      <c r="P90" s="56">
        <f t="shared" si="6"/>
        <v>5.4939511666666663E-2</v>
      </c>
      <c r="Q90" s="57">
        <f>AVERAGE(P90:P92)</f>
        <v>2.1348938333333286E-2</v>
      </c>
      <c r="R90" s="56">
        <f>STDEV(P90:P92)</f>
        <v>2.9124893680646038E-2</v>
      </c>
      <c r="S90" s="58">
        <f>R90/Q90*100</f>
        <v>136.42314772707792</v>
      </c>
      <c r="T90" s="56"/>
    </row>
    <row r="91" spans="4:20" ht="14.45" customHeight="1" x14ac:dyDescent="0.25">
      <c r="D91" s="77"/>
      <c r="E91" s="17" t="s">
        <v>115</v>
      </c>
      <c r="F91" s="17">
        <f t="shared" si="45"/>
        <v>10</v>
      </c>
      <c r="G91" s="57">
        <v>4.1799999999999997E-2</v>
      </c>
      <c r="H91" s="58">
        <v>4.7E-2</v>
      </c>
      <c r="I91" s="56"/>
      <c r="J91" s="57">
        <f t="shared" ref="J91:J98" si="47">G91-$J$14</f>
        <v>2.433333333333329E-3</v>
      </c>
      <c r="K91" s="58">
        <f t="shared" ref="K91:K98" si="48">H91-$K$14</f>
        <v>8.8500000000000037E-3</v>
      </c>
      <c r="L91" s="56"/>
      <c r="M91" s="62">
        <f t="shared" si="3"/>
        <v>2.2083333333332809E-4</v>
      </c>
      <c r="N91" s="56">
        <f t="shared" si="4"/>
        <v>1.567165833333296E-2</v>
      </c>
      <c r="O91" s="58">
        <f t="shared" si="5"/>
        <v>3.134331666666592E-2</v>
      </c>
      <c r="P91" s="56">
        <f t="shared" si="6"/>
        <v>3.1343316666665919E-3</v>
      </c>
      <c r="Q91" s="57"/>
      <c r="R91" s="56"/>
      <c r="S91" s="58"/>
      <c r="T91" s="56"/>
    </row>
    <row r="92" spans="4:20" ht="14.45" customHeight="1" x14ac:dyDescent="0.25">
      <c r="D92" s="78"/>
      <c r="E92" s="22" t="s">
        <v>116</v>
      </c>
      <c r="F92" s="22">
        <f t="shared" si="46"/>
        <v>10</v>
      </c>
      <c r="G92" s="65">
        <v>3.9399999999999998E-2</v>
      </c>
      <c r="H92" s="66">
        <v>3.6600000000000001E-2</v>
      </c>
      <c r="I92" s="56"/>
      <c r="J92" s="57">
        <f t="shared" si="47"/>
        <v>3.3333333333329662E-5</v>
      </c>
      <c r="K92" s="58">
        <f t="shared" si="48"/>
        <v>-1.5499999999999958E-3</v>
      </c>
      <c r="L92" s="56"/>
      <c r="M92" s="62">
        <f t="shared" ref="M92:M98" si="49">J92-(0.25*K92)</f>
        <v>4.2083333333332862E-4</v>
      </c>
      <c r="N92" s="56">
        <f t="shared" ref="N92:N98" si="50">M92*70.966</f>
        <v>2.9864858333332998E-2</v>
      </c>
      <c r="O92" s="58">
        <f t="shared" ref="O92:O98" si="51">N92*2</f>
        <v>5.9729716666665995E-2</v>
      </c>
      <c r="P92" s="56">
        <f t="shared" ref="P92:P98" si="52">O92/F92</f>
        <v>5.9729716666665992E-3</v>
      </c>
      <c r="Q92" s="57"/>
      <c r="R92" s="56"/>
      <c r="S92" s="58"/>
      <c r="T92" s="56"/>
    </row>
    <row r="93" spans="4:20" ht="14.45" customHeight="1" x14ac:dyDescent="0.25">
      <c r="D93" s="76">
        <f>A49</f>
        <v>23</v>
      </c>
      <c r="E93" s="12" t="s">
        <v>117</v>
      </c>
      <c r="F93" s="12">
        <f>B49</f>
        <v>10</v>
      </c>
      <c r="G93" s="54">
        <v>0.22869999999999999</v>
      </c>
      <c r="H93" s="55">
        <v>0.19489999999999999</v>
      </c>
      <c r="I93" s="56"/>
      <c r="J93" s="57">
        <f t="shared" si="47"/>
        <v>0.18933333333333333</v>
      </c>
      <c r="K93" s="58">
        <f t="shared" si="48"/>
        <v>0.15675</v>
      </c>
      <c r="L93" s="56"/>
      <c r="M93" s="62">
        <f t="shared" si="49"/>
        <v>0.15014583333333331</v>
      </c>
      <c r="N93" s="56">
        <f t="shared" si="50"/>
        <v>10.655249208333331</v>
      </c>
      <c r="O93" s="58">
        <f t="shared" si="51"/>
        <v>21.310498416666661</v>
      </c>
      <c r="P93" s="56">
        <f t="shared" si="52"/>
        <v>2.1310498416666661</v>
      </c>
      <c r="Q93" s="57">
        <f>AVERAGE(P93:P95)</f>
        <v>0.72556821166666641</v>
      </c>
      <c r="R93" s="56">
        <f>STDEV(P93:P95)</f>
        <v>1.2171834296968642</v>
      </c>
      <c r="S93" s="58">
        <f>R93/Q93*100</f>
        <v>167.75589257155204</v>
      </c>
      <c r="T93" s="56"/>
    </row>
    <row r="94" spans="4:20" ht="14.45" customHeight="1" x14ac:dyDescent="0.25">
      <c r="D94" s="77"/>
      <c r="E94" s="17" t="s">
        <v>118</v>
      </c>
      <c r="F94" s="17">
        <f t="shared" si="45"/>
        <v>10</v>
      </c>
      <c r="G94" s="57">
        <v>4.0899999999999999E-2</v>
      </c>
      <c r="H94" s="58">
        <v>3.7499999999999999E-2</v>
      </c>
      <c r="I94" s="56"/>
      <c r="J94" s="57">
        <f t="shared" si="47"/>
        <v>1.533333333333331E-3</v>
      </c>
      <c r="K94" s="58">
        <f t="shared" si="48"/>
        <v>-6.499999999999978E-4</v>
      </c>
      <c r="L94" s="56"/>
      <c r="M94" s="62">
        <f t="shared" si="49"/>
        <v>1.6958333333333304E-3</v>
      </c>
      <c r="N94" s="56">
        <f t="shared" si="50"/>
        <v>0.12034650833333312</v>
      </c>
      <c r="O94" s="58">
        <f t="shared" si="51"/>
        <v>0.24069301666666623</v>
      </c>
      <c r="P94" s="56">
        <f t="shared" si="52"/>
        <v>2.4069301666666622E-2</v>
      </c>
      <c r="Q94" s="57"/>
      <c r="R94" s="56"/>
      <c r="S94" s="58"/>
      <c r="T94" s="56"/>
    </row>
    <row r="95" spans="4:20" ht="14.45" customHeight="1" x14ac:dyDescent="0.25">
      <c r="D95" s="78"/>
      <c r="E95" s="22" t="s">
        <v>119</v>
      </c>
      <c r="F95" s="22">
        <f t="shared" si="46"/>
        <v>10</v>
      </c>
      <c r="G95" s="65">
        <v>4.07E-2</v>
      </c>
      <c r="H95" s="66">
        <v>3.7400000000000003E-2</v>
      </c>
      <c r="I95" s="56"/>
      <c r="J95" s="57">
        <f t="shared" si="47"/>
        <v>1.3333333333333322E-3</v>
      </c>
      <c r="K95" s="58">
        <f t="shared" si="48"/>
        <v>-7.4999999999999373E-4</v>
      </c>
      <c r="L95" s="56"/>
      <c r="M95" s="62">
        <f t="shared" si="49"/>
        <v>1.5208333333333306E-3</v>
      </c>
      <c r="N95" s="56">
        <f t="shared" si="50"/>
        <v>0.10792745833333313</v>
      </c>
      <c r="O95" s="58">
        <f t="shared" si="51"/>
        <v>0.21585491666666626</v>
      </c>
      <c r="P95" s="56">
        <f t="shared" si="52"/>
        <v>2.1585491666666626E-2</v>
      </c>
      <c r="Q95" s="57"/>
      <c r="R95" s="56"/>
      <c r="S95" s="58"/>
      <c r="T95" s="56"/>
    </row>
    <row r="96" spans="4:20" ht="14.45" customHeight="1" x14ac:dyDescent="0.25">
      <c r="D96" s="76">
        <f>A50</f>
        <v>24</v>
      </c>
      <c r="E96" s="12" t="s">
        <v>120</v>
      </c>
      <c r="F96" s="12">
        <f>B50</f>
        <v>10</v>
      </c>
      <c r="G96" s="54">
        <v>4.3799999999999999E-2</v>
      </c>
      <c r="H96" s="55">
        <v>4.19E-2</v>
      </c>
      <c r="I96" s="56"/>
      <c r="J96" s="57">
        <f t="shared" si="47"/>
        <v>4.4333333333333308E-3</v>
      </c>
      <c r="K96" s="58">
        <f t="shared" si="48"/>
        <v>3.7500000000000033E-3</v>
      </c>
      <c r="L96" s="56"/>
      <c r="M96" s="62">
        <f t="shared" si="49"/>
        <v>3.49583333333333E-3</v>
      </c>
      <c r="N96" s="56">
        <f t="shared" si="50"/>
        <v>0.24808530833333306</v>
      </c>
      <c r="O96" s="58">
        <f t="shared" si="51"/>
        <v>0.49617061666666612</v>
      </c>
      <c r="P96" s="56">
        <f t="shared" si="52"/>
        <v>4.9617061666666615E-2</v>
      </c>
      <c r="Q96" s="57">
        <f>AVERAGE(P96:P98)</f>
        <v>3.8025948333333288E-2</v>
      </c>
      <c r="R96" s="56">
        <f>STDEV(P96:P98)</f>
        <v>1.2501569512446544E-2</v>
      </c>
      <c r="S96" s="58">
        <f>R96/Q96*100</f>
        <v>32.876417447524254</v>
      </c>
      <c r="T96" s="56"/>
    </row>
    <row r="97" spans="4:20" ht="14.45" customHeight="1" x14ac:dyDescent="0.25">
      <c r="D97" s="77"/>
      <c r="E97" s="17" t="s">
        <v>121</v>
      </c>
      <c r="F97" s="17">
        <f t="shared" si="45"/>
        <v>10</v>
      </c>
      <c r="G97" s="57">
        <v>4.1700000000000001E-2</v>
      </c>
      <c r="H97" s="58">
        <v>4.0500000000000001E-2</v>
      </c>
      <c r="I97" s="56"/>
      <c r="J97" s="57">
        <f t="shared" si="47"/>
        <v>2.3333333333333331E-3</v>
      </c>
      <c r="K97" s="58">
        <f t="shared" si="48"/>
        <v>2.3500000000000049E-3</v>
      </c>
      <c r="L97" s="56"/>
      <c r="M97" s="62">
        <f t="shared" si="49"/>
        <v>1.7458333333333319E-3</v>
      </c>
      <c r="N97" s="56">
        <f t="shared" si="50"/>
        <v>0.12389480833333322</v>
      </c>
      <c r="O97" s="58">
        <f t="shared" si="51"/>
        <v>0.24778961666666643</v>
      </c>
      <c r="P97" s="56">
        <f t="shared" si="52"/>
        <v>2.4778961666666644E-2</v>
      </c>
      <c r="Q97" s="57"/>
      <c r="R97" s="56"/>
      <c r="S97" s="58"/>
      <c r="T97" s="56"/>
    </row>
    <row r="98" spans="4:20" ht="14.45" customHeight="1" x14ac:dyDescent="0.25">
      <c r="D98" s="78"/>
      <c r="E98" s="22" t="s">
        <v>122</v>
      </c>
      <c r="F98" s="22">
        <f t="shared" si="46"/>
        <v>10</v>
      </c>
      <c r="G98" s="65">
        <v>4.2799999999999998E-2</v>
      </c>
      <c r="H98" s="66">
        <v>4.07E-2</v>
      </c>
      <c r="I98" s="56"/>
      <c r="J98" s="65">
        <f t="shared" si="47"/>
        <v>3.4333333333333299E-3</v>
      </c>
      <c r="K98" s="58">
        <f t="shared" si="48"/>
        <v>2.5500000000000037E-3</v>
      </c>
      <c r="L98" s="56"/>
      <c r="M98" s="69">
        <f t="shared" si="49"/>
        <v>2.795833333333329E-3</v>
      </c>
      <c r="N98" s="56">
        <f t="shared" si="50"/>
        <v>0.198409108333333</v>
      </c>
      <c r="O98" s="58">
        <f t="shared" si="51"/>
        <v>0.396818216666666</v>
      </c>
      <c r="P98" s="70">
        <f t="shared" si="52"/>
        <v>3.9681821666666603E-2</v>
      </c>
      <c r="Q98" s="65"/>
      <c r="R98" s="70"/>
      <c r="S98" s="66"/>
      <c r="T98" s="56"/>
    </row>
    <row r="99" spans="4:20" x14ac:dyDescent="0.25">
      <c r="N99" s="35"/>
    </row>
  </sheetData>
  <mergeCells count="31">
    <mergeCell ref="D39:D41"/>
    <mergeCell ref="E1:G2"/>
    <mergeCell ref="F4:G4"/>
    <mergeCell ref="J4:K4"/>
    <mergeCell ref="P4:Q4"/>
    <mergeCell ref="P5:Q5"/>
    <mergeCell ref="I18:K18"/>
    <mergeCell ref="A25:B25"/>
    <mergeCell ref="D27:D29"/>
    <mergeCell ref="D30:D32"/>
    <mergeCell ref="D33:D35"/>
    <mergeCell ref="D36:D38"/>
    <mergeCell ref="D75:D77"/>
    <mergeCell ref="D42:D44"/>
    <mergeCell ref="D45:D47"/>
    <mergeCell ref="D48:D50"/>
    <mergeCell ref="D51:D53"/>
    <mergeCell ref="D54:D56"/>
    <mergeCell ref="D57:D59"/>
    <mergeCell ref="D60:D62"/>
    <mergeCell ref="D63:D65"/>
    <mergeCell ref="D66:D68"/>
    <mergeCell ref="D69:D71"/>
    <mergeCell ref="D72:D74"/>
    <mergeCell ref="D96:D98"/>
    <mergeCell ref="D78:D80"/>
    <mergeCell ref="D81:D83"/>
    <mergeCell ref="D84:D86"/>
    <mergeCell ref="D87:D89"/>
    <mergeCell ref="D90:D92"/>
    <mergeCell ref="D93:D95"/>
  </mergeCells>
  <conditionalFormatting sqref="Q27:Q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7:Q7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5:Q8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7:Q9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BE0D-A188-42C9-9AA2-A7962AE08A95}">
  <dimension ref="A1:D121"/>
  <sheetViews>
    <sheetView tabSelected="1" topLeftCell="A66" workbookViewId="0">
      <selection activeCell="G77" sqref="G77:G78"/>
    </sheetView>
  </sheetViews>
  <sheetFormatPr defaultRowHeight="15" x14ac:dyDescent="0.25"/>
  <cols>
    <col min="3" max="3" width="18.28515625" bestFit="1" customWidth="1"/>
  </cols>
  <sheetData>
    <row r="1" spans="1:4" x14ac:dyDescent="0.25">
      <c r="A1" t="s">
        <v>132</v>
      </c>
      <c r="B1" t="s">
        <v>133</v>
      </c>
      <c r="C1" t="s">
        <v>134</v>
      </c>
      <c r="D1" t="s">
        <v>135</v>
      </c>
    </row>
    <row r="2" spans="1:4" x14ac:dyDescent="0.25">
      <c r="A2">
        <v>1</v>
      </c>
      <c r="B2">
        <v>1</v>
      </c>
      <c r="C2">
        <v>-0.14080837166666663</v>
      </c>
      <c r="D2" t="s">
        <v>136</v>
      </c>
    </row>
    <row r="3" spans="1:4" x14ac:dyDescent="0.25">
      <c r="A3">
        <v>1</v>
      </c>
      <c r="B3">
        <v>2</v>
      </c>
      <c r="C3">
        <v>-0.18705454833333324</v>
      </c>
      <c r="D3" t="s">
        <v>137</v>
      </c>
    </row>
    <row r="4" spans="1:4" x14ac:dyDescent="0.25">
      <c r="A4">
        <v>1</v>
      </c>
      <c r="B4">
        <v>3</v>
      </c>
      <c r="C4">
        <v>-2.8977783333333043E-3</v>
      </c>
      <c r="D4" t="s">
        <v>138</v>
      </c>
    </row>
    <row r="5" spans="1:4" x14ac:dyDescent="0.25">
      <c r="A5">
        <v>1</v>
      </c>
      <c r="B5">
        <v>4</v>
      </c>
      <c r="C5">
        <v>-7.4218608333333269E-2</v>
      </c>
      <c r="D5" t="s">
        <v>139</v>
      </c>
    </row>
    <row r="6" spans="1:4" x14ac:dyDescent="0.25">
      <c r="A6">
        <v>1</v>
      </c>
      <c r="B6">
        <v>5</v>
      </c>
      <c r="C6">
        <v>-0.1911942316666666</v>
      </c>
      <c r="D6" t="s">
        <v>140</v>
      </c>
    </row>
    <row r="7" spans="1:4" x14ac:dyDescent="0.25">
      <c r="A7">
        <v>1</v>
      </c>
      <c r="B7">
        <v>6</v>
      </c>
      <c r="C7">
        <v>-0.20337672833333328</v>
      </c>
      <c r="D7" t="s">
        <v>141</v>
      </c>
    </row>
    <row r="8" spans="1:4" x14ac:dyDescent="0.25">
      <c r="A8">
        <v>1</v>
      </c>
      <c r="B8">
        <v>7</v>
      </c>
      <c r="C8">
        <v>-0.16765717499999999</v>
      </c>
      <c r="D8" t="s">
        <v>142</v>
      </c>
    </row>
    <row r="9" spans="1:4" x14ac:dyDescent="0.25">
      <c r="A9">
        <v>1</v>
      </c>
      <c r="B9">
        <v>8</v>
      </c>
      <c r="C9">
        <v>-0.13465798499999995</v>
      </c>
      <c r="D9" t="s">
        <v>143</v>
      </c>
    </row>
    <row r="10" spans="1:4" x14ac:dyDescent="0.25">
      <c r="A10">
        <v>1</v>
      </c>
      <c r="B10">
        <v>9</v>
      </c>
      <c r="C10">
        <v>-7.6111034999999952E-2</v>
      </c>
      <c r="D10" t="s">
        <v>144</v>
      </c>
    </row>
    <row r="11" spans="1:4" x14ac:dyDescent="0.25">
      <c r="A11">
        <v>1</v>
      </c>
      <c r="B11">
        <v>10</v>
      </c>
      <c r="C11">
        <v>-0.19095767833333324</v>
      </c>
      <c r="D11" t="s">
        <v>145</v>
      </c>
    </row>
    <row r="12" spans="1:4" x14ac:dyDescent="0.25">
      <c r="A12">
        <v>1</v>
      </c>
      <c r="B12">
        <v>11</v>
      </c>
      <c r="C12">
        <v>-9.0540788333333247E-2</v>
      </c>
      <c r="D12" t="s">
        <v>146</v>
      </c>
    </row>
    <row r="13" spans="1:4" x14ac:dyDescent="0.25">
      <c r="A13">
        <v>1</v>
      </c>
      <c r="B13">
        <v>12</v>
      </c>
      <c r="C13">
        <v>-0.17936656499999995</v>
      </c>
      <c r="D13" t="s">
        <v>147</v>
      </c>
    </row>
    <row r="14" spans="1:4" x14ac:dyDescent="0.25">
      <c r="A14">
        <v>1</v>
      </c>
      <c r="B14">
        <v>13</v>
      </c>
      <c r="C14">
        <v>-0.17865690499999995</v>
      </c>
      <c r="D14" t="s">
        <v>148</v>
      </c>
    </row>
    <row r="15" spans="1:4" x14ac:dyDescent="0.25">
      <c r="A15">
        <v>1</v>
      </c>
      <c r="B15">
        <v>14</v>
      </c>
      <c r="C15">
        <v>-7.7412078333333259E-2</v>
      </c>
      <c r="D15" t="s">
        <v>149</v>
      </c>
    </row>
    <row r="16" spans="1:4" x14ac:dyDescent="0.25">
      <c r="A16">
        <v>1</v>
      </c>
      <c r="B16">
        <v>15</v>
      </c>
      <c r="C16">
        <v>-0.20929056166666662</v>
      </c>
      <c r="D16" t="s">
        <v>150</v>
      </c>
    </row>
    <row r="17" spans="1:4" x14ac:dyDescent="0.25">
      <c r="A17">
        <v>1</v>
      </c>
      <c r="B17">
        <v>16</v>
      </c>
      <c r="C17">
        <v>-0.18599005833333329</v>
      </c>
      <c r="D17" t="s">
        <v>151</v>
      </c>
    </row>
    <row r="18" spans="1:4" x14ac:dyDescent="0.25">
      <c r="A18">
        <v>1</v>
      </c>
      <c r="B18">
        <v>17</v>
      </c>
      <c r="C18">
        <v>-9.2551491666666652E-2</v>
      </c>
      <c r="D18" t="s">
        <v>152</v>
      </c>
    </row>
    <row r="19" spans="1:4" x14ac:dyDescent="0.25">
      <c r="A19">
        <v>1</v>
      </c>
      <c r="B19">
        <v>18</v>
      </c>
      <c r="C19">
        <v>-7.8653983333333097E-3</v>
      </c>
      <c r="D19" t="s">
        <v>153</v>
      </c>
    </row>
    <row r="20" spans="1:4" x14ac:dyDescent="0.25">
      <c r="A20">
        <v>1</v>
      </c>
      <c r="B20">
        <v>19</v>
      </c>
      <c r="C20">
        <v>-0.1923769983333333</v>
      </c>
      <c r="D20" t="s">
        <v>154</v>
      </c>
    </row>
    <row r="21" spans="1:4" x14ac:dyDescent="0.25">
      <c r="A21">
        <v>1</v>
      </c>
      <c r="B21">
        <v>20</v>
      </c>
      <c r="C21">
        <v>-0.12353997833333329</v>
      </c>
      <c r="D21" t="s">
        <v>155</v>
      </c>
    </row>
    <row r="22" spans="1:4" x14ac:dyDescent="0.25">
      <c r="A22">
        <v>1</v>
      </c>
      <c r="B22">
        <v>21</v>
      </c>
      <c r="C22">
        <v>-0.17806552166666667</v>
      </c>
      <c r="D22" t="s">
        <v>156</v>
      </c>
    </row>
    <row r="23" spans="1:4" x14ac:dyDescent="0.25">
      <c r="A23">
        <v>1</v>
      </c>
      <c r="B23">
        <v>22</v>
      </c>
      <c r="C23">
        <v>0.79724387166666666</v>
      </c>
      <c r="D23" t="s">
        <v>157</v>
      </c>
    </row>
    <row r="24" spans="1:4" x14ac:dyDescent="0.25">
      <c r="A24">
        <v>1</v>
      </c>
      <c r="B24">
        <v>23</v>
      </c>
      <c r="C24">
        <v>-0.18705454833333332</v>
      </c>
      <c r="D24" t="s">
        <v>158</v>
      </c>
    </row>
    <row r="25" spans="1:4" x14ac:dyDescent="0.25">
      <c r="A25">
        <v>1</v>
      </c>
      <c r="B25">
        <v>24</v>
      </c>
      <c r="C25">
        <v>-0.13749662499999993</v>
      </c>
      <c r="D25" t="s">
        <v>159</v>
      </c>
    </row>
    <row r="26" spans="1:4" x14ac:dyDescent="0.25">
      <c r="A26">
        <v>2</v>
      </c>
      <c r="B26">
        <v>1</v>
      </c>
      <c r="C26">
        <v>8.4508678333333379E-2</v>
      </c>
      <c r="D26" t="s">
        <v>160</v>
      </c>
    </row>
    <row r="27" spans="1:4" x14ac:dyDescent="0.25">
      <c r="A27">
        <v>2</v>
      </c>
      <c r="B27">
        <v>2</v>
      </c>
      <c r="C27">
        <v>2.4660685000000054E-2</v>
      </c>
      <c r="D27" t="s">
        <v>161</v>
      </c>
    </row>
    <row r="28" spans="1:4" x14ac:dyDescent="0.25">
      <c r="A28">
        <v>2</v>
      </c>
      <c r="B28">
        <v>3</v>
      </c>
      <c r="C28">
        <v>22.862583974999996</v>
      </c>
      <c r="D28" t="s">
        <v>238</v>
      </c>
    </row>
    <row r="29" spans="1:4" x14ac:dyDescent="0.25">
      <c r="A29">
        <v>2</v>
      </c>
      <c r="B29">
        <v>4</v>
      </c>
      <c r="C29" t="s">
        <v>131</v>
      </c>
      <c r="D29" t="s">
        <v>162</v>
      </c>
    </row>
    <row r="30" spans="1:4" x14ac:dyDescent="0.25">
      <c r="A30">
        <v>2</v>
      </c>
      <c r="B30">
        <v>5</v>
      </c>
      <c r="C30">
        <v>3.388626500000002E-2</v>
      </c>
      <c r="D30" t="s">
        <v>163</v>
      </c>
    </row>
    <row r="31" spans="1:4" x14ac:dyDescent="0.25">
      <c r="A31">
        <v>2</v>
      </c>
      <c r="B31">
        <v>6</v>
      </c>
      <c r="C31">
        <v>0.59451766500000003</v>
      </c>
      <c r="D31" t="s">
        <v>164</v>
      </c>
    </row>
    <row r="32" spans="1:4" x14ac:dyDescent="0.25">
      <c r="A32">
        <v>2</v>
      </c>
      <c r="B32">
        <v>7</v>
      </c>
      <c r="C32">
        <v>0.11017471500000005</v>
      </c>
      <c r="D32" t="s">
        <v>165</v>
      </c>
    </row>
    <row r="33" spans="1:4" x14ac:dyDescent="0.25">
      <c r="A33">
        <v>2</v>
      </c>
      <c r="B33">
        <v>8</v>
      </c>
      <c r="C33">
        <v>2.726277166666673E-2</v>
      </c>
      <c r="D33" t="s">
        <v>166</v>
      </c>
    </row>
    <row r="34" spans="1:4" x14ac:dyDescent="0.25">
      <c r="A34">
        <v>2</v>
      </c>
      <c r="B34">
        <v>9</v>
      </c>
      <c r="C34">
        <v>9.2433215000000013E-2</v>
      </c>
      <c r="D34" t="s">
        <v>167</v>
      </c>
    </row>
    <row r="35" spans="1:4" x14ac:dyDescent="0.25">
      <c r="A35">
        <v>2</v>
      </c>
      <c r="B35">
        <v>10</v>
      </c>
      <c r="C35">
        <v>0.56601298833333347</v>
      </c>
      <c r="D35" t="s">
        <v>168</v>
      </c>
    </row>
    <row r="36" spans="1:4" x14ac:dyDescent="0.25">
      <c r="A36">
        <v>2</v>
      </c>
      <c r="B36">
        <v>11</v>
      </c>
      <c r="C36">
        <v>1.3167149916666667</v>
      </c>
      <c r="D36" t="s">
        <v>239</v>
      </c>
    </row>
    <row r="37" spans="1:4" x14ac:dyDescent="0.25">
      <c r="A37">
        <v>2</v>
      </c>
      <c r="B37">
        <v>12</v>
      </c>
      <c r="C37">
        <v>0.21141954166666674</v>
      </c>
      <c r="D37" t="s">
        <v>169</v>
      </c>
    </row>
    <row r="38" spans="1:4" x14ac:dyDescent="0.25">
      <c r="A38">
        <v>2</v>
      </c>
      <c r="B38">
        <v>13</v>
      </c>
      <c r="C38">
        <v>3.3649711666666679E-2</v>
      </c>
      <c r="D38" t="s">
        <v>170</v>
      </c>
    </row>
    <row r="39" spans="1:4" x14ac:dyDescent="0.25">
      <c r="A39">
        <v>2</v>
      </c>
      <c r="B39">
        <v>14</v>
      </c>
      <c r="C39">
        <v>0.60185081833333332</v>
      </c>
      <c r="D39" t="s">
        <v>171</v>
      </c>
    </row>
    <row r="40" spans="1:4" x14ac:dyDescent="0.25">
      <c r="A40">
        <v>2</v>
      </c>
      <c r="B40">
        <v>15</v>
      </c>
      <c r="C40">
        <v>2.0870509216666662</v>
      </c>
      <c r="D40" t="s">
        <v>172</v>
      </c>
    </row>
    <row r="41" spans="1:4" x14ac:dyDescent="0.25">
      <c r="A41">
        <v>2</v>
      </c>
      <c r="B41">
        <v>16</v>
      </c>
      <c r="C41">
        <v>0.28546073500000002</v>
      </c>
      <c r="D41" t="s">
        <v>173</v>
      </c>
    </row>
    <row r="42" spans="1:4" x14ac:dyDescent="0.25">
      <c r="A42">
        <v>2</v>
      </c>
      <c r="B42">
        <v>17</v>
      </c>
      <c r="C42">
        <v>4.181080166666671E-2</v>
      </c>
      <c r="D42" t="s">
        <v>174</v>
      </c>
    </row>
    <row r="43" spans="1:4" x14ac:dyDescent="0.25">
      <c r="A43">
        <v>2</v>
      </c>
      <c r="B43">
        <v>18</v>
      </c>
      <c r="C43">
        <v>3.6843181666666697E-2</v>
      </c>
      <c r="D43" t="s">
        <v>175</v>
      </c>
    </row>
    <row r="44" spans="1:4" x14ac:dyDescent="0.25">
      <c r="A44">
        <v>2</v>
      </c>
      <c r="B44">
        <v>19</v>
      </c>
      <c r="C44">
        <v>0.49161696500000002</v>
      </c>
      <c r="D44" t="s">
        <v>176</v>
      </c>
    </row>
    <row r="45" spans="1:4" x14ac:dyDescent="0.25">
      <c r="A45">
        <v>2</v>
      </c>
      <c r="B45">
        <v>20</v>
      </c>
      <c r="C45">
        <v>8.2497975000000015E-2</v>
      </c>
      <c r="D45" t="s">
        <v>177</v>
      </c>
    </row>
    <row r="46" spans="1:4" x14ac:dyDescent="0.25">
      <c r="A46">
        <v>2</v>
      </c>
      <c r="B46">
        <v>21</v>
      </c>
      <c r="C46">
        <v>6.2154388333333366E-2</v>
      </c>
      <c r="D46" t="s">
        <v>178</v>
      </c>
    </row>
    <row r="47" spans="1:4" x14ac:dyDescent="0.25">
      <c r="A47">
        <v>2</v>
      </c>
      <c r="B47">
        <v>22</v>
      </c>
      <c r="C47">
        <v>3.3176605000000053E-2</v>
      </c>
      <c r="D47" t="s">
        <v>179</v>
      </c>
    </row>
    <row r="48" spans="1:4" x14ac:dyDescent="0.25">
      <c r="A48">
        <v>2</v>
      </c>
      <c r="B48">
        <v>23</v>
      </c>
      <c r="C48">
        <v>7.3154118333333393E-2</v>
      </c>
      <c r="D48" t="s">
        <v>180</v>
      </c>
    </row>
    <row r="49" spans="1:4" x14ac:dyDescent="0.25">
      <c r="A49">
        <v>2</v>
      </c>
      <c r="B49">
        <v>24</v>
      </c>
      <c r="C49">
        <v>5.4111575000000002E-2</v>
      </c>
      <c r="D49" t="s">
        <v>181</v>
      </c>
    </row>
    <row r="50" spans="1:4" x14ac:dyDescent="0.25">
      <c r="A50">
        <v>3</v>
      </c>
      <c r="B50">
        <v>1</v>
      </c>
      <c r="C50">
        <v>1.466630666666679E-2</v>
      </c>
      <c r="D50" t="s">
        <v>182</v>
      </c>
    </row>
    <row r="51" spans="1:4" x14ac:dyDescent="0.25">
      <c r="A51">
        <v>3</v>
      </c>
      <c r="B51">
        <v>2</v>
      </c>
      <c r="C51">
        <v>9.7696526666666797E-2</v>
      </c>
      <c r="D51" t="s">
        <v>183</v>
      </c>
    </row>
    <row r="52" spans="1:4" x14ac:dyDescent="0.25">
      <c r="A52">
        <v>3</v>
      </c>
      <c r="B52">
        <v>3</v>
      </c>
      <c r="C52">
        <v>0.14843721666666679</v>
      </c>
      <c r="D52" t="s">
        <v>184</v>
      </c>
    </row>
    <row r="53" spans="1:4" x14ac:dyDescent="0.25">
      <c r="A53">
        <v>3</v>
      </c>
      <c r="B53">
        <v>4</v>
      </c>
      <c r="C53">
        <v>1.5257690000000157E-2</v>
      </c>
      <c r="D53" t="s">
        <v>185</v>
      </c>
    </row>
    <row r="54" spans="1:4" x14ac:dyDescent="0.25">
      <c r="A54">
        <v>3</v>
      </c>
      <c r="B54">
        <v>5</v>
      </c>
      <c r="C54">
        <v>4.2579600000001543E-3</v>
      </c>
      <c r="D54" t="s">
        <v>186</v>
      </c>
    </row>
    <row r="55" spans="1:4" x14ac:dyDescent="0.25">
      <c r="A55">
        <v>3</v>
      </c>
      <c r="B55">
        <v>6</v>
      </c>
      <c r="C55">
        <v>2.2354290000000138E-2</v>
      </c>
      <c r="D55" t="s">
        <v>240</v>
      </c>
    </row>
    <row r="56" spans="1:4" x14ac:dyDescent="0.25">
      <c r="A56">
        <v>3</v>
      </c>
      <c r="B56">
        <v>7</v>
      </c>
      <c r="C56">
        <v>4.3644090000000114E-2</v>
      </c>
      <c r="D56" t="s">
        <v>187</v>
      </c>
    </row>
    <row r="57" spans="1:4" x14ac:dyDescent="0.25">
      <c r="A57">
        <v>3</v>
      </c>
      <c r="B57">
        <v>8</v>
      </c>
      <c r="C57">
        <v>-9.1073033333332158E-3</v>
      </c>
      <c r="D57" t="s">
        <v>188</v>
      </c>
    </row>
    <row r="58" spans="1:4" x14ac:dyDescent="0.25">
      <c r="A58">
        <v>3</v>
      </c>
      <c r="B58">
        <v>9</v>
      </c>
      <c r="C58">
        <v>5.1686903333333471E-2</v>
      </c>
      <c r="D58" t="s">
        <v>189</v>
      </c>
    </row>
    <row r="59" spans="1:4" x14ac:dyDescent="0.25">
      <c r="A59">
        <v>3</v>
      </c>
      <c r="B59">
        <v>10</v>
      </c>
      <c r="C59">
        <v>0.95047129333333347</v>
      </c>
      <c r="D59" t="s">
        <v>190</v>
      </c>
    </row>
    <row r="60" spans="1:4" x14ac:dyDescent="0.25">
      <c r="A60">
        <v>3</v>
      </c>
      <c r="B60">
        <v>11</v>
      </c>
      <c r="C60">
        <v>0.82261421666666668</v>
      </c>
      <c r="D60" t="s">
        <v>191</v>
      </c>
    </row>
    <row r="61" spans="1:4" x14ac:dyDescent="0.25">
      <c r="A61">
        <v>3</v>
      </c>
      <c r="B61">
        <v>12</v>
      </c>
      <c r="C61">
        <v>1.1236283333333479E-2</v>
      </c>
      <c r="D61" t="s">
        <v>192</v>
      </c>
    </row>
    <row r="62" spans="1:4" x14ac:dyDescent="0.25">
      <c r="A62">
        <v>3</v>
      </c>
      <c r="B62">
        <v>13</v>
      </c>
      <c r="C62">
        <v>2.2827396666666794E-2</v>
      </c>
      <c r="D62" t="s">
        <v>193</v>
      </c>
    </row>
    <row r="63" spans="1:4" x14ac:dyDescent="0.25">
      <c r="A63">
        <v>3</v>
      </c>
      <c r="B63">
        <v>14</v>
      </c>
      <c r="C63">
        <v>0.18439332333333347</v>
      </c>
      <c r="D63" t="s">
        <v>194</v>
      </c>
    </row>
    <row r="64" spans="1:4" x14ac:dyDescent="0.25">
      <c r="A64">
        <v>3</v>
      </c>
      <c r="B64">
        <v>15</v>
      </c>
      <c r="C64">
        <v>0.11248111000000012</v>
      </c>
      <c r="D64" t="s">
        <v>195</v>
      </c>
    </row>
    <row r="65" spans="1:4" x14ac:dyDescent="0.25">
      <c r="A65">
        <v>3</v>
      </c>
      <c r="B65">
        <v>16</v>
      </c>
      <c r="C65">
        <v>0.5809749866666668</v>
      </c>
      <c r="D65" t="s">
        <v>196</v>
      </c>
    </row>
    <row r="66" spans="1:4" x14ac:dyDescent="0.25">
      <c r="A66">
        <v>3</v>
      </c>
      <c r="B66">
        <v>17</v>
      </c>
      <c r="C66">
        <v>0.50799828333333341</v>
      </c>
      <c r="D66" t="s">
        <v>197</v>
      </c>
    </row>
    <row r="67" spans="1:4" x14ac:dyDescent="0.25">
      <c r="A67">
        <v>3</v>
      </c>
      <c r="B67">
        <v>18</v>
      </c>
      <c r="C67">
        <v>1.537596666666809E-3</v>
      </c>
      <c r="D67" t="s">
        <v>198</v>
      </c>
    </row>
    <row r="68" spans="1:4" x14ac:dyDescent="0.25">
      <c r="A68">
        <v>3</v>
      </c>
      <c r="B68">
        <v>19</v>
      </c>
      <c r="C68">
        <v>0.1375557633333335</v>
      </c>
      <c r="D68" t="s">
        <v>199</v>
      </c>
    </row>
    <row r="69" spans="1:4" x14ac:dyDescent="0.25">
      <c r="A69">
        <v>3</v>
      </c>
      <c r="B69">
        <v>20</v>
      </c>
      <c r="C69">
        <v>2.0107033333334654E-3</v>
      </c>
      <c r="D69" t="s">
        <v>200</v>
      </c>
    </row>
    <row r="70" spans="1:4" x14ac:dyDescent="0.25">
      <c r="A70">
        <v>3</v>
      </c>
      <c r="B70">
        <v>21</v>
      </c>
      <c r="C70">
        <v>1.1649068899999999</v>
      </c>
      <c r="D70" t="s">
        <v>201</v>
      </c>
    </row>
    <row r="71" spans="1:4" x14ac:dyDescent="0.25">
      <c r="A71">
        <v>3</v>
      </c>
      <c r="B71">
        <v>22</v>
      </c>
      <c r="C71">
        <v>0.13554506000000013</v>
      </c>
      <c r="D71" t="s">
        <v>241</v>
      </c>
    </row>
    <row r="72" spans="1:4" x14ac:dyDescent="0.25">
      <c r="A72">
        <v>3</v>
      </c>
      <c r="B72">
        <v>23</v>
      </c>
      <c r="C72">
        <v>7.061117000000014E-2</v>
      </c>
      <c r="D72" t="s">
        <v>242</v>
      </c>
    </row>
    <row r="73" spans="1:4" x14ac:dyDescent="0.25">
      <c r="A73">
        <v>3</v>
      </c>
      <c r="B73">
        <v>24</v>
      </c>
      <c r="C73">
        <v>3.7730256666666781E-2</v>
      </c>
      <c r="D73" t="s">
        <v>202</v>
      </c>
    </row>
    <row r="74" spans="1:4" x14ac:dyDescent="0.25">
      <c r="A74">
        <v>4</v>
      </c>
      <c r="B74">
        <v>1</v>
      </c>
      <c r="C74">
        <v>9.6927728333333338E-2</v>
      </c>
      <c r="D74" t="s">
        <v>203</v>
      </c>
    </row>
    <row r="75" spans="1:4" x14ac:dyDescent="0.25">
      <c r="A75">
        <v>4</v>
      </c>
      <c r="B75">
        <v>2</v>
      </c>
      <c r="C75">
        <v>1.8633897449999999</v>
      </c>
      <c r="D75" t="s">
        <v>204</v>
      </c>
    </row>
    <row r="76" spans="1:4" x14ac:dyDescent="0.25">
      <c r="A76">
        <v>4</v>
      </c>
      <c r="B76">
        <v>3</v>
      </c>
      <c r="C76">
        <v>1.0053516666666707E-3</v>
      </c>
      <c r="D76" t="s">
        <v>243</v>
      </c>
    </row>
    <row r="77" spans="1:4" x14ac:dyDescent="0.25">
      <c r="A77">
        <v>4</v>
      </c>
      <c r="B77">
        <v>4</v>
      </c>
      <c r="C77">
        <v>2.9036921666666677E-2</v>
      </c>
      <c r="D77" t="s">
        <v>205</v>
      </c>
    </row>
    <row r="78" spans="1:4" x14ac:dyDescent="0.25">
      <c r="A78">
        <v>4</v>
      </c>
      <c r="B78">
        <v>5</v>
      </c>
      <c r="C78">
        <v>0.10402432833333329</v>
      </c>
      <c r="D78" t="s">
        <v>244</v>
      </c>
    </row>
    <row r="79" spans="1:4" x14ac:dyDescent="0.25">
      <c r="A79">
        <v>4</v>
      </c>
      <c r="B79">
        <v>6</v>
      </c>
      <c r="C79">
        <v>8.3385049999999839E-3</v>
      </c>
      <c r="D79" t="s">
        <v>245</v>
      </c>
    </row>
    <row r="80" spans="1:4" x14ac:dyDescent="0.25">
      <c r="A80">
        <v>4</v>
      </c>
      <c r="B80">
        <v>7</v>
      </c>
      <c r="C80">
        <v>2.3004811666666652E-2</v>
      </c>
      <c r="D80" t="s">
        <v>206</v>
      </c>
    </row>
    <row r="81" spans="1:4" x14ac:dyDescent="0.25">
      <c r="A81">
        <v>4</v>
      </c>
      <c r="B81">
        <v>8</v>
      </c>
      <c r="C81">
        <v>6.8304774999999984E-2</v>
      </c>
      <c r="D81" t="s">
        <v>246</v>
      </c>
    </row>
    <row r="82" spans="1:4" x14ac:dyDescent="0.25">
      <c r="A82">
        <v>4</v>
      </c>
      <c r="B82">
        <v>9</v>
      </c>
      <c r="C82">
        <v>0.43425278166666653</v>
      </c>
      <c r="D82" t="s">
        <v>207</v>
      </c>
    </row>
    <row r="83" spans="1:4" x14ac:dyDescent="0.25">
      <c r="A83">
        <v>4</v>
      </c>
      <c r="B83">
        <v>10</v>
      </c>
      <c r="C83">
        <v>0.70628911500000002</v>
      </c>
      <c r="D83" t="s">
        <v>208</v>
      </c>
    </row>
    <row r="84" spans="1:4" x14ac:dyDescent="0.25">
      <c r="A84">
        <v>4</v>
      </c>
      <c r="B84">
        <v>11</v>
      </c>
      <c r="C84">
        <v>4.9380508333333323E-2</v>
      </c>
      <c r="D84" t="s">
        <v>209</v>
      </c>
    </row>
    <row r="85" spans="1:4" x14ac:dyDescent="0.25">
      <c r="A85">
        <v>4</v>
      </c>
      <c r="B85">
        <v>12</v>
      </c>
      <c r="C85">
        <v>0.3050946616666666</v>
      </c>
      <c r="D85" t="s">
        <v>210</v>
      </c>
    </row>
    <row r="86" spans="1:4" x14ac:dyDescent="0.25">
      <c r="A86">
        <v>4</v>
      </c>
      <c r="B86">
        <v>13</v>
      </c>
      <c r="C86">
        <v>4.1219418333333355E-2</v>
      </c>
      <c r="D86" t="s">
        <v>211</v>
      </c>
    </row>
    <row r="87" spans="1:4" x14ac:dyDescent="0.25">
      <c r="A87">
        <v>4</v>
      </c>
      <c r="B87">
        <v>14</v>
      </c>
      <c r="C87">
        <v>0.25648295166666663</v>
      </c>
      <c r="D87" t="s">
        <v>212</v>
      </c>
    </row>
    <row r="88" spans="1:4" x14ac:dyDescent="0.25">
      <c r="A88">
        <v>4</v>
      </c>
      <c r="B88">
        <v>15</v>
      </c>
      <c r="C88">
        <v>2.9617068716666659</v>
      </c>
      <c r="D88" t="s">
        <v>213</v>
      </c>
    </row>
    <row r="89" spans="1:4" x14ac:dyDescent="0.25">
      <c r="A89">
        <v>4</v>
      </c>
      <c r="B89">
        <v>16</v>
      </c>
      <c r="C89">
        <v>4.7724634999999967E-2</v>
      </c>
      <c r="D89" t="s">
        <v>214</v>
      </c>
    </row>
    <row r="90" spans="1:4" x14ac:dyDescent="0.25">
      <c r="A90">
        <v>4</v>
      </c>
      <c r="B90">
        <v>17</v>
      </c>
      <c r="C90">
        <v>0.66063432166666669</v>
      </c>
      <c r="D90" t="s">
        <v>215</v>
      </c>
    </row>
    <row r="91" spans="1:4" x14ac:dyDescent="0.25">
      <c r="A91">
        <v>4</v>
      </c>
      <c r="B91">
        <v>18</v>
      </c>
      <c r="C91">
        <v>3.8079764216666661</v>
      </c>
      <c r="D91" t="s">
        <v>216</v>
      </c>
    </row>
    <row r="92" spans="1:4" x14ac:dyDescent="0.25">
      <c r="A92">
        <v>4</v>
      </c>
      <c r="B92">
        <v>19</v>
      </c>
      <c r="C92">
        <v>0.24027904833333333</v>
      </c>
      <c r="D92" t="s">
        <v>217</v>
      </c>
    </row>
    <row r="93" spans="1:4" x14ac:dyDescent="0.25">
      <c r="A93">
        <v>4</v>
      </c>
      <c r="B93">
        <v>20</v>
      </c>
      <c r="C93">
        <v>4.1141947116666664</v>
      </c>
      <c r="D93" t="s">
        <v>247</v>
      </c>
    </row>
    <row r="94" spans="1:4" x14ac:dyDescent="0.25">
      <c r="A94">
        <v>4</v>
      </c>
      <c r="B94">
        <v>21</v>
      </c>
      <c r="C94">
        <v>6.2883563983333319</v>
      </c>
      <c r="D94" t="s">
        <v>248</v>
      </c>
    </row>
    <row r="95" spans="1:4" x14ac:dyDescent="0.25">
      <c r="A95">
        <v>4</v>
      </c>
      <c r="B95">
        <v>22</v>
      </c>
      <c r="C95">
        <v>7.1616521666666655E-2</v>
      </c>
      <c r="D95" t="s">
        <v>218</v>
      </c>
    </row>
    <row r="96" spans="1:4" x14ac:dyDescent="0.25">
      <c r="A96">
        <v>4</v>
      </c>
      <c r="B96">
        <v>23</v>
      </c>
      <c r="C96">
        <v>0.10579847833333333</v>
      </c>
      <c r="D96" t="s">
        <v>219</v>
      </c>
    </row>
    <row r="97" spans="1:4" x14ac:dyDescent="0.25">
      <c r="A97">
        <v>4</v>
      </c>
      <c r="B97">
        <v>24</v>
      </c>
      <c r="C97">
        <v>6.4444815983333328</v>
      </c>
      <c r="D97" t="s">
        <v>249</v>
      </c>
    </row>
    <row r="98" spans="1:4" x14ac:dyDescent="0.25">
      <c r="A98">
        <v>5</v>
      </c>
      <c r="B98">
        <v>1</v>
      </c>
      <c r="C98">
        <v>0.40456533833333325</v>
      </c>
      <c r="D98" t="s">
        <v>250</v>
      </c>
    </row>
    <row r="99" spans="1:4" x14ac:dyDescent="0.25">
      <c r="A99">
        <v>5</v>
      </c>
      <c r="B99">
        <v>2</v>
      </c>
      <c r="C99">
        <v>0.17581826499999995</v>
      </c>
      <c r="D99" t="s">
        <v>220</v>
      </c>
    </row>
    <row r="100" spans="1:4" x14ac:dyDescent="0.25">
      <c r="A100">
        <v>5</v>
      </c>
      <c r="B100">
        <v>3</v>
      </c>
      <c r="C100">
        <v>0.25305292833333332</v>
      </c>
      <c r="D100" t="s">
        <v>221</v>
      </c>
    </row>
    <row r="101" spans="1:4" x14ac:dyDescent="0.25">
      <c r="A101">
        <v>5</v>
      </c>
      <c r="B101">
        <v>4</v>
      </c>
      <c r="C101">
        <v>17.430018398333331</v>
      </c>
      <c r="D101" t="s">
        <v>251</v>
      </c>
    </row>
    <row r="102" spans="1:4" x14ac:dyDescent="0.25">
      <c r="A102">
        <v>5</v>
      </c>
      <c r="B102">
        <v>5</v>
      </c>
      <c r="C102">
        <v>0.56412056166666669</v>
      </c>
      <c r="D102" t="s">
        <v>222</v>
      </c>
    </row>
    <row r="103" spans="1:4" x14ac:dyDescent="0.25">
      <c r="A103">
        <v>5</v>
      </c>
      <c r="B103">
        <v>6</v>
      </c>
      <c r="C103">
        <v>1.7609621516666667</v>
      </c>
      <c r="D103" t="s">
        <v>252</v>
      </c>
    </row>
    <row r="104" spans="1:4" x14ac:dyDescent="0.25">
      <c r="A104">
        <v>5</v>
      </c>
      <c r="B104">
        <v>7</v>
      </c>
      <c r="C104">
        <v>9.3640228383333319</v>
      </c>
      <c r="D104" t="s">
        <v>253</v>
      </c>
    </row>
    <row r="105" spans="1:4" x14ac:dyDescent="0.25">
      <c r="A105">
        <v>5</v>
      </c>
      <c r="B105">
        <v>8</v>
      </c>
      <c r="C105">
        <v>0.18811903833333332</v>
      </c>
      <c r="D105" t="s">
        <v>223</v>
      </c>
    </row>
    <row r="106" spans="1:4" x14ac:dyDescent="0.25">
      <c r="A106">
        <v>5</v>
      </c>
      <c r="B106">
        <v>9</v>
      </c>
      <c r="C106">
        <v>0.24311768833333328</v>
      </c>
      <c r="D106" t="s">
        <v>224</v>
      </c>
    </row>
    <row r="107" spans="1:4" x14ac:dyDescent="0.25">
      <c r="A107">
        <v>5</v>
      </c>
      <c r="B107">
        <v>10</v>
      </c>
      <c r="C107">
        <v>4.0183906116666668</v>
      </c>
      <c r="D107" t="s">
        <v>254</v>
      </c>
    </row>
    <row r="108" spans="1:4" x14ac:dyDescent="0.25">
      <c r="A108">
        <v>5</v>
      </c>
      <c r="B108">
        <v>11</v>
      </c>
      <c r="C108">
        <v>1.4150029016666668</v>
      </c>
      <c r="D108" t="s">
        <v>255</v>
      </c>
    </row>
    <row r="109" spans="1:4" x14ac:dyDescent="0.25">
      <c r="A109">
        <v>5</v>
      </c>
      <c r="B109">
        <v>12</v>
      </c>
      <c r="C109">
        <v>1.4753240016666664</v>
      </c>
      <c r="D109" t="s">
        <v>225</v>
      </c>
    </row>
    <row r="110" spans="1:4" x14ac:dyDescent="0.25">
      <c r="A110">
        <v>5</v>
      </c>
      <c r="B110">
        <v>13</v>
      </c>
      <c r="C110">
        <v>0.22880621166666656</v>
      </c>
      <c r="D110" t="s">
        <v>226</v>
      </c>
    </row>
    <row r="111" spans="1:4" x14ac:dyDescent="0.25">
      <c r="A111">
        <v>5</v>
      </c>
      <c r="B111">
        <v>14</v>
      </c>
      <c r="C111">
        <v>0.13205589833333328</v>
      </c>
      <c r="D111" t="s">
        <v>227</v>
      </c>
    </row>
    <row r="112" spans="1:4" x14ac:dyDescent="0.25">
      <c r="A112">
        <v>5</v>
      </c>
      <c r="B112">
        <v>15</v>
      </c>
      <c r="C112">
        <v>-1.4784583333333351E-3</v>
      </c>
      <c r="D112" t="s">
        <v>228</v>
      </c>
    </row>
    <row r="113" spans="1:4" x14ac:dyDescent="0.25">
      <c r="A113">
        <v>5</v>
      </c>
      <c r="B113">
        <v>16</v>
      </c>
      <c r="C113">
        <v>3.8735608333333331E-2</v>
      </c>
      <c r="D113" t="s">
        <v>229</v>
      </c>
    </row>
    <row r="114" spans="1:4" x14ac:dyDescent="0.25">
      <c r="A114">
        <v>5</v>
      </c>
      <c r="B114">
        <v>17</v>
      </c>
      <c r="C114">
        <v>0.86087671833333312</v>
      </c>
      <c r="D114" t="s">
        <v>230</v>
      </c>
    </row>
    <row r="115" spans="1:4" x14ac:dyDescent="0.25">
      <c r="A115">
        <v>5</v>
      </c>
      <c r="B115">
        <v>18</v>
      </c>
      <c r="C115">
        <v>0.75620186833333325</v>
      </c>
      <c r="D115" t="s">
        <v>231</v>
      </c>
    </row>
    <row r="116" spans="1:4" x14ac:dyDescent="0.25">
      <c r="A116">
        <v>5</v>
      </c>
      <c r="B116">
        <v>19</v>
      </c>
      <c r="C116">
        <v>6.7122008333333302E-2</v>
      </c>
      <c r="D116" t="s">
        <v>232</v>
      </c>
    </row>
    <row r="117" spans="1:4" x14ac:dyDescent="0.25">
      <c r="A117">
        <v>5</v>
      </c>
      <c r="B117">
        <v>20</v>
      </c>
      <c r="C117">
        <v>5.1982594999999958E-2</v>
      </c>
      <c r="D117" t="s">
        <v>233</v>
      </c>
    </row>
    <row r="118" spans="1:4" x14ac:dyDescent="0.25">
      <c r="A118">
        <v>5</v>
      </c>
      <c r="B118">
        <v>21</v>
      </c>
      <c r="C118">
        <v>3.9918374999999971E-2</v>
      </c>
      <c r="D118" t="s">
        <v>234</v>
      </c>
    </row>
    <row r="119" spans="1:4" x14ac:dyDescent="0.25">
      <c r="A119">
        <v>5</v>
      </c>
      <c r="B119">
        <v>22</v>
      </c>
      <c r="C119">
        <v>2.1348938333333286E-2</v>
      </c>
      <c r="D119" t="s">
        <v>235</v>
      </c>
    </row>
    <row r="120" spans="1:4" x14ac:dyDescent="0.25">
      <c r="A120">
        <v>5</v>
      </c>
      <c r="B120">
        <v>23</v>
      </c>
      <c r="C120">
        <v>0.72556821166666641</v>
      </c>
      <c r="D120" t="s">
        <v>236</v>
      </c>
    </row>
    <row r="121" spans="1:4" x14ac:dyDescent="0.25">
      <c r="A121">
        <v>5</v>
      </c>
      <c r="B121">
        <v>24</v>
      </c>
      <c r="C121">
        <v>3.8025948333333288E-2</v>
      </c>
      <c r="D121" t="s">
        <v>237</v>
      </c>
    </row>
  </sheetData>
  <conditionalFormatting sqref="D1:D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plate1</vt:lpstr>
      <vt:lpstr>plate2</vt:lpstr>
      <vt:lpstr>plate3</vt:lpstr>
      <vt:lpstr>plate4</vt:lpstr>
      <vt:lpstr>plate5</vt:lpstr>
      <vt:lpstr>Antho_2025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Ruven Gierholz</dc:creator>
  <cp:lastModifiedBy>Güvencli, Nuri</cp:lastModifiedBy>
  <dcterms:created xsi:type="dcterms:W3CDTF">2025-04-30T12:26:55Z</dcterms:created>
  <dcterms:modified xsi:type="dcterms:W3CDTF">2026-02-05T17:05:43Z</dcterms:modified>
</cp:coreProperties>
</file>